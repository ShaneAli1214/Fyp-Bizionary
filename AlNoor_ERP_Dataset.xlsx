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Fyp\"/>
    </mc:Choice>
  </mc:AlternateContent>
  <xr:revisionPtr revIDLastSave="0" documentId="13_ncr:1_{F3282FCA-5FE6-41F5-A004-4F7B4E9BF69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roducts" sheetId="1" r:id="rId1"/>
    <sheet name="Sheet1" sheetId="10" r:id="rId2"/>
    <sheet name="Purchase Orders" sheetId="4" r:id="rId3"/>
    <sheet name="Sales History" sheetId="9" r:id="rId4"/>
    <sheet name="Inventory" sheetId="6" r:id="rId5"/>
    <sheet name="Suppliers" sheetId="2" r:id="rId6"/>
    <sheet name="Customers" sheetId="3" r:id="rId7"/>
    <sheet name="Sales Orders" sheetId="5" r:id="rId8"/>
    <sheet name="Employees" sheetId="7" r:id="rId9"/>
    <sheet name="Summary Dashboard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9" l="1" a="1"/>
  <c r="L2" i="9" s="1"/>
  <c r="E18" i="8"/>
  <c r="B18" i="8"/>
  <c r="B17" i="8"/>
  <c r="B13" i="8"/>
  <c r="B10" i="8"/>
  <c r="E9" i="8"/>
  <c r="B9" i="8"/>
  <c r="E6" i="8"/>
  <c r="B6" i="8"/>
  <c r="E5" i="8"/>
  <c r="B5" i="8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L302" i="5"/>
  <c r="K302" i="5"/>
  <c r="M302" i="5" s="1"/>
  <c r="L301" i="5"/>
  <c r="M301" i="5" s="1"/>
  <c r="K301" i="5"/>
  <c r="L300" i="5"/>
  <c r="K300" i="5"/>
  <c r="M300" i="5" s="1"/>
  <c r="L299" i="5"/>
  <c r="K299" i="5"/>
  <c r="M299" i="5" s="1"/>
  <c r="M298" i="5"/>
  <c r="L298" i="5"/>
  <c r="K298" i="5"/>
  <c r="M297" i="5"/>
  <c r="L297" i="5"/>
  <c r="K297" i="5"/>
  <c r="L296" i="5"/>
  <c r="K296" i="5"/>
  <c r="M296" i="5" s="1"/>
  <c r="M295" i="5"/>
  <c r="L295" i="5"/>
  <c r="K295" i="5"/>
  <c r="L294" i="5"/>
  <c r="K294" i="5"/>
  <c r="M294" i="5" s="1"/>
  <c r="L293" i="5"/>
  <c r="M293" i="5" s="1"/>
  <c r="K293" i="5"/>
  <c r="L292" i="5"/>
  <c r="K292" i="5"/>
  <c r="M292" i="5" s="1"/>
  <c r="L291" i="5"/>
  <c r="K291" i="5"/>
  <c r="M291" i="5" s="1"/>
  <c r="M290" i="5"/>
  <c r="L290" i="5"/>
  <c r="K290" i="5"/>
  <c r="M289" i="5"/>
  <c r="L289" i="5"/>
  <c r="K289" i="5"/>
  <c r="L288" i="5"/>
  <c r="K288" i="5"/>
  <c r="M288" i="5" s="1"/>
  <c r="M287" i="5"/>
  <c r="L287" i="5"/>
  <c r="K287" i="5"/>
  <c r="L286" i="5"/>
  <c r="K286" i="5"/>
  <c r="M286" i="5" s="1"/>
  <c r="L285" i="5"/>
  <c r="M285" i="5" s="1"/>
  <c r="K285" i="5"/>
  <c r="L284" i="5"/>
  <c r="K284" i="5"/>
  <c r="M284" i="5" s="1"/>
  <c r="L283" i="5"/>
  <c r="K283" i="5"/>
  <c r="M283" i="5" s="1"/>
  <c r="M282" i="5"/>
  <c r="L282" i="5"/>
  <c r="K282" i="5"/>
  <c r="M281" i="5"/>
  <c r="L281" i="5"/>
  <c r="K281" i="5"/>
  <c r="L280" i="5"/>
  <c r="K280" i="5"/>
  <c r="M280" i="5" s="1"/>
  <c r="M279" i="5"/>
  <c r="L279" i="5"/>
  <c r="K279" i="5"/>
  <c r="L278" i="5"/>
  <c r="K278" i="5"/>
  <c r="M278" i="5" s="1"/>
  <c r="L277" i="5"/>
  <c r="M277" i="5" s="1"/>
  <c r="K277" i="5"/>
  <c r="L276" i="5"/>
  <c r="K276" i="5"/>
  <c r="M276" i="5" s="1"/>
  <c r="L275" i="5"/>
  <c r="K275" i="5"/>
  <c r="M275" i="5" s="1"/>
  <c r="M274" i="5"/>
  <c r="L274" i="5"/>
  <c r="K274" i="5"/>
  <c r="M273" i="5"/>
  <c r="L273" i="5"/>
  <c r="K273" i="5"/>
  <c r="L272" i="5"/>
  <c r="K272" i="5"/>
  <c r="M272" i="5" s="1"/>
  <c r="M271" i="5"/>
  <c r="L271" i="5"/>
  <c r="K271" i="5"/>
  <c r="L270" i="5"/>
  <c r="K270" i="5"/>
  <c r="M270" i="5" s="1"/>
  <c r="L269" i="5"/>
  <c r="M269" i="5" s="1"/>
  <c r="K269" i="5"/>
  <c r="L268" i="5"/>
  <c r="K268" i="5"/>
  <c r="M268" i="5" s="1"/>
  <c r="L267" i="5"/>
  <c r="K267" i="5"/>
  <c r="M267" i="5" s="1"/>
  <c r="M266" i="5"/>
  <c r="L266" i="5"/>
  <c r="K266" i="5"/>
  <c r="M265" i="5"/>
  <c r="L265" i="5"/>
  <c r="K265" i="5"/>
  <c r="L264" i="5"/>
  <c r="K264" i="5"/>
  <c r="M264" i="5" s="1"/>
  <c r="M263" i="5"/>
  <c r="L263" i="5"/>
  <c r="K263" i="5"/>
  <c r="L262" i="5"/>
  <c r="K262" i="5"/>
  <c r="M262" i="5" s="1"/>
  <c r="L261" i="5"/>
  <c r="M261" i="5" s="1"/>
  <c r="K261" i="5"/>
  <c r="L260" i="5"/>
  <c r="K260" i="5"/>
  <c r="M260" i="5" s="1"/>
  <c r="L259" i="5"/>
  <c r="K259" i="5"/>
  <c r="M259" i="5" s="1"/>
  <c r="M258" i="5"/>
  <c r="L258" i="5"/>
  <c r="K258" i="5"/>
  <c r="M257" i="5"/>
  <c r="L257" i="5"/>
  <c r="K257" i="5"/>
  <c r="L256" i="5"/>
  <c r="K256" i="5"/>
  <c r="M256" i="5" s="1"/>
  <c r="M255" i="5"/>
  <c r="L255" i="5"/>
  <c r="K255" i="5"/>
  <c r="L254" i="5"/>
  <c r="K254" i="5"/>
  <c r="M254" i="5" s="1"/>
  <c r="L253" i="5"/>
  <c r="M253" i="5" s="1"/>
  <c r="K253" i="5"/>
  <c r="L252" i="5"/>
  <c r="K252" i="5"/>
  <c r="M252" i="5" s="1"/>
  <c r="L251" i="5"/>
  <c r="K251" i="5"/>
  <c r="M251" i="5" s="1"/>
  <c r="M250" i="5"/>
  <c r="L250" i="5"/>
  <c r="K250" i="5"/>
  <c r="M249" i="5"/>
  <c r="L249" i="5"/>
  <c r="K249" i="5"/>
  <c r="L248" i="5"/>
  <c r="K248" i="5"/>
  <c r="M248" i="5" s="1"/>
  <c r="M247" i="5"/>
  <c r="L247" i="5"/>
  <c r="K247" i="5"/>
  <c r="L246" i="5"/>
  <c r="K246" i="5"/>
  <c r="M246" i="5" s="1"/>
  <c r="L245" i="5"/>
  <c r="M245" i="5" s="1"/>
  <c r="K245" i="5"/>
  <c r="L244" i="5"/>
  <c r="K244" i="5"/>
  <c r="M244" i="5" s="1"/>
  <c r="L243" i="5"/>
  <c r="K243" i="5"/>
  <c r="M243" i="5" s="1"/>
  <c r="M242" i="5"/>
  <c r="L242" i="5"/>
  <c r="K242" i="5"/>
  <c r="M241" i="5"/>
  <c r="L241" i="5"/>
  <c r="K241" i="5"/>
  <c r="L240" i="5"/>
  <c r="K240" i="5"/>
  <c r="M240" i="5" s="1"/>
  <c r="M239" i="5"/>
  <c r="L239" i="5"/>
  <c r="K239" i="5"/>
  <c r="L238" i="5"/>
  <c r="K238" i="5"/>
  <c r="M238" i="5" s="1"/>
  <c r="L237" i="5"/>
  <c r="M237" i="5" s="1"/>
  <c r="K237" i="5"/>
  <c r="L236" i="5"/>
  <c r="K236" i="5"/>
  <c r="M236" i="5" s="1"/>
  <c r="L235" i="5"/>
  <c r="K235" i="5"/>
  <c r="M235" i="5" s="1"/>
  <c r="M234" i="5"/>
  <c r="L234" i="5"/>
  <c r="K234" i="5"/>
  <c r="M233" i="5"/>
  <c r="L233" i="5"/>
  <c r="K233" i="5"/>
  <c r="L232" i="5"/>
  <c r="K232" i="5"/>
  <c r="M232" i="5" s="1"/>
  <c r="M231" i="5"/>
  <c r="L231" i="5"/>
  <c r="K231" i="5"/>
  <c r="L230" i="5"/>
  <c r="K230" i="5"/>
  <c r="M230" i="5" s="1"/>
  <c r="L229" i="5"/>
  <c r="M229" i="5" s="1"/>
  <c r="K229" i="5"/>
  <c r="L228" i="5"/>
  <c r="K228" i="5"/>
  <c r="M228" i="5" s="1"/>
  <c r="L227" i="5"/>
  <c r="K227" i="5"/>
  <c r="M227" i="5" s="1"/>
  <c r="M226" i="5"/>
  <c r="L226" i="5"/>
  <c r="K226" i="5"/>
  <c r="M225" i="5"/>
  <c r="L225" i="5"/>
  <c r="K225" i="5"/>
  <c r="L224" i="5"/>
  <c r="K224" i="5"/>
  <c r="M224" i="5" s="1"/>
  <c r="M223" i="5"/>
  <c r="L223" i="5"/>
  <c r="K223" i="5"/>
  <c r="L222" i="5"/>
  <c r="K222" i="5"/>
  <c r="M222" i="5" s="1"/>
  <c r="L221" i="5"/>
  <c r="M221" i="5" s="1"/>
  <c r="K221" i="5"/>
  <c r="L220" i="5"/>
  <c r="K220" i="5"/>
  <c r="M220" i="5" s="1"/>
  <c r="L219" i="5"/>
  <c r="K219" i="5"/>
  <c r="M219" i="5" s="1"/>
  <c r="M218" i="5"/>
  <c r="L218" i="5"/>
  <c r="K218" i="5"/>
  <c r="M217" i="5"/>
  <c r="L217" i="5"/>
  <c r="K217" i="5"/>
  <c r="L216" i="5"/>
  <c r="K216" i="5"/>
  <c r="M216" i="5" s="1"/>
  <c r="M215" i="5"/>
  <c r="L215" i="5"/>
  <c r="K215" i="5"/>
  <c r="L214" i="5"/>
  <c r="K214" i="5"/>
  <c r="M214" i="5" s="1"/>
  <c r="L213" i="5"/>
  <c r="M213" i="5" s="1"/>
  <c r="K213" i="5"/>
  <c r="L212" i="5"/>
  <c r="K212" i="5"/>
  <c r="M212" i="5" s="1"/>
  <c r="L211" i="5"/>
  <c r="K211" i="5"/>
  <c r="M211" i="5" s="1"/>
  <c r="M210" i="5"/>
  <c r="L210" i="5"/>
  <c r="K210" i="5"/>
  <c r="M209" i="5"/>
  <c r="L209" i="5"/>
  <c r="K209" i="5"/>
  <c r="L208" i="5"/>
  <c r="K208" i="5"/>
  <c r="M208" i="5" s="1"/>
  <c r="M207" i="5"/>
  <c r="L207" i="5"/>
  <c r="K207" i="5"/>
  <c r="L206" i="5"/>
  <c r="K206" i="5"/>
  <c r="M206" i="5" s="1"/>
  <c r="L205" i="5"/>
  <c r="M205" i="5" s="1"/>
  <c r="K205" i="5"/>
  <c r="L204" i="5"/>
  <c r="K204" i="5"/>
  <c r="M204" i="5" s="1"/>
  <c r="L203" i="5"/>
  <c r="K203" i="5"/>
  <c r="M203" i="5" s="1"/>
  <c r="M202" i="5"/>
  <c r="L202" i="5"/>
  <c r="K202" i="5"/>
  <c r="M201" i="5"/>
  <c r="L201" i="5"/>
  <c r="K201" i="5"/>
  <c r="L200" i="5"/>
  <c r="K200" i="5"/>
  <c r="M200" i="5" s="1"/>
  <c r="M199" i="5"/>
  <c r="L199" i="5"/>
  <c r="K199" i="5"/>
  <c r="L198" i="5"/>
  <c r="K198" i="5"/>
  <c r="M198" i="5" s="1"/>
  <c r="L197" i="5"/>
  <c r="M197" i="5" s="1"/>
  <c r="K197" i="5"/>
  <c r="L196" i="5"/>
  <c r="K196" i="5"/>
  <c r="M196" i="5" s="1"/>
  <c r="L195" i="5"/>
  <c r="K195" i="5"/>
  <c r="M195" i="5" s="1"/>
  <c r="M194" i="5"/>
  <c r="L194" i="5"/>
  <c r="K194" i="5"/>
  <c r="M193" i="5"/>
  <c r="L193" i="5"/>
  <c r="K193" i="5"/>
  <c r="L192" i="5"/>
  <c r="K192" i="5"/>
  <c r="M192" i="5" s="1"/>
  <c r="M191" i="5"/>
  <c r="L191" i="5"/>
  <c r="K191" i="5"/>
  <c r="L190" i="5"/>
  <c r="K190" i="5"/>
  <c r="M190" i="5" s="1"/>
  <c r="L189" i="5"/>
  <c r="M189" i="5" s="1"/>
  <c r="K189" i="5"/>
  <c r="L188" i="5"/>
  <c r="K188" i="5"/>
  <c r="M188" i="5" s="1"/>
  <c r="L187" i="5"/>
  <c r="K187" i="5"/>
  <c r="M187" i="5" s="1"/>
  <c r="M186" i="5"/>
  <c r="L186" i="5"/>
  <c r="K186" i="5"/>
  <c r="M185" i="5"/>
  <c r="L185" i="5"/>
  <c r="K185" i="5"/>
  <c r="L184" i="5"/>
  <c r="K184" i="5"/>
  <c r="M184" i="5" s="1"/>
  <c r="M183" i="5"/>
  <c r="L183" i="5"/>
  <c r="K183" i="5"/>
  <c r="L182" i="5"/>
  <c r="K182" i="5"/>
  <c r="M182" i="5" s="1"/>
  <c r="L181" i="5"/>
  <c r="M181" i="5" s="1"/>
  <c r="K181" i="5"/>
  <c r="L180" i="5"/>
  <c r="K180" i="5"/>
  <c r="M180" i="5" s="1"/>
  <c r="L179" i="5"/>
  <c r="K179" i="5"/>
  <c r="M179" i="5" s="1"/>
  <c r="M178" i="5"/>
  <c r="L178" i="5"/>
  <c r="K178" i="5"/>
  <c r="M177" i="5"/>
  <c r="L177" i="5"/>
  <c r="K177" i="5"/>
  <c r="L176" i="5"/>
  <c r="K176" i="5"/>
  <c r="M176" i="5" s="1"/>
  <c r="M175" i="5"/>
  <c r="L175" i="5"/>
  <c r="K175" i="5"/>
  <c r="L174" i="5"/>
  <c r="K174" i="5"/>
  <c r="M174" i="5" s="1"/>
  <c r="L173" i="5"/>
  <c r="M173" i="5" s="1"/>
  <c r="K173" i="5"/>
  <c r="L172" i="5"/>
  <c r="K172" i="5"/>
  <c r="M172" i="5" s="1"/>
  <c r="L171" i="5"/>
  <c r="K171" i="5"/>
  <c r="M171" i="5" s="1"/>
  <c r="M170" i="5"/>
  <c r="L170" i="5"/>
  <c r="K170" i="5"/>
  <c r="M169" i="5"/>
  <c r="L169" i="5"/>
  <c r="K169" i="5"/>
  <c r="L168" i="5"/>
  <c r="K168" i="5"/>
  <c r="M168" i="5" s="1"/>
  <c r="M167" i="5"/>
  <c r="L167" i="5"/>
  <c r="K167" i="5"/>
  <c r="L166" i="5"/>
  <c r="K166" i="5"/>
  <c r="M166" i="5" s="1"/>
  <c r="L165" i="5"/>
  <c r="M165" i="5" s="1"/>
  <c r="K165" i="5"/>
  <c r="L164" i="5"/>
  <c r="K164" i="5"/>
  <c r="M164" i="5" s="1"/>
  <c r="L163" i="5"/>
  <c r="K163" i="5"/>
  <c r="M163" i="5" s="1"/>
  <c r="M162" i="5"/>
  <c r="L162" i="5"/>
  <c r="K162" i="5"/>
  <c r="M161" i="5"/>
  <c r="L161" i="5"/>
  <c r="K161" i="5"/>
  <c r="L160" i="5"/>
  <c r="K160" i="5"/>
  <c r="M160" i="5" s="1"/>
  <c r="M159" i="5"/>
  <c r="L159" i="5"/>
  <c r="K159" i="5"/>
  <c r="L158" i="5"/>
  <c r="K158" i="5"/>
  <c r="M158" i="5" s="1"/>
  <c r="L157" i="5"/>
  <c r="M157" i="5" s="1"/>
  <c r="K157" i="5"/>
  <c r="L156" i="5"/>
  <c r="K156" i="5"/>
  <c r="M156" i="5" s="1"/>
  <c r="L155" i="5"/>
  <c r="K155" i="5"/>
  <c r="M155" i="5" s="1"/>
  <c r="M154" i="5"/>
  <c r="L154" i="5"/>
  <c r="K154" i="5"/>
  <c r="M153" i="5"/>
  <c r="L153" i="5"/>
  <c r="K153" i="5"/>
  <c r="L152" i="5"/>
  <c r="K152" i="5"/>
  <c r="M152" i="5" s="1"/>
  <c r="M151" i="5"/>
  <c r="L151" i="5"/>
  <c r="K151" i="5"/>
  <c r="L150" i="5"/>
  <c r="K150" i="5"/>
  <c r="M150" i="5" s="1"/>
  <c r="L149" i="5"/>
  <c r="M149" i="5" s="1"/>
  <c r="K149" i="5"/>
  <c r="L148" i="5"/>
  <c r="K148" i="5"/>
  <c r="M148" i="5" s="1"/>
  <c r="L147" i="5"/>
  <c r="K147" i="5"/>
  <c r="M147" i="5" s="1"/>
  <c r="M146" i="5"/>
  <c r="L146" i="5"/>
  <c r="K146" i="5"/>
  <c r="M145" i="5"/>
  <c r="L145" i="5"/>
  <c r="K145" i="5"/>
  <c r="L144" i="5"/>
  <c r="K144" i="5"/>
  <c r="M144" i="5" s="1"/>
  <c r="M143" i="5"/>
  <c r="L143" i="5"/>
  <c r="K143" i="5"/>
  <c r="L142" i="5"/>
  <c r="K142" i="5"/>
  <c r="M142" i="5" s="1"/>
  <c r="L141" i="5"/>
  <c r="M141" i="5" s="1"/>
  <c r="K141" i="5"/>
  <c r="L140" i="5"/>
  <c r="K140" i="5"/>
  <c r="M140" i="5" s="1"/>
  <c r="L139" i="5"/>
  <c r="K139" i="5"/>
  <c r="M139" i="5" s="1"/>
  <c r="M138" i="5"/>
  <c r="L138" i="5"/>
  <c r="K138" i="5"/>
  <c r="M137" i="5"/>
  <c r="L137" i="5"/>
  <c r="K137" i="5"/>
  <c r="L136" i="5"/>
  <c r="K136" i="5"/>
  <c r="M136" i="5" s="1"/>
  <c r="M135" i="5"/>
  <c r="L135" i="5"/>
  <c r="K135" i="5"/>
  <c r="L134" i="5"/>
  <c r="K134" i="5"/>
  <c r="M134" i="5" s="1"/>
  <c r="L133" i="5"/>
  <c r="M133" i="5" s="1"/>
  <c r="K133" i="5"/>
  <c r="L132" i="5"/>
  <c r="K132" i="5"/>
  <c r="M132" i="5" s="1"/>
  <c r="L131" i="5"/>
  <c r="K131" i="5"/>
  <c r="M131" i="5" s="1"/>
  <c r="M130" i="5"/>
  <c r="L130" i="5"/>
  <c r="K130" i="5"/>
  <c r="M129" i="5"/>
  <c r="L129" i="5"/>
  <c r="K129" i="5"/>
  <c r="L128" i="5"/>
  <c r="K128" i="5"/>
  <c r="M128" i="5" s="1"/>
  <c r="M127" i="5"/>
  <c r="L127" i="5"/>
  <c r="K127" i="5"/>
  <c r="L126" i="5"/>
  <c r="K126" i="5"/>
  <c r="M126" i="5" s="1"/>
  <c r="L125" i="5"/>
  <c r="M125" i="5" s="1"/>
  <c r="K125" i="5"/>
  <c r="L124" i="5"/>
  <c r="K124" i="5"/>
  <c r="M124" i="5" s="1"/>
  <c r="L123" i="5"/>
  <c r="K123" i="5"/>
  <c r="M123" i="5" s="1"/>
  <c r="M122" i="5"/>
  <c r="L122" i="5"/>
  <c r="K122" i="5"/>
  <c r="M121" i="5"/>
  <c r="L121" i="5"/>
  <c r="K121" i="5"/>
  <c r="L120" i="5"/>
  <c r="K120" i="5"/>
  <c r="M120" i="5" s="1"/>
  <c r="M119" i="5"/>
  <c r="L119" i="5"/>
  <c r="K119" i="5"/>
  <c r="L118" i="5"/>
  <c r="K118" i="5"/>
  <c r="M118" i="5" s="1"/>
  <c r="L117" i="5"/>
  <c r="K117" i="5"/>
  <c r="L116" i="5"/>
  <c r="K116" i="5"/>
  <c r="M116" i="5" s="1"/>
  <c r="L115" i="5"/>
  <c r="K115" i="5"/>
  <c r="M115" i="5" s="1"/>
  <c r="M114" i="5"/>
  <c r="L114" i="5"/>
  <c r="K114" i="5"/>
  <c r="M113" i="5"/>
  <c r="L113" i="5"/>
  <c r="K113" i="5"/>
  <c r="L112" i="5"/>
  <c r="K112" i="5"/>
  <c r="M112" i="5" s="1"/>
  <c r="M111" i="5"/>
  <c r="L111" i="5"/>
  <c r="K111" i="5"/>
  <c r="L110" i="5"/>
  <c r="K110" i="5"/>
  <c r="M110" i="5" s="1"/>
  <c r="L109" i="5"/>
  <c r="K109" i="5"/>
  <c r="L108" i="5"/>
  <c r="K108" i="5"/>
  <c r="M108" i="5" s="1"/>
  <c r="L107" i="5"/>
  <c r="K107" i="5"/>
  <c r="M107" i="5" s="1"/>
  <c r="M106" i="5"/>
  <c r="L106" i="5"/>
  <c r="K106" i="5"/>
  <c r="M105" i="5"/>
  <c r="L105" i="5"/>
  <c r="K105" i="5"/>
  <c r="L104" i="5"/>
  <c r="K104" i="5"/>
  <c r="M104" i="5" s="1"/>
  <c r="M103" i="5"/>
  <c r="L103" i="5"/>
  <c r="K103" i="5"/>
  <c r="L102" i="5"/>
  <c r="K102" i="5"/>
  <c r="M102" i="5" s="1"/>
  <c r="L101" i="5"/>
  <c r="K101" i="5"/>
  <c r="M101" i="5" s="1"/>
  <c r="L100" i="5"/>
  <c r="K100" i="5"/>
  <c r="M100" i="5" s="1"/>
  <c r="L99" i="5"/>
  <c r="K99" i="5"/>
  <c r="M99" i="5" s="1"/>
  <c r="M98" i="5"/>
  <c r="L98" i="5"/>
  <c r="K98" i="5"/>
  <c r="M97" i="5"/>
  <c r="L97" i="5"/>
  <c r="K97" i="5"/>
  <c r="L96" i="5"/>
  <c r="K96" i="5"/>
  <c r="M96" i="5" s="1"/>
  <c r="M95" i="5"/>
  <c r="L95" i="5"/>
  <c r="K95" i="5"/>
  <c r="L94" i="5"/>
  <c r="K94" i="5"/>
  <c r="M94" i="5" s="1"/>
  <c r="L93" i="5"/>
  <c r="K93" i="5"/>
  <c r="L92" i="5"/>
  <c r="K92" i="5"/>
  <c r="M92" i="5" s="1"/>
  <c r="L91" i="5"/>
  <c r="K91" i="5"/>
  <c r="M91" i="5" s="1"/>
  <c r="M90" i="5"/>
  <c r="L90" i="5"/>
  <c r="K90" i="5"/>
  <c r="M89" i="5"/>
  <c r="L89" i="5"/>
  <c r="K89" i="5"/>
  <c r="L88" i="5"/>
  <c r="K88" i="5"/>
  <c r="M88" i="5" s="1"/>
  <c r="M87" i="5"/>
  <c r="L87" i="5"/>
  <c r="K87" i="5"/>
  <c r="L86" i="5"/>
  <c r="K86" i="5"/>
  <c r="M86" i="5" s="1"/>
  <c r="L85" i="5"/>
  <c r="K85" i="5"/>
  <c r="M85" i="5" s="1"/>
  <c r="L84" i="5"/>
  <c r="K84" i="5"/>
  <c r="M84" i="5" s="1"/>
  <c r="L83" i="5"/>
  <c r="K83" i="5"/>
  <c r="M83" i="5" s="1"/>
  <c r="L82" i="5"/>
  <c r="M82" i="5" s="1"/>
  <c r="K82" i="5"/>
  <c r="M81" i="5"/>
  <c r="L81" i="5"/>
  <c r="K81" i="5"/>
  <c r="L80" i="5"/>
  <c r="K80" i="5"/>
  <c r="M80" i="5" s="1"/>
  <c r="M79" i="5"/>
  <c r="L79" i="5"/>
  <c r="K79" i="5"/>
  <c r="L78" i="5"/>
  <c r="K78" i="5"/>
  <c r="M78" i="5" s="1"/>
  <c r="L77" i="5"/>
  <c r="K77" i="5"/>
  <c r="L76" i="5"/>
  <c r="K76" i="5"/>
  <c r="M76" i="5" s="1"/>
  <c r="L75" i="5"/>
  <c r="K75" i="5"/>
  <c r="M75" i="5" s="1"/>
  <c r="L74" i="5"/>
  <c r="M74" i="5" s="1"/>
  <c r="K74" i="5"/>
  <c r="M73" i="5"/>
  <c r="L73" i="5"/>
  <c r="K73" i="5"/>
  <c r="L72" i="5"/>
  <c r="K72" i="5"/>
  <c r="M72" i="5" s="1"/>
  <c r="M71" i="5"/>
  <c r="L71" i="5"/>
  <c r="K71" i="5"/>
  <c r="L70" i="5"/>
  <c r="K70" i="5"/>
  <c r="M70" i="5" s="1"/>
  <c r="L69" i="5"/>
  <c r="K69" i="5"/>
  <c r="M69" i="5" s="1"/>
  <c r="L68" i="5"/>
  <c r="K68" i="5"/>
  <c r="M68" i="5" s="1"/>
  <c r="L67" i="5"/>
  <c r="K67" i="5"/>
  <c r="M67" i="5" s="1"/>
  <c r="M66" i="5"/>
  <c r="L66" i="5"/>
  <c r="K66" i="5"/>
  <c r="M65" i="5"/>
  <c r="L65" i="5"/>
  <c r="K65" i="5"/>
  <c r="L64" i="5"/>
  <c r="K64" i="5"/>
  <c r="M64" i="5" s="1"/>
  <c r="M63" i="5"/>
  <c r="L63" i="5"/>
  <c r="K63" i="5"/>
  <c r="L62" i="5"/>
  <c r="K62" i="5"/>
  <c r="M62" i="5" s="1"/>
  <c r="L61" i="5"/>
  <c r="K61" i="5"/>
  <c r="M61" i="5" s="1"/>
  <c r="L60" i="5"/>
  <c r="K60" i="5"/>
  <c r="M60" i="5" s="1"/>
  <c r="L59" i="5"/>
  <c r="K59" i="5"/>
  <c r="M59" i="5" s="1"/>
  <c r="M58" i="5"/>
  <c r="L58" i="5"/>
  <c r="K58" i="5"/>
  <c r="M57" i="5"/>
  <c r="L57" i="5"/>
  <c r="K57" i="5"/>
  <c r="L56" i="5"/>
  <c r="K56" i="5"/>
  <c r="M56" i="5" s="1"/>
  <c r="M55" i="5"/>
  <c r="L55" i="5"/>
  <c r="K55" i="5"/>
  <c r="L54" i="5"/>
  <c r="K54" i="5"/>
  <c r="M54" i="5" s="1"/>
  <c r="M53" i="5"/>
  <c r="L53" i="5"/>
  <c r="K53" i="5"/>
  <c r="L52" i="5"/>
  <c r="K52" i="5"/>
  <c r="M52" i="5" s="1"/>
  <c r="L51" i="5"/>
  <c r="K51" i="5"/>
  <c r="M51" i="5" s="1"/>
  <c r="M50" i="5"/>
  <c r="L50" i="5"/>
  <c r="K50" i="5"/>
  <c r="M49" i="5"/>
  <c r="L49" i="5"/>
  <c r="K49" i="5"/>
  <c r="L48" i="5"/>
  <c r="K48" i="5"/>
  <c r="M48" i="5" s="1"/>
  <c r="M47" i="5"/>
  <c r="L47" i="5"/>
  <c r="K47" i="5"/>
  <c r="L46" i="5"/>
  <c r="K46" i="5"/>
  <c r="M46" i="5" s="1"/>
  <c r="L45" i="5"/>
  <c r="K45" i="5"/>
  <c r="M45" i="5" s="1"/>
  <c r="L44" i="5"/>
  <c r="K44" i="5"/>
  <c r="M44" i="5" s="1"/>
  <c r="L43" i="5"/>
  <c r="K43" i="5"/>
  <c r="M43" i="5" s="1"/>
  <c r="M42" i="5"/>
  <c r="L42" i="5"/>
  <c r="K42" i="5"/>
  <c r="M41" i="5"/>
  <c r="L41" i="5"/>
  <c r="K41" i="5"/>
  <c r="L40" i="5"/>
  <c r="K40" i="5"/>
  <c r="M39" i="5"/>
  <c r="L39" i="5"/>
  <c r="K39" i="5"/>
  <c r="L38" i="5"/>
  <c r="K38" i="5"/>
  <c r="M38" i="5" s="1"/>
  <c r="M37" i="5"/>
  <c r="L37" i="5"/>
  <c r="K37" i="5"/>
  <c r="L36" i="5"/>
  <c r="K36" i="5"/>
  <c r="M36" i="5" s="1"/>
  <c r="L35" i="5"/>
  <c r="K35" i="5"/>
  <c r="M35" i="5" s="1"/>
  <c r="M34" i="5"/>
  <c r="L34" i="5"/>
  <c r="K34" i="5"/>
  <c r="M33" i="5"/>
  <c r="L33" i="5"/>
  <c r="K33" i="5"/>
  <c r="L32" i="5"/>
  <c r="K32" i="5"/>
  <c r="M32" i="5" s="1"/>
  <c r="M31" i="5"/>
  <c r="L31" i="5"/>
  <c r="K31" i="5"/>
  <c r="L30" i="5"/>
  <c r="K30" i="5"/>
  <c r="M30" i="5" s="1"/>
  <c r="L29" i="5"/>
  <c r="K29" i="5"/>
  <c r="M29" i="5" s="1"/>
  <c r="L28" i="5"/>
  <c r="K28" i="5"/>
  <c r="M28" i="5" s="1"/>
  <c r="L27" i="5"/>
  <c r="K27" i="5"/>
  <c r="M27" i="5" s="1"/>
  <c r="M26" i="5"/>
  <c r="L26" i="5"/>
  <c r="K26" i="5"/>
  <c r="M25" i="5"/>
  <c r="L25" i="5"/>
  <c r="K25" i="5"/>
  <c r="L24" i="5"/>
  <c r="K24" i="5"/>
  <c r="M24" i="5" s="1"/>
  <c r="M23" i="5"/>
  <c r="L23" i="5"/>
  <c r="K23" i="5"/>
  <c r="L22" i="5"/>
  <c r="K22" i="5"/>
  <c r="M22" i="5" s="1"/>
  <c r="M21" i="5"/>
  <c r="L21" i="5"/>
  <c r="K21" i="5"/>
  <c r="L20" i="5"/>
  <c r="K20" i="5"/>
  <c r="M20" i="5" s="1"/>
  <c r="L19" i="5"/>
  <c r="K19" i="5"/>
  <c r="M19" i="5" s="1"/>
  <c r="M18" i="5"/>
  <c r="L18" i="5"/>
  <c r="K18" i="5"/>
  <c r="M17" i="5"/>
  <c r="L17" i="5"/>
  <c r="K17" i="5"/>
  <c r="L16" i="5"/>
  <c r="K16" i="5"/>
  <c r="M16" i="5" s="1"/>
  <c r="M15" i="5"/>
  <c r="L15" i="5"/>
  <c r="K15" i="5"/>
  <c r="L14" i="5"/>
  <c r="K14" i="5"/>
  <c r="M14" i="5" s="1"/>
  <c r="L13" i="5"/>
  <c r="K13" i="5"/>
  <c r="M13" i="5" s="1"/>
  <c r="L12" i="5"/>
  <c r="K12" i="5"/>
  <c r="M12" i="5" s="1"/>
  <c r="L11" i="5"/>
  <c r="K11" i="5"/>
  <c r="M11" i="5" s="1"/>
  <c r="M10" i="5"/>
  <c r="L10" i="5"/>
  <c r="K10" i="5"/>
  <c r="M9" i="5"/>
  <c r="L9" i="5"/>
  <c r="K9" i="5"/>
  <c r="L8" i="5"/>
  <c r="K8" i="5"/>
  <c r="M8" i="5" s="1"/>
  <c r="M7" i="5"/>
  <c r="L7" i="5"/>
  <c r="K7" i="5"/>
  <c r="L6" i="5"/>
  <c r="K6" i="5"/>
  <c r="M6" i="5" s="1"/>
  <c r="M5" i="5"/>
  <c r="L5" i="5"/>
  <c r="K5" i="5"/>
  <c r="L4" i="5"/>
  <c r="K4" i="5"/>
  <c r="M4" i="5" s="1"/>
  <c r="L3" i="5"/>
  <c r="K3" i="5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B14" i="8" l="1"/>
  <c r="M109" i="5"/>
  <c r="E13" i="8"/>
  <c r="M3" i="5"/>
  <c r="M40" i="5"/>
  <c r="M93" i="5"/>
  <c r="M117" i="5"/>
  <c r="E17" i="8"/>
  <c r="M77" i="5"/>
  <c r="E10" i="8"/>
  <c r="E14" i="8" l="1"/>
  <c r="O2" i="9"/>
  <c r="P2" i="9"/>
  <c r="Q2" i="9"/>
  <c r="N2" i="9"/>
  <c r="K2" i="9"/>
  <c r="M2" i="9"/>
  <c r="R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I17" authorId="0" shapeId="0" xr:uid="{85A32248-9BC0-48E7-B227-0FDD1D96E179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<sst xmlns="http://schemas.openxmlformats.org/spreadsheetml/2006/main" count="10232" uniqueCount="2661">
  <si>
    <t>AL-NOOR TRADING COMPANY — PRODUCT MASTER CATALOG (Lahore, Pakistan)</t>
  </si>
  <si>
    <t>Product ID</t>
  </si>
  <si>
    <t>Category</t>
  </si>
  <si>
    <t>Sub-Category</t>
  </si>
  <si>
    <t>Product Name</t>
  </si>
  <si>
    <t>SKU</t>
  </si>
  <si>
    <t>Unit</t>
  </si>
  <si>
    <t>Reorder Level</t>
  </si>
  <si>
    <t>Reorder Qty</t>
  </si>
  <si>
    <t>Cost Price (PKR)</t>
  </si>
  <si>
    <t>Sale Price (PKR)</t>
  </si>
  <si>
    <t>Gross Margin (PKR)</t>
  </si>
  <si>
    <t>Margin %</t>
  </si>
  <si>
    <t>Supplier</t>
  </si>
  <si>
    <t>Brand</t>
  </si>
  <si>
    <t>Status</t>
  </si>
  <si>
    <t>PK-1001</t>
  </si>
  <si>
    <t>Electronics &amp; Appliances</t>
  </si>
  <si>
    <t>Mobile Phones</t>
  </si>
  <si>
    <t>Samsung Galaxy A54</t>
  </si>
  <si>
    <t>SMA54</t>
  </si>
  <si>
    <t>TechHub Pvt Ltd</t>
  </si>
  <si>
    <t>Samsung</t>
  </si>
  <si>
    <t>Active</t>
  </si>
  <si>
    <t>PK-1002</t>
  </si>
  <si>
    <t>Samsung Galaxy A34</t>
  </si>
  <si>
    <t>SMA34</t>
  </si>
  <si>
    <t>PK-1003</t>
  </si>
  <si>
    <t>iPhone 14</t>
  </si>
  <si>
    <t>IPH14</t>
  </si>
  <si>
    <t>iWorld Pakistan</t>
  </si>
  <si>
    <t>Apple</t>
  </si>
  <si>
    <t>PK-1004</t>
  </si>
  <si>
    <t>iPhone 13</t>
  </si>
  <si>
    <t>IPH13</t>
  </si>
  <si>
    <t>PK-1005</t>
  </si>
  <si>
    <t>Vivo Y36</t>
  </si>
  <si>
    <t>VIVY36</t>
  </si>
  <si>
    <t>Vivo Pakistan</t>
  </si>
  <si>
    <t>Vivo</t>
  </si>
  <si>
    <t>PK-1006</t>
  </si>
  <si>
    <t>Vivo V27</t>
  </si>
  <si>
    <t>VIVV27</t>
  </si>
  <si>
    <t>PK-1007</t>
  </si>
  <si>
    <t>Oppo A78</t>
  </si>
  <si>
    <t>OPPA78</t>
  </si>
  <si>
    <t>Oppo Distributors</t>
  </si>
  <si>
    <t>Oppo</t>
  </si>
  <si>
    <t>PK-1008</t>
  </si>
  <si>
    <t>Oppo Reno10</t>
  </si>
  <si>
    <t>OPPR10</t>
  </si>
  <si>
    <t>PK-1009</t>
  </si>
  <si>
    <t>Realme 11 Pro</t>
  </si>
  <si>
    <t>RLM11P</t>
  </si>
  <si>
    <t>Realme Pakistan</t>
  </si>
  <si>
    <t>Realme</t>
  </si>
  <si>
    <t>PK-1010</t>
  </si>
  <si>
    <t>Xiaomi Redmi 12</t>
  </si>
  <si>
    <t>XMR12</t>
  </si>
  <si>
    <t>Xiaomi Pakistan</t>
  </si>
  <si>
    <t>Xiaomi</t>
  </si>
  <si>
    <t>PK-1011</t>
  </si>
  <si>
    <t>Laptops &amp; Computers</t>
  </si>
  <si>
    <t>Dell Inspiron 15</t>
  </si>
  <si>
    <t>DELI15</t>
  </si>
  <si>
    <t>Dell Pakistan</t>
  </si>
  <si>
    <t>Dell</t>
  </si>
  <si>
    <t>PK-1012</t>
  </si>
  <si>
    <t>HP Pavilion 14</t>
  </si>
  <si>
    <t>HPP14</t>
  </si>
  <si>
    <t>HP Distributors</t>
  </si>
  <si>
    <t>HP</t>
  </si>
  <si>
    <t>PK-1013</t>
  </si>
  <si>
    <t>Lenovo IdeaPad 3</t>
  </si>
  <si>
    <t>LENIP3</t>
  </si>
  <si>
    <t>Lenovo Pakistan</t>
  </si>
  <si>
    <t>Lenovo</t>
  </si>
  <si>
    <t>PK-1014</t>
  </si>
  <si>
    <t>Asus VivoBook 15</t>
  </si>
  <si>
    <t>ASVB15</t>
  </si>
  <si>
    <t>Asus Pakistan</t>
  </si>
  <si>
    <t>Asus</t>
  </si>
  <si>
    <t>PK-1015</t>
  </si>
  <si>
    <t>Dell Latitude 5520</t>
  </si>
  <si>
    <t>DELL5520</t>
  </si>
  <si>
    <t>PK-1016</t>
  </si>
  <si>
    <t>HP ProBook 450</t>
  </si>
  <si>
    <t>HPPB450</t>
  </si>
  <si>
    <t>PK-1017</t>
  </si>
  <si>
    <t>Apple MacBook Air M2</t>
  </si>
  <si>
    <t>MBAIM2</t>
  </si>
  <si>
    <t>PK-1018</t>
  </si>
  <si>
    <t>Acer Aspire 7</t>
  </si>
  <si>
    <t>ACRA7</t>
  </si>
  <si>
    <t>Acer Pakistan</t>
  </si>
  <si>
    <t>Acer</t>
  </si>
  <si>
    <t>PK-1019</t>
  </si>
  <si>
    <t>Televisions</t>
  </si>
  <si>
    <t>Samsung 43" 4K Smart TV</t>
  </si>
  <si>
    <t>SMTV43</t>
  </si>
  <si>
    <t>PK-1020</t>
  </si>
  <si>
    <t>Samsung 55" QLED</t>
  </si>
  <si>
    <t>SMTV55</t>
  </si>
  <si>
    <t>PK-1021</t>
  </si>
  <si>
    <t>TCL 40" Smart TV</t>
  </si>
  <si>
    <t>TCL40</t>
  </si>
  <si>
    <t>TCL Pakistan</t>
  </si>
  <si>
    <t>TCL</t>
  </si>
  <si>
    <t>PK-1022</t>
  </si>
  <si>
    <t>TCL 50" 4K TV</t>
  </si>
  <si>
    <t>TCL50</t>
  </si>
  <si>
    <t>PK-1023</t>
  </si>
  <si>
    <t>Haier 32" LED</t>
  </si>
  <si>
    <t>HAI32</t>
  </si>
  <si>
    <t>Haier Pakistan</t>
  </si>
  <si>
    <t>Haier</t>
  </si>
  <si>
    <t>PK-1024</t>
  </si>
  <si>
    <t>Haier 43" Smart TV</t>
  </si>
  <si>
    <t>HAI43</t>
  </si>
  <si>
    <t>PK-1025</t>
  </si>
  <si>
    <t>LG 55" OLED</t>
  </si>
  <si>
    <t>LGOLED55</t>
  </si>
  <si>
    <t>LG Pakistan</t>
  </si>
  <si>
    <t>LG</t>
  </si>
  <si>
    <t>PK-1026</t>
  </si>
  <si>
    <t>Sony Bravia 50"</t>
  </si>
  <si>
    <t>SONY50</t>
  </si>
  <si>
    <t>Sony Pakistan</t>
  </si>
  <si>
    <t>Sony</t>
  </si>
  <si>
    <t>PK-1027</t>
  </si>
  <si>
    <t>Home Appliances</t>
  </si>
  <si>
    <t>Dawlance Inverter AC 1.5T</t>
  </si>
  <si>
    <t>DWAC15</t>
  </si>
  <si>
    <t>Dawlance</t>
  </si>
  <si>
    <t>PK-1028</t>
  </si>
  <si>
    <t>Haier Inverter AC 1T</t>
  </si>
  <si>
    <t>HAAC1</t>
  </si>
  <si>
    <t>PK-1029</t>
  </si>
  <si>
    <t>Orient AC 1.5T</t>
  </si>
  <si>
    <t>ORAC15</t>
  </si>
  <si>
    <t>Orient Electronics</t>
  </si>
  <si>
    <t>Orient</t>
  </si>
  <si>
    <t>PK-1030</t>
  </si>
  <si>
    <t>Dawlance Refrigerator 12CF</t>
  </si>
  <si>
    <t>DWREF12</t>
  </si>
  <si>
    <t>PK-1031</t>
  </si>
  <si>
    <t>Haier Fridge 14CF</t>
  </si>
  <si>
    <t>HAFR14</t>
  </si>
  <si>
    <t>PK-1032</t>
  </si>
  <si>
    <t>PEL Refrigerator 16CF</t>
  </si>
  <si>
    <t>PELRF16</t>
  </si>
  <si>
    <t>PEL Pakistan</t>
  </si>
  <si>
    <t>PEL</t>
  </si>
  <si>
    <t>PK-1033</t>
  </si>
  <si>
    <t>Dawlance Washing Machine</t>
  </si>
  <si>
    <t>DWWM</t>
  </si>
  <si>
    <t>PK-1034</t>
  </si>
  <si>
    <t>Haier Front Load 8kg</t>
  </si>
  <si>
    <t>HAFL8</t>
  </si>
  <si>
    <t>PK-1035</t>
  </si>
  <si>
    <t>National Microwave 30L</t>
  </si>
  <si>
    <t>NATMW</t>
  </si>
  <si>
    <t>National</t>
  </si>
  <si>
    <t>PK-1036</t>
  </si>
  <si>
    <t>Kenwood Blender</t>
  </si>
  <si>
    <t>KENBL</t>
  </si>
  <si>
    <t>Kenwood Pakistan</t>
  </si>
  <si>
    <t>Kenwood</t>
  </si>
  <si>
    <t>PK-1037</t>
  </si>
  <si>
    <t>Grocery &amp; Food Items</t>
  </si>
  <si>
    <t>Staple Foods</t>
  </si>
  <si>
    <t>Basmati Rice 25kg</t>
  </si>
  <si>
    <t>BSRC25</t>
  </si>
  <si>
    <t>Falak Foods</t>
  </si>
  <si>
    <t>Falak</t>
  </si>
  <si>
    <t>PK-1038</t>
  </si>
  <si>
    <t>Basmati Rice 5kg</t>
  </si>
  <si>
    <t>BSRC5</t>
  </si>
  <si>
    <t>PK-1039</t>
  </si>
  <si>
    <t>Wheat Flour Atta 10kg</t>
  </si>
  <si>
    <t>ATTA10</t>
  </si>
  <si>
    <t>Sunridge Foods</t>
  </si>
  <si>
    <t>Sunridge</t>
  </si>
  <si>
    <t>PK-1040</t>
  </si>
  <si>
    <t>Wheat Flour Atta 5kg</t>
  </si>
  <si>
    <t>ATTA5</t>
  </si>
  <si>
    <t>PK-1041</t>
  </si>
  <si>
    <t>Sugar 5kg</t>
  </si>
  <si>
    <t>SUGR5</t>
  </si>
  <si>
    <t>National Foods</t>
  </si>
  <si>
    <t>PK-1042</t>
  </si>
  <si>
    <t>Sugar 1kg</t>
  </si>
  <si>
    <t>SUGR1</t>
  </si>
  <si>
    <t>PK-1043</t>
  </si>
  <si>
    <t>Dalda Cooking Oil 5L</t>
  </si>
  <si>
    <t>DLDO5</t>
  </si>
  <si>
    <t>Dalda Foods</t>
  </si>
  <si>
    <t>Dalda</t>
  </si>
  <si>
    <t>PK-1044</t>
  </si>
  <si>
    <t>Dalda Cooking Oil 1L</t>
  </si>
  <si>
    <t>DLDO1</t>
  </si>
  <si>
    <t>PK-1045</t>
  </si>
  <si>
    <t>Sufi Cooking Oil 5L</t>
  </si>
  <si>
    <t>SUFO5</t>
  </si>
  <si>
    <t>Sufi Foods</t>
  </si>
  <si>
    <t>Sufi</t>
  </si>
  <si>
    <t>PK-1046</t>
  </si>
  <si>
    <t>Canola Oil 3L</t>
  </si>
  <si>
    <t>CNLO3</t>
  </si>
  <si>
    <t>Careem Oils</t>
  </si>
  <si>
    <t>Careem</t>
  </si>
  <si>
    <t>PK-1047</t>
  </si>
  <si>
    <t>Spices &amp; Condiments</t>
  </si>
  <si>
    <t>National Biryani Masala 50g</t>
  </si>
  <si>
    <t>NBRM50</t>
  </si>
  <si>
    <t>PK-1048</t>
  </si>
  <si>
    <t>Shan Biryani Mix 60g</t>
  </si>
  <si>
    <t>SHBM60</t>
  </si>
  <si>
    <t>Shan Foods</t>
  </si>
  <si>
    <t>Shan</t>
  </si>
  <si>
    <t>PK-1049</t>
  </si>
  <si>
    <t>Shan Karahi Masala 100g</t>
  </si>
  <si>
    <t>SHKR100</t>
  </si>
  <si>
    <t>PK-1050</t>
  </si>
  <si>
    <t>Mehran Nihari Masala</t>
  </si>
  <si>
    <t>MEHNM</t>
  </si>
  <si>
    <t>Mehran Foods</t>
  </si>
  <si>
    <t>Mehran</t>
  </si>
  <si>
    <t>PK-1051</t>
  </si>
  <si>
    <t>Turmeric Powder 200g</t>
  </si>
  <si>
    <t>TURMRIC</t>
  </si>
  <si>
    <t>PK-1052</t>
  </si>
  <si>
    <t>Red Chilli Powder 200g</t>
  </si>
  <si>
    <t>RCHILLI</t>
  </si>
  <si>
    <t>PK-1053</t>
  </si>
  <si>
    <t>Garam Masala 100g</t>
  </si>
  <si>
    <t>GRAMM</t>
  </si>
  <si>
    <t>PK-1054</t>
  </si>
  <si>
    <t>Cumin Seeds 100g</t>
  </si>
  <si>
    <t>CUMN100</t>
  </si>
  <si>
    <t>PK-1055</t>
  </si>
  <si>
    <t>Black Pepper 50g</t>
  </si>
  <si>
    <t>BLKP50</t>
  </si>
  <si>
    <t>PK-1056</t>
  </si>
  <si>
    <t>Coriander Powder 200g</t>
  </si>
  <si>
    <t>CORP200</t>
  </si>
  <si>
    <t>PK-1057</t>
  </si>
  <si>
    <t>Beverages</t>
  </si>
  <si>
    <t>Nescafé Classic 200g</t>
  </si>
  <si>
    <t>NESCF200</t>
  </si>
  <si>
    <t>Nestle Pakistan</t>
  </si>
  <si>
    <t>Nestle</t>
  </si>
  <si>
    <t>PK-1058</t>
  </si>
  <si>
    <t>Tapal Danedar 500g</t>
  </si>
  <si>
    <t>TAPDN500</t>
  </si>
  <si>
    <t>Tapal Tea</t>
  </si>
  <si>
    <t>Tapal</t>
  </si>
  <si>
    <t>PK-1059</t>
  </si>
  <si>
    <t>Lipton Yellow Label 200g</t>
  </si>
  <si>
    <t>LIPYL200</t>
  </si>
  <si>
    <t>Unilever Pakistan</t>
  </si>
  <si>
    <t>Lipton</t>
  </si>
  <si>
    <t>PK-1060</t>
  </si>
  <si>
    <t>Tang Mango 500g</t>
  </si>
  <si>
    <t>TNGMNG</t>
  </si>
  <si>
    <t>Mondelez Pak</t>
  </si>
  <si>
    <t>Tang</t>
  </si>
  <si>
    <t>PK-1061</t>
  </si>
  <si>
    <t>Rooh Afza 800ml</t>
  </si>
  <si>
    <t>RFAHZA</t>
  </si>
  <si>
    <t>Hamdard</t>
  </si>
  <si>
    <t>PK-1062</t>
  </si>
  <si>
    <t>Pepsi 1.5L</t>
  </si>
  <si>
    <t>PEPSI15</t>
  </si>
  <si>
    <t>PepsiCo Pak</t>
  </si>
  <si>
    <t>Pepsi</t>
  </si>
  <si>
    <t>PK-1063</t>
  </si>
  <si>
    <t>Coca-Cola 1.5L</t>
  </si>
  <si>
    <t>COKE15</t>
  </si>
  <si>
    <t>Coca-Cola Pak</t>
  </si>
  <si>
    <t>Coca-Cola</t>
  </si>
  <si>
    <t>PK-1064</t>
  </si>
  <si>
    <t>Minute Maid 1L</t>
  </si>
  <si>
    <t>MNJCE1L</t>
  </si>
  <si>
    <t>Minute Maid</t>
  </si>
  <si>
    <t>PK-1065</t>
  </si>
  <si>
    <t>Olper Milk 1L</t>
  </si>
  <si>
    <t>OLPRMK</t>
  </si>
  <si>
    <t>FrieslandCampina</t>
  </si>
  <si>
    <t>Olpers</t>
  </si>
  <si>
    <t>PK-1066</t>
  </si>
  <si>
    <t>Nurpur Butter 200g</t>
  </si>
  <si>
    <t>NURBT200</t>
  </si>
  <si>
    <t>Nurpur Dairy</t>
  </si>
  <si>
    <t>Nurpur</t>
  </si>
  <si>
    <t>PK-1067</t>
  </si>
  <si>
    <t>Dairy &amp; Frozen</t>
  </si>
  <si>
    <t>Olpers Full Cream Milk 1L</t>
  </si>
  <si>
    <t>OLFCM</t>
  </si>
  <si>
    <t>PK-1068</t>
  </si>
  <si>
    <t>Nestle Everyday Milk Powder 1kg</t>
  </si>
  <si>
    <t>NESEDAY</t>
  </si>
  <si>
    <t>PK-1069</t>
  </si>
  <si>
    <t>Haleeb Milk 1L</t>
  </si>
  <si>
    <t>HLBMK</t>
  </si>
  <si>
    <t>Haleeb Foods</t>
  </si>
  <si>
    <t>Haleeb</t>
  </si>
  <si>
    <t>PK-1070</t>
  </si>
  <si>
    <t>Sapphire Yogurt 1kg</t>
  </si>
  <si>
    <t>SAPPYG</t>
  </si>
  <si>
    <t>Sapphire Dairy</t>
  </si>
  <si>
    <t>Sapphire</t>
  </si>
  <si>
    <t>PK-1071</t>
  </si>
  <si>
    <t>Yummy Cheddar Slice 200g</t>
  </si>
  <si>
    <t>YUMCHD</t>
  </si>
  <si>
    <t>Dawn Foods</t>
  </si>
  <si>
    <t>Yummy</t>
  </si>
  <si>
    <t>PK-1072</t>
  </si>
  <si>
    <t>K&amp;N's Chicken Nuggets 500g</t>
  </si>
  <si>
    <t>KNCNG500</t>
  </si>
  <si>
    <t>K&amp;Ns Pakistan</t>
  </si>
  <si>
    <t>K&amp;N's</t>
  </si>
  <si>
    <t>PK-1073</t>
  </si>
  <si>
    <t>K&amp;N's Chicken Strips 400g</t>
  </si>
  <si>
    <t>KNCST400</t>
  </si>
  <si>
    <t>PK-1074</t>
  </si>
  <si>
    <t>Dawn Croissant 6pcs</t>
  </si>
  <si>
    <t>DWNCRS</t>
  </si>
  <si>
    <t>Dawn</t>
  </si>
  <si>
    <t>PK-1075</t>
  </si>
  <si>
    <t>Clothing &amp; Textiles</t>
  </si>
  <si>
    <t>Men's Wear</t>
  </si>
  <si>
    <t>Gul Ahmed Lawn Suit 3pc</t>
  </si>
  <si>
    <t>GALWN3</t>
  </si>
  <si>
    <t>Gul Ahmed</t>
  </si>
  <si>
    <t>PK-1076</t>
  </si>
  <si>
    <t>Almirah Men Kurta</t>
  </si>
  <si>
    <t>ALMKRT</t>
  </si>
  <si>
    <t>Almirah</t>
  </si>
  <si>
    <t>PK-1077</t>
  </si>
  <si>
    <t>Khaadi Men Shalwar Kameez</t>
  </si>
  <si>
    <t>KHDSK</t>
  </si>
  <si>
    <t>Khaadi</t>
  </si>
  <si>
    <t>PK-1078</t>
  </si>
  <si>
    <t>J. Men Shirt</t>
  </si>
  <si>
    <t>JMSHRT</t>
  </si>
  <si>
    <t>J. (Junaid Jamshed)</t>
  </si>
  <si>
    <t>J.</t>
  </si>
  <si>
    <t>PK-1079</t>
  </si>
  <si>
    <t>Bonanza Men Sweater</t>
  </si>
  <si>
    <t>BNSSWT</t>
  </si>
  <si>
    <t>Bonanza Satrangi</t>
  </si>
  <si>
    <t>Bonanza</t>
  </si>
  <si>
    <t>PK-1080</t>
  </si>
  <si>
    <t>Men Denim Jeans 32</t>
  </si>
  <si>
    <t>MDNJNS32</t>
  </si>
  <si>
    <t>Outfitters</t>
  </si>
  <si>
    <t>PK-1081</t>
  </si>
  <si>
    <t>Men Denim Jeans 34</t>
  </si>
  <si>
    <t>MDNJNS34</t>
  </si>
  <si>
    <t>PK-1082</t>
  </si>
  <si>
    <t>Men Formal Trouser</t>
  </si>
  <si>
    <t>MFRTRS</t>
  </si>
  <si>
    <t>Sana Safinaz</t>
  </si>
  <si>
    <t>PK-1083</t>
  </si>
  <si>
    <t>Men Polo T-Shirt</t>
  </si>
  <si>
    <t>MPTSHRT</t>
  </si>
  <si>
    <t>Breakout</t>
  </si>
  <si>
    <t>PK-1084</t>
  </si>
  <si>
    <t>Men Sports Shorts</t>
  </si>
  <si>
    <t>MSPSHRT</t>
  </si>
  <si>
    <t>PK-1085</t>
  </si>
  <si>
    <t>Women's Wear</t>
  </si>
  <si>
    <t>Gul Ahmed Summer Collection 3pc</t>
  </si>
  <si>
    <t>GALSC3</t>
  </si>
  <si>
    <t>PK-1086</t>
  </si>
  <si>
    <t>Sana Safinaz Ready-to-Wear</t>
  </si>
  <si>
    <t>SNSFRTW</t>
  </si>
  <si>
    <t>PK-1087</t>
  </si>
  <si>
    <t>Khaadi Pret Kurta</t>
  </si>
  <si>
    <t>KHDPRTKRT</t>
  </si>
  <si>
    <t>PK-1088</t>
  </si>
  <si>
    <t>Maria B Lawn 3pc</t>
  </si>
  <si>
    <t>MBLWN3</t>
  </si>
  <si>
    <t>Maria B</t>
  </si>
  <si>
    <t>PK-1089</t>
  </si>
  <si>
    <t>Nishat Linen Suit</t>
  </si>
  <si>
    <t>NSHLNN</t>
  </si>
  <si>
    <t>Nishat Linen</t>
  </si>
  <si>
    <t>Nishat</t>
  </si>
  <si>
    <t>PK-1090</t>
  </si>
  <si>
    <t>Zellbury Kurta Set</t>
  </si>
  <si>
    <t>ZLBKRT</t>
  </si>
  <si>
    <t>Zellbury</t>
  </si>
  <si>
    <t>PK-1091</t>
  </si>
  <si>
    <t>Women Capri Pants</t>
  </si>
  <si>
    <t>WCPRI</t>
  </si>
  <si>
    <t>Edenrobe</t>
  </si>
  <si>
    <t>PK-1092</t>
  </si>
  <si>
    <t>Women Cardigan</t>
  </si>
  <si>
    <t>WCRDGN</t>
  </si>
  <si>
    <t>PK-1093</t>
  </si>
  <si>
    <t>Women Abaya Plain</t>
  </si>
  <si>
    <t>WABPLN</t>
  </si>
  <si>
    <t>Al-Karam</t>
  </si>
  <si>
    <t>PK-1094</t>
  </si>
  <si>
    <t>Women Dupatta Lawn</t>
  </si>
  <si>
    <t>WDPLWN</t>
  </si>
  <si>
    <t>PK-1095</t>
  </si>
  <si>
    <t>Footwear</t>
  </si>
  <si>
    <t>Bata Men Leather Shoes</t>
  </si>
  <si>
    <t>BATMS</t>
  </si>
  <si>
    <t>Bata Pakistan</t>
  </si>
  <si>
    <t>Bata</t>
  </si>
  <si>
    <t>PK-1096</t>
  </si>
  <si>
    <t>Bata Women Pumps</t>
  </si>
  <si>
    <t>BATWS</t>
  </si>
  <si>
    <t>PK-1097</t>
  </si>
  <si>
    <t>Servis Men Sandals</t>
  </si>
  <si>
    <t>SRVMS</t>
  </si>
  <si>
    <t>Servis</t>
  </si>
  <si>
    <t>PK-1098</t>
  </si>
  <si>
    <t>Servis School Shoes</t>
  </si>
  <si>
    <t>SRVSS</t>
  </si>
  <si>
    <t>PK-1099</t>
  </si>
  <si>
    <t>Nike Air Max (Replica)</t>
  </si>
  <si>
    <t>NKAM</t>
  </si>
  <si>
    <t>Sports World</t>
  </si>
  <si>
    <t>Nike</t>
  </si>
  <si>
    <t>PK-1100</t>
  </si>
  <si>
    <t>Stylo Women Heels</t>
  </si>
  <si>
    <t>STYWH</t>
  </si>
  <si>
    <t>Stylo</t>
  </si>
  <si>
    <t>PK-1101</t>
  </si>
  <si>
    <t>Metro Men Casual</t>
  </si>
  <si>
    <t>MTRMC</t>
  </si>
  <si>
    <t>Metro Shoes</t>
  </si>
  <si>
    <t>Metro</t>
  </si>
  <si>
    <t>PK-1102</t>
  </si>
  <si>
    <t>Hush Puppies Loafers</t>
  </si>
  <si>
    <t>HPLF</t>
  </si>
  <si>
    <t>Hush Puppies</t>
  </si>
  <si>
    <t>PK-1103</t>
  </si>
  <si>
    <t>Fabric &amp; Accessories</t>
  </si>
  <si>
    <t>Lawn Fabric per meter</t>
  </si>
  <si>
    <t>LWNFBR</t>
  </si>
  <si>
    <t>PK-1104</t>
  </si>
  <si>
    <t>Chiffon Fabric per meter</t>
  </si>
  <si>
    <t>CHFFN</t>
  </si>
  <si>
    <t>PK-1105</t>
  </si>
  <si>
    <t>Cotton Fabric per meter</t>
  </si>
  <si>
    <t>CTNFBR</t>
  </si>
  <si>
    <t>PK-1106</t>
  </si>
  <si>
    <t>Silk Fabric per meter</t>
  </si>
  <si>
    <t>SLKFBR</t>
  </si>
  <si>
    <t>PK-1107</t>
  </si>
  <si>
    <t>Ladies Handbag</t>
  </si>
  <si>
    <t>LHDBG</t>
  </si>
  <si>
    <t>Insignia</t>
  </si>
  <si>
    <t>PK-1108</t>
  </si>
  <si>
    <t>Men Leather Belt</t>
  </si>
  <si>
    <t>MLBLT</t>
  </si>
  <si>
    <t>PK-1109</t>
  </si>
  <si>
    <t>Ladies Scarf</t>
  </si>
  <si>
    <t>LDSCRF</t>
  </si>
  <si>
    <t>PK-1110</t>
  </si>
  <si>
    <t>Men Necktie</t>
  </si>
  <si>
    <t>MNTIE</t>
  </si>
  <si>
    <t>PK-1111</t>
  </si>
  <si>
    <t>Construction &amp; Hardware</t>
  </si>
  <si>
    <t>Cement &amp; Building Materials</t>
  </si>
  <si>
    <t>DG Khan Cement 50kg</t>
  </si>
  <si>
    <t>DGKCEM</t>
  </si>
  <si>
    <t>DG Khan Cement</t>
  </si>
  <si>
    <t>DG Khan</t>
  </si>
  <si>
    <t>PK-1112</t>
  </si>
  <si>
    <t>Lucky Cement 50kg</t>
  </si>
  <si>
    <t>LKCEM</t>
  </si>
  <si>
    <t>Lucky Cement</t>
  </si>
  <si>
    <t>Lucky</t>
  </si>
  <si>
    <t>PK-1113</t>
  </si>
  <si>
    <t>Maple Leaf Cement 50kg</t>
  </si>
  <si>
    <t>MLCEM</t>
  </si>
  <si>
    <t>Maple Leaf</t>
  </si>
  <si>
    <t>PK-1114</t>
  </si>
  <si>
    <t>Red Brick (per 1000)</t>
  </si>
  <si>
    <t>RDBRIK</t>
  </si>
  <si>
    <t>Local Kilns</t>
  </si>
  <si>
    <t>Local</t>
  </si>
  <si>
    <t>PK-1115</t>
  </si>
  <si>
    <t>Block 6 inch (per piece)</t>
  </si>
  <si>
    <t>BLK6</t>
  </si>
  <si>
    <t>Local Manufacturer</t>
  </si>
  <si>
    <t>PK-1116</t>
  </si>
  <si>
    <t>River Sand per cubic ft</t>
  </si>
  <si>
    <t>RVSND</t>
  </si>
  <si>
    <t>Al-Noor Aggregates</t>
  </si>
  <si>
    <t>PK-1117</t>
  </si>
  <si>
    <t>Crush Stone per cubic ft</t>
  </si>
  <si>
    <t>CRSHST</t>
  </si>
  <si>
    <t>PK-1118</t>
  </si>
  <si>
    <t>Steel Rod 10mm per kg</t>
  </si>
  <si>
    <t>STLRD10</t>
  </si>
  <si>
    <t>Amreli Steels</t>
  </si>
  <si>
    <t>Amreli</t>
  </si>
  <si>
    <t>PK-1119</t>
  </si>
  <si>
    <t>Paints &amp; Finishes</t>
  </si>
  <si>
    <t>ICI Dulux Weathershield 4L</t>
  </si>
  <si>
    <t>ICIDWX4</t>
  </si>
  <si>
    <t>ICI Pakistan</t>
  </si>
  <si>
    <t>ICI Dulux</t>
  </si>
  <si>
    <t>PK-1120</t>
  </si>
  <si>
    <t>ICI Dulux Interior 4L</t>
  </si>
  <si>
    <t>ICIDIN4</t>
  </si>
  <si>
    <t>PK-1121</t>
  </si>
  <si>
    <t>Berger WeatherCoat 4L</t>
  </si>
  <si>
    <t>BRGWC4</t>
  </si>
  <si>
    <t>Berger Paints</t>
  </si>
  <si>
    <t>Berger</t>
  </si>
  <si>
    <t>PK-1122</t>
  </si>
  <si>
    <t>Nippon Paint 4L</t>
  </si>
  <si>
    <t>NIPN4</t>
  </si>
  <si>
    <t>Nippon Paint</t>
  </si>
  <si>
    <t>Nippon</t>
  </si>
  <si>
    <t>PK-1123</t>
  </si>
  <si>
    <t>Wall Putty 20kg</t>
  </si>
  <si>
    <t>WLPTY20</t>
  </si>
  <si>
    <t>Asian Paints</t>
  </si>
  <si>
    <t>Asian</t>
  </si>
  <si>
    <t>PK-1124</t>
  </si>
  <si>
    <t>Primer 4L</t>
  </si>
  <si>
    <t>PRMR4</t>
  </si>
  <si>
    <t>ICI</t>
  </si>
  <si>
    <t>PK-1125</t>
  </si>
  <si>
    <t>Enamel Paint 1L</t>
  </si>
  <si>
    <t>ENMPNT1</t>
  </si>
  <si>
    <t>PK-1126</t>
  </si>
  <si>
    <t>Plumbing &amp; Electrical</t>
  </si>
  <si>
    <t>CPVC Pipe 1/2 inch</t>
  </si>
  <si>
    <t>CPVCP12</t>
  </si>
  <si>
    <t>Supreme Pipes</t>
  </si>
  <si>
    <t>Supreme</t>
  </si>
  <si>
    <t>PK-1127</t>
  </si>
  <si>
    <t>CPVC Pipe 3/4 inch</t>
  </si>
  <si>
    <t>CPVCP34</t>
  </si>
  <si>
    <t>PK-1128</t>
  </si>
  <si>
    <t>Ball Valve 1/2 inch</t>
  </si>
  <si>
    <t>BLVLV12</t>
  </si>
  <si>
    <t>PK-1129</t>
  </si>
  <si>
    <t>Water Pump 0.5HP</t>
  </si>
  <si>
    <t>WTPMP05</t>
  </si>
  <si>
    <t>Siemens Pakistan</t>
  </si>
  <si>
    <t>Siemens</t>
  </si>
  <si>
    <t>PK-1130</t>
  </si>
  <si>
    <t>Electric Wire 2.5mm (per m)</t>
  </si>
  <si>
    <t>EWIRE25</t>
  </si>
  <si>
    <t>Pakistan Cables</t>
  </si>
  <si>
    <t>Pak Cables</t>
  </si>
  <si>
    <t>PK-1131</t>
  </si>
  <si>
    <t>Electric Wire 4mm (per m)</t>
  </si>
  <si>
    <t>EWIRE4</t>
  </si>
  <si>
    <t>PK-1132</t>
  </si>
  <si>
    <t>MCB 20A Single</t>
  </si>
  <si>
    <t>MCB20S</t>
  </si>
  <si>
    <t>PK-1133</t>
  </si>
  <si>
    <t>LED Downlight 7W</t>
  </si>
  <si>
    <t>LEDDN7</t>
  </si>
  <si>
    <t>Philips Pakistan</t>
  </si>
  <si>
    <t>Philips</t>
  </si>
  <si>
    <t>PK-1134</t>
  </si>
  <si>
    <t>LED Bulb 12W</t>
  </si>
  <si>
    <t>LEDBL12</t>
  </si>
  <si>
    <t>PK-1135</t>
  </si>
  <si>
    <t>Fan Ceiling 56"</t>
  </si>
  <si>
    <t>FANC56</t>
  </si>
  <si>
    <t>GFC Fans</t>
  </si>
  <si>
    <t>GFC</t>
  </si>
  <si>
    <t>PK-1136</t>
  </si>
  <si>
    <t>Tools &amp; Hardware</t>
  </si>
  <si>
    <t>Stanley Hammer</t>
  </si>
  <si>
    <t>STLHMR</t>
  </si>
  <si>
    <t>Stanley Tools</t>
  </si>
  <si>
    <t>Stanley</t>
  </si>
  <si>
    <t>PK-1137</t>
  </si>
  <si>
    <t>Drill Machine 13mm</t>
  </si>
  <si>
    <t>DRLM13</t>
  </si>
  <si>
    <t>Bosch Pakistan</t>
  </si>
  <si>
    <t>Bosch</t>
  </si>
  <si>
    <t>PK-1138</t>
  </si>
  <si>
    <t>Measuring Tape 5m</t>
  </si>
  <si>
    <t>MSTPE5</t>
  </si>
  <si>
    <t>PK-1139</t>
  </si>
  <si>
    <t>Screw Set 100pcs</t>
  </si>
  <si>
    <t>SCRWST</t>
  </si>
  <si>
    <t>PK-1140</t>
  </si>
  <si>
    <t>Wrench Set 8pcs</t>
  </si>
  <si>
    <t>WRNCH8</t>
  </si>
  <si>
    <t>PK-1141</t>
  </si>
  <si>
    <t>Paint Brush Set 5pcs</t>
  </si>
  <si>
    <t>PNTBRSH5</t>
  </si>
  <si>
    <t>PK-1142</t>
  </si>
  <si>
    <t>Safety Gloves</t>
  </si>
  <si>
    <t>SFGLV</t>
  </si>
  <si>
    <t>3M Pakistan</t>
  </si>
  <si>
    <t>3M</t>
  </si>
  <si>
    <t>PK-1143</t>
  </si>
  <si>
    <t>Safety Helmet</t>
  </si>
  <si>
    <t>SFHLMT</t>
  </si>
  <si>
    <t>PK-1144</t>
  </si>
  <si>
    <t>Pharmaceuticals &amp; Health</t>
  </si>
  <si>
    <t>OTC Medicines</t>
  </si>
  <si>
    <t>Panadol Extra 20tabs</t>
  </si>
  <si>
    <t>PNDLEX20</t>
  </si>
  <si>
    <t>GSK Pakistan</t>
  </si>
  <si>
    <t>Panadol</t>
  </si>
  <si>
    <t>PK-1145</t>
  </si>
  <si>
    <t>Panadol CF 10tabs</t>
  </si>
  <si>
    <t>PNDLCF10</t>
  </si>
  <si>
    <t>PK-1146</t>
  </si>
  <si>
    <t>Brufen 400mg 10tabs</t>
  </si>
  <si>
    <t>BRFN400</t>
  </si>
  <si>
    <t>Abbott Pakistan</t>
  </si>
  <si>
    <t>Brufen</t>
  </si>
  <si>
    <t>PK-1147</t>
  </si>
  <si>
    <t>Disprin 10tabs</t>
  </si>
  <si>
    <t>DSPRN10</t>
  </si>
  <si>
    <t>Reckitt Pakistan</t>
  </si>
  <si>
    <t>Disprin</t>
  </si>
  <si>
    <t>PK-1148</t>
  </si>
  <si>
    <t>ORS Sachets x10</t>
  </si>
  <si>
    <t>ORSSCHT</t>
  </si>
  <si>
    <t>Otsuka Pakistan</t>
  </si>
  <si>
    <t>ORS</t>
  </si>
  <si>
    <t>PK-1149</t>
  </si>
  <si>
    <t>Vitamin C 500mg x30</t>
  </si>
  <si>
    <t>VTMC500</t>
  </si>
  <si>
    <t>Pharmevo</t>
  </si>
  <si>
    <t>PK-1150</t>
  </si>
  <si>
    <t>Omeprazole 20mg x14</t>
  </si>
  <si>
    <t>OMEPZ20</t>
  </si>
  <si>
    <t>Searle Pakistan</t>
  </si>
  <si>
    <t>Searle</t>
  </si>
  <si>
    <t>PK-1151</t>
  </si>
  <si>
    <t>Antacid 100ml Syrup</t>
  </si>
  <si>
    <t>ANTACD</t>
  </si>
  <si>
    <t>Ferozsons</t>
  </si>
  <si>
    <t>PK-1152</t>
  </si>
  <si>
    <t>Cough Syrup 100ml</t>
  </si>
  <si>
    <t>CGHSRP</t>
  </si>
  <si>
    <t>GSK</t>
  </si>
  <si>
    <t>PK-1153</t>
  </si>
  <si>
    <t>Eye Drops 10ml</t>
  </si>
  <si>
    <t>EYEDRP</t>
  </si>
  <si>
    <t>Alcon Pakistan</t>
  </si>
  <si>
    <t>Alcon</t>
  </si>
  <si>
    <t>PK-1154</t>
  </si>
  <si>
    <t>Surgical &amp; Medical Supplies</t>
  </si>
  <si>
    <t>Surgical Mask Box 50pcs</t>
  </si>
  <si>
    <t>SRGMSK50</t>
  </si>
  <si>
    <t>PK-1155</t>
  </si>
  <si>
    <t>Latex Gloves M Box 100</t>
  </si>
  <si>
    <t>LTXGLVM</t>
  </si>
  <si>
    <t>Meditech</t>
  </si>
  <si>
    <t>PK-1156</t>
  </si>
  <si>
    <t>Bandage Roll 5cm</t>
  </si>
  <si>
    <t>BNDGRL5</t>
  </si>
  <si>
    <t>Johnson &amp; Johnson</t>
  </si>
  <si>
    <t>J&amp;J</t>
  </si>
  <si>
    <t>PK-1157</t>
  </si>
  <si>
    <t>Antiseptic Dettol 500ml</t>
  </si>
  <si>
    <t>DETTOL500</t>
  </si>
  <si>
    <t>Dettol</t>
  </si>
  <si>
    <t>PK-1158</t>
  </si>
  <si>
    <t>Cotton 100g</t>
  </si>
  <si>
    <t>CTTON100</t>
  </si>
  <si>
    <t>PK-1159</t>
  </si>
  <si>
    <t>BP Apparatus Digital</t>
  </si>
  <si>
    <t>BPAPD</t>
  </si>
  <si>
    <t>Omron</t>
  </si>
  <si>
    <t>PK-1160</t>
  </si>
  <si>
    <t>Thermometer Digital</t>
  </si>
  <si>
    <t>THRMD</t>
  </si>
  <si>
    <t>PK-1161</t>
  </si>
  <si>
    <t>Glucometer</t>
  </si>
  <si>
    <t>GLCMTR</t>
  </si>
  <si>
    <t>Accu-Chek</t>
  </si>
  <si>
    <t>Roche</t>
  </si>
  <si>
    <t>PK-1162</t>
  </si>
  <si>
    <t>Personal Care</t>
  </si>
  <si>
    <t>Head &amp; Shoulders 400ml</t>
  </si>
  <si>
    <t>HDSHLD400</t>
  </si>
  <si>
    <t>P&amp;G Pakistan</t>
  </si>
  <si>
    <t>Head&amp;Shoulders</t>
  </si>
  <si>
    <t>PK-1163</t>
  </si>
  <si>
    <t>Pantene Shampoo 400ml</t>
  </si>
  <si>
    <t>PNTN400</t>
  </si>
  <si>
    <t>Pantene</t>
  </si>
  <si>
    <t>PK-1164</t>
  </si>
  <si>
    <t>Safeguard Soap 175g</t>
  </si>
  <si>
    <t>SFGRD175</t>
  </si>
  <si>
    <t>Safeguard</t>
  </si>
  <si>
    <t>PK-1165</t>
  </si>
  <si>
    <t>Dove Body Wash 400ml</t>
  </si>
  <si>
    <t>DVEBW400</t>
  </si>
  <si>
    <t>Dove</t>
  </si>
  <si>
    <t>PK-1166</t>
  </si>
  <si>
    <t>Colgate Toothpaste 150g</t>
  </si>
  <si>
    <t>COLGTP150</t>
  </si>
  <si>
    <t>Colgate Pakistan</t>
  </si>
  <si>
    <t>Colgate</t>
  </si>
  <si>
    <t>PK-1167</t>
  </si>
  <si>
    <t>Close-Up Toothpaste 150g</t>
  </si>
  <si>
    <t>CLOSEUP</t>
  </si>
  <si>
    <t>Close-Up</t>
  </si>
  <si>
    <t>PK-1168</t>
  </si>
  <si>
    <t>Gillette Mach3 Blades 4pk</t>
  </si>
  <si>
    <t>GLTM34</t>
  </si>
  <si>
    <t>Gillette</t>
  </si>
  <si>
    <t>PK-1169</t>
  </si>
  <si>
    <t>Vaseline Petroleum Jelly 250ml</t>
  </si>
  <si>
    <t>VSLN250</t>
  </si>
  <si>
    <t>Vaseline</t>
  </si>
  <si>
    <t>PK-1170</t>
  </si>
  <si>
    <t>Dettol Liquid Soap 250ml</t>
  </si>
  <si>
    <t>DTTLSOP</t>
  </si>
  <si>
    <t>PK-1171</t>
  </si>
  <si>
    <t>Garnier Face Wash 100ml</t>
  </si>
  <si>
    <t>GRNRFW</t>
  </si>
  <si>
    <t>L'Oreal Pakistan</t>
  </si>
  <si>
    <t>Garnier</t>
  </si>
  <si>
    <t>PK-1172</t>
  </si>
  <si>
    <t>Stationery &amp; Office Supplies</t>
  </si>
  <si>
    <t>Paper &amp; Notebooks</t>
  </si>
  <si>
    <t>A4 Paper Ream 500 sheets</t>
  </si>
  <si>
    <t>A4PRM</t>
  </si>
  <si>
    <t>Century Paper</t>
  </si>
  <si>
    <t>Century</t>
  </si>
  <si>
    <t>PK-1173</t>
  </si>
  <si>
    <t>Spiral Notebook A4</t>
  </si>
  <si>
    <t>SPNBA4</t>
  </si>
  <si>
    <t>Panda Stationers</t>
  </si>
  <si>
    <t>Panda</t>
  </si>
  <si>
    <t>PK-1174</t>
  </si>
  <si>
    <t>Register 200 pages</t>
  </si>
  <si>
    <t>REGSTR</t>
  </si>
  <si>
    <t>PK-1175</t>
  </si>
  <si>
    <t>Carbon Copy Book</t>
  </si>
  <si>
    <t>CRBNCPBK</t>
  </si>
  <si>
    <t>PK-1176</t>
  </si>
  <si>
    <t>Graph Paper 100 sheets</t>
  </si>
  <si>
    <t>GRPHP100</t>
  </si>
  <si>
    <t>PK-1177</t>
  </si>
  <si>
    <t>Sticky Notes Pad 100</t>
  </si>
  <si>
    <t>STKYNTS</t>
  </si>
  <si>
    <t>PK-1178</t>
  </si>
  <si>
    <t>Envelopes A4 Box 50</t>
  </si>
  <si>
    <t>ENVLA4</t>
  </si>
  <si>
    <t>PK-1179</t>
  </si>
  <si>
    <t>Writing Instruments</t>
  </si>
  <si>
    <t>Camlin Ballpen Box 10</t>
  </si>
  <si>
    <t>CMLBP10</t>
  </si>
  <si>
    <t>Camlin</t>
  </si>
  <si>
    <t>PK-1180</t>
  </si>
  <si>
    <t>Pilot Ballpen 0.7mm</t>
  </si>
  <si>
    <t>PLTBP07</t>
  </si>
  <si>
    <t>Pilot</t>
  </si>
  <si>
    <t>PK-1181</t>
  </si>
  <si>
    <t>Parker Pen Set</t>
  </si>
  <si>
    <t>PARKR</t>
  </si>
  <si>
    <t>Parker</t>
  </si>
  <si>
    <t>PK-1182</t>
  </si>
  <si>
    <t>Marker Set 10 colors</t>
  </si>
  <si>
    <t>MRKRST10</t>
  </si>
  <si>
    <t>PK-1183</t>
  </si>
  <si>
    <t>Highlighter Set 5pcs</t>
  </si>
  <si>
    <t>HLGHTST5</t>
  </si>
  <si>
    <t>Staedtler</t>
  </si>
  <si>
    <t>PK-1184</t>
  </si>
  <si>
    <t>Pencil HB Box 12</t>
  </si>
  <si>
    <t>PNCLHB12</t>
  </si>
  <si>
    <t>Steadler</t>
  </si>
  <si>
    <t>PK-1185</t>
  </si>
  <si>
    <t>Eraser Staedtler x2</t>
  </si>
  <si>
    <t>ERSRST</t>
  </si>
  <si>
    <t>PK-1186</t>
  </si>
  <si>
    <t>Office Equipment</t>
  </si>
  <si>
    <t>Stapler Full Strip</t>
  </si>
  <si>
    <t>STPLR</t>
  </si>
  <si>
    <t>Kangaro</t>
  </si>
  <si>
    <t>PK-1187</t>
  </si>
  <si>
    <t>Staples Box 1000</t>
  </si>
  <si>
    <t>STPLS1K</t>
  </si>
  <si>
    <t>PK-1188</t>
  </si>
  <si>
    <t>Hole Punch 2-Hole</t>
  </si>
  <si>
    <t>HLPNCH</t>
  </si>
  <si>
    <t>PK-1189</t>
  </si>
  <si>
    <t>Scissors Large</t>
  </si>
  <si>
    <t>SCSSRL</t>
  </si>
  <si>
    <t>Maped</t>
  </si>
  <si>
    <t>PK-1190</t>
  </si>
  <si>
    <t>Tape Dispenser</t>
  </si>
  <si>
    <t>TPDSPS</t>
  </si>
  <si>
    <t>PK-1191</t>
  </si>
  <si>
    <t>File Folder A4</t>
  </si>
  <si>
    <t>FLFDR</t>
  </si>
  <si>
    <t>PK-1192</t>
  </si>
  <si>
    <t>Binder Clip 25mm Box</t>
  </si>
  <si>
    <t>BNDCLP25</t>
  </si>
  <si>
    <t>PK-1193</t>
  </si>
  <si>
    <t>Whiteboard Marker Set 4</t>
  </si>
  <si>
    <t>WBMKR4</t>
  </si>
  <si>
    <t>PK-1194</t>
  </si>
  <si>
    <t>Calculator Scientific</t>
  </si>
  <si>
    <t>CALCSC</t>
  </si>
  <si>
    <t>Casio</t>
  </si>
  <si>
    <t>PK-1195</t>
  </si>
  <si>
    <t>Automobiles &amp; Accessories</t>
  </si>
  <si>
    <t>Engine &amp; Maintenance</t>
  </si>
  <si>
    <t>Castrol GTX 5W-30 4L</t>
  </si>
  <si>
    <t>CSTGTX4L</t>
  </si>
  <si>
    <t>Castrol Pakistan</t>
  </si>
  <si>
    <t>Castrol</t>
  </si>
  <si>
    <t>PK-1196</t>
  </si>
  <si>
    <t>Shell Helix 10W-40 4L</t>
  </si>
  <si>
    <t>SHHLX4L</t>
  </si>
  <si>
    <t>Shell Pakistan</t>
  </si>
  <si>
    <t>Shell</t>
  </si>
  <si>
    <t>PK-1197</t>
  </si>
  <si>
    <t>Total Quartz 5W-40 4L</t>
  </si>
  <si>
    <t>TTLQTZ4L</t>
  </si>
  <si>
    <t>Total Pakistan</t>
  </si>
  <si>
    <t>Total</t>
  </si>
  <si>
    <t>PK-1198</t>
  </si>
  <si>
    <t>NGK Spark Plug Set 4</t>
  </si>
  <si>
    <t>NGKSP4</t>
  </si>
  <si>
    <t>NGK Pakistan</t>
  </si>
  <si>
    <t>NGK</t>
  </si>
  <si>
    <t>PK-1199</t>
  </si>
  <si>
    <t>Bosch Oil Filter</t>
  </si>
  <si>
    <t>BSCHOFL</t>
  </si>
  <si>
    <t>PK-1200</t>
  </si>
  <si>
    <t>Air Filter Toyota Corolla</t>
  </si>
  <si>
    <t>AFRLYRC</t>
  </si>
  <si>
    <t>Local Compatible</t>
  </si>
  <si>
    <t>PK-1201</t>
  </si>
  <si>
    <t>Coolant 1L</t>
  </si>
  <si>
    <t>COOLNT1L</t>
  </si>
  <si>
    <t>PK-1202</t>
  </si>
  <si>
    <t>Brake Fluid DOT4 500ml</t>
  </si>
  <si>
    <t>BRFL500</t>
  </si>
  <si>
    <t>PK-1203</t>
  </si>
  <si>
    <t>Tyres &amp; Batteries</t>
  </si>
  <si>
    <t>General Tyre 175/70 R13</t>
  </si>
  <si>
    <t>GNLTYR</t>
  </si>
  <si>
    <t>General Tyre</t>
  </si>
  <si>
    <t>PK-1204</t>
  </si>
  <si>
    <t>Bridgestone 195/65 R15</t>
  </si>
  <si>
    <t>BRGSTN</t>
  </si>
  <si>
    <t>Bridgestone Pak</t>
  </si>
  <si>
    <t>Bridgestone</t>
  </si>
  <si>
    <t>PK-1205</t>
  </si>
  <si>
    <t>Volta Battery 55Ah</t>
  </si>
  <si>
    <t>VLTBT55</t>
  </si>
  <si>
    <t>Exide Pakistan</t>
  </si>
  <si>
    <t>Volta</t>
  </si>
  <si>
    <t>PK-1206</t>
  </si>
  <si>
    <t>Exide Battery 65Ah</t>
  </si>
  <si>
    <t>EXDBT65</t>
  </si>
  <si>
    <t>Exide</t>
  </si>
  <si>
    <t>PK-1207</t>
  </si>
  <si>
    <t>AGS Battery 40Ah</t>
  </si>
  <si>
    <t>AGSBT40</t>
  </si>
  <si>
    <t>AGS Pakistan</t>
  </si>
  <si>
    <t>AGS</t>
  </si>
  <si>
    <t>PK-1208</t>
  </si>
  <si>
    <t>Car Accessories</t>
  </si>
  <si>
    <t>Car Floor Mat Set 5pc</t>
  </si>
  <si>
    <t>CFMTS5</t>
  </si>
  <si>
    <t>Autozone</t>
  </si>
  <si>
    <t>PK-1209</t>
  </si>
  <si>
    <t>Car Seat Cover Full Set</t>
  </si>
  <si>
    <t>CSCSFT</t>
  </si>
  <si>
    <t>PK-1210</t>
  </si>
  <si>
    <t>Car Charger USB Dual</t>
  </si>
  <si>
    <t>CCHRG</t>
  </si>
  <si>
    <t>PK-1211</t>
  </si>
  <si>
    <t>Air Freshener</t>
  </si>
  <si>
    <t>ARFRSH</t>
  </si>
  <si>
    <t>Little Trees</t>
  </si>
  <si>
    <t>PK-1212</t>
  </si>
  <si>
    <t>Windshield Wipers Set</t>
  </si>
  <si>
    <t>WNSHWP</t>
  </si>
  <si>
    <t>PK-1213</t>
  </si>
  <si>
    <t>Parking Sensor Kit</t>
  </si>
  <si>
    <t>PRKSNS</t>
  </si>
  <si>
    <t>PK-1214</t>
  </si>
  <si>
    <t>Dashcam 1080p</t>
  </si>
  <si>
    <t>DSHCM</t>
  </si>
  <si>
    <t>SUPPLIER MASTER — AL-NOOR TRADING COMPANY</t>
  </si>
  <si>
    <t>Supplier ID</t>
  </si>
  <si>
    <t>Supplier Name</t>
  </si>
  <si>
    <t>Contact Person</t>
  </si>
  <si>
    <t>Phone</t>
  </si>
  <si>
    <t>Email</t>
  </si>
  <si>
    <t>City</t>
  </si>
  <si>
    <t>Credit Terms (Days)</t>
  </si>
  <si>
    <t>Credit Limit (PKR)</t>
  </si>
  <si>
    <t>SUP-001</t>
  </si>
  <si>
    <t>Electronics</t>
  </si>
  <si>
    <t>Ahmed Khan</t>
  </si>
  <si>
    <t>0300-1234567</t>
  </si>
  <si>
    <t>ahmed@techhub.pk</t>
  </si>
  <si>
    <t>Lahore</t>
  </si>
  <si>
    <t>SUP-002</t>
  </si>
  <si>
    <t>Sara Ali</t>
  </si>
  <si>
    <t>0321-2345678</t>
  </si>
  <si>
    <t>sara@iworld.pk</t>
  </si>
  <si>
    <t>Karachi</t>
  </si>
  <si>
    <t>SUP-003</t>
  </si>
  <si>
    <t>Bilal Malik</t>
  </si>
  <si>
    <t>0333-3456789</t>
  </si>
  <si>
    <t>bilal@vivo.pk</t>
  </si>
  <si>
    <t>SUP-004</t>
  </si>
  <si>
    <t>Zain Raza</t>
  </si>
  <si>
    <t>0345-4567890</t>
  </si>
  <si>
    <t>zain@oppo.pk</t>
  </si>
  <si>
    <t>Islamabad</t>
  </si>
  <si>
    <t>SUP-005</t>
  </si>
  <si>
    <t>Ayesha Butt</t>
  </si>
  <si>
    <t>0301-5678901</t>
  </si>
  <si>
    <t>ayesha@realme.pk</t>
  </si>
  <si>
    <t>SUP-006</t>
  </si>
  <si>
    <t>Kamran Iqbal</t>
  </si>
  <si>
    <t>0311-6789012</t>
  </si>
  <si>
    <t>kamran@xiaomi.pk</t>
  </si>
  <si>
    <t>SUP-007</t>
  </si>
  <si>
    <t>Computers</t>
  </si>
  <si>
    <t>Sobia Hashmi</t>
  </si>
  <si>
    <t>0321-7890123</t>
  </si>
  <si>
    <t>sobia@dell.pk</t>
  </si>
  <si>
    <t>SUP-008</t>
  </si>
  <si>
    <t>Asif Mehmood</t>
  </si>
  <si>
    <t>0333-8901234</t>
  </si>
  <si>
    <t>asif@hp.pk</t>
  </si>
  <si>
    <t>SUP-009</t>
  </si>
  <si>
    <t>Rabia Noor</t>
  </si>
  <si>
    <t>0300-9012345</t>
  </si>
  <si>
    <t>rabia@lenovo.pk</t>
  </si>
  <si>
    <t>SUP-010</t>
  </si>
  <si>
    <t>Tariq Javed</t>
  </si>
  <si>
    <t>0321-0123456</t>
  </si>
  <si>
    <t>tariq@asus.pk</t>
  </si>
  <si>
    <t>SUP-011</t>
  </si>
  <si>
    <t>Hina Shah</t>
  </si>
  <si>
    <t>0345-1234567</t>
  </si>
  <si>
    <t>hina@acer.pk</t>
  </si>
  <si>
    <t>SUP-012</t>
  </si>
  <si>
    <t>Usman Ghani</t>
  </si>
  <si>
    <t>0301-2345678</t>
  </si>
  <si>
    <t>usman@tcl.pk</t>
  </si>
  <si>
    <t>SUP-013</t>
  </si>
  <si>
    <t>Appliances</t>
  </si>
  <si>
    <t>Mehwish Arif</t>
  </si>
  <si>
    <t>0311-3456789</t>
  </si>
  <si>
    <t>mehwish@haier.pk</t>
  </si>
  <si>
    <t>SUP-014</t>
  </si>
  <si>
    <t>Faisal Qureshi</t>
  </si>
  <si>
    <t>0333-4567890</t>
  </si>
  <si>
    <t>faisal@dawlance.pk</t>
  </si>
  <si>
    <t>SUP-015</t>
  </si>
  <si>
    <t>Nadia Waseem</t>
  </si>
  <si>
    <t>0300-5678901</t>
  </si>
  <si>
    <t>nadia@pel.pk</t>
  </si>
  <si>
    <t>SUP-016</t>
  </si>
  <si>
    <t>Rizwan Baig</t>
  </si>
  <si>
    <t>0321-6789012</t>
  </si>
  <si>
    <t>rizwan@orient.pk</t>
  </si>
  <si>
    <t>SUP-017</t>
  </si>
  <si>
    <t>Shahida Pervez</t>
  </si>
  <si>
    <t>0345-7890123</t>
  </si>
  <si>
    <t>shahida@lg.pk</t>
  </si>
  <si>
    <t>SUP-018</t>
  </si>
  <si>
    <t>Hamza Tariq</t>
  </si>
  <si>
    <t>0301-8901234</t>
  </si>
  <si>
    <t>hamza@sony.pk</t>
  </si>
  <si>
    <t>SUP-019</t>
  </si>
  <si>
    <t>Grocery</t>
  </si>
  <si>
    <t>Abdul Rehman</t>
  </si>
  <si>
    <t>0311-9012345</t>
  </si>
  <si>
    <t>ar@falak.pk</t>
  </si>
  <si>
    <t>SUP-020</t>
  </si>
  <si>
    <t>Razia Sultana</t>
  </si>
  <si>
    <t>0333-0123456</t>
  </si>
  <si>
    <t>razia@sunridge.pk</t>
  </si>
  <si>
    <t>SUP-021</t>
  </si>
  <si>
    <t>Saadat Ali</t>
  </si>
  <si>
    <t>0300-1234568</t>
  </si>
  <si>
    <t>saadat@national.pk</t>
  </si>
  <si>
    <t>SUP-022</t>
  </si>
  <si>
    <t>Munazza Begum</t>
  </si>
  <si>
    <t>0321-2345679</t>
  </si>
  <si>
    <t>munazza@shan.pk</t>
  </si>
  <si>
    <t>SUP-023</t>
  </si>
  <si>
    <t>Irfan Hussain</t>
  </si>
  <si>
    <t>0345-3456780</t>
  </si>
  <si>
    <t>irfan@dalda.pk</t>
  </si>
  <si>
    <t>SUP-024</t>
  </si>
  <si>
    <t>Roohi Fatima</t>
  </si>
  <si>
    <t>0301-4567891</t>
  </si>
  <si>
    <t>roohi@mehran.pk</t>
  </si>
  <si>
    <t>SUP-025</t>
  </si>
  <si>
    <t>FMCG</t>
  </si>
  <si>
    <t>Zubair Ahmed</t>
  </si>
  <si>
    <t>0311-5678902</t>
  </si>
  <si>
    <t>zubair@nestle.pk</t>
  </si>
  <si>
    <t>SUP-026</t>
  </si>
  <si>
    <t>Sidra Malik</t>
  </si>
  <si>
    <t>0333-6789013</t>
  </si>
  <si>
    <t>sidra@unilever.pk</t>
  </si>
  <si>
    <t>SUP-027</t>
  </si>
  <si>
    <t>Nouman Siddiqui</t>
  </si>
  <si>
    <t>0300-7890124</t>
  </si>
  <si>
    <t>nouman@pg.pk</t>
  </si>
  <si>
    <t>SUP-028</t>
  </si>
  <si>
    <t>Ambreen Riaz</t>
  </si>
  <si>
    <t>0321-8901235</t>
  </si>
  <si>
    <t>ambreen@reckitt.pk</t>
  </si>
  <si>
    <t>SUP-029</t>
  </si>
  <si>
    <t>Khurram Shah</t>
  </si>
  <si>
    <t>0345-9012346</t>
  </si>
  <si>
    <t>khurram@tapal.pk</t>
  </si>
  <si>
    <t>SUP-030</t>
  </si>
  <si>
    <t>Zubaida Begum</t>
  </si>
  <si>
    <t>0301-0123457</t>
  </si>
  <si>
    <t>zubaida@hamdard.pk</t>
  </si>
  <si>
    <t>SUP-031</t>
  </si>
  <si>
    <t>Dairy</t>
  </si>
  <si>
    <t>Imran Waheed</t>
  </si>
  <si>
    <t>0311-1234568</t>
  </si>
  <si>
    <t>imran@fclpk.pk</t>
  </si>
  <si>
    <t>SUP-032</t>
  </si>
  <si>
    <t>Samina Chaudhry</t>
  </si>
  <si>
    <t>0333-2345679</t>
  </si>
  <si>
    <t>samina@haleeb.pk</t>
  </si>
  <si>
    <t>SUP-033</t>
  </si>
  <si>
    <t>KNs Pakistan</t>
  </si>
  <si>
    <t>Frozen Foods</t>
  </si>
  <si>
    <t>Danish Mirza</t>
  </si>
  <si>
    <t>0300-3456780</t>
  </si>
  <si>
    <t>danish@kns.pk</t>
  </si>
  <si>
    <t>SUP-034</t>
  </si>
  <si>
    <t>Food</t>
  </si>
  <si>
    <t>Sana Rehman</t>
  </si>
  <si>
    <t>0321-4567891</t>
  </si>
  <si>
    <t>sana@dawn.pk</t>
  </si>
  <si>
    <t>SUP-035</t>
  </si>
  <si>
    <t>Textiles</t>
  </si>
  <si>
    <t>Farida Hanif</t>
  </si>
  <si>
    <t>0345-5678902</t>
  </si>
  <si>
    <t>farida@gulahmad.pk</t>
  </si>
  <si>
    <t>SUP-036</t>
  </si>
  <si>
    <t>Amina Qureshi</t>
  </si>
  <si>
    <t>0301-6789013</t>
  </si>
  <si>
    <t>amina@khaadi.pk</t>
  </si>
  <si>
    <t>SUP-037</t>
  </si>
  <si>
    <t>Sabiha Yousuf</t>
  </si>
  <si>
    <t>0311-7890124</t>
  </si>
  <si>
    <t>sabiha@sanasafinaz.pk</t>
  </si>
  <si>
    <t>SUP-038</t>
  </si>
  <si>
    <t>Shakeel Baig</t>
  </si>
  <si>
    <t>0333-8901235</t>
  </si>
  <si>
    <t>shakeel@nishat.pk</t>
  </si>
  <si>
    <t>SUP-039</t>
  </si>
  <si>
    <t>J (Junaid Jamshed)</t>
  </si>
  <si>
    <t>Humera Ashraf</t>
  </si>
  <si>
    <t>0300-9012346</t>
  </si>
  <si>
    <t>humera@junaidjamshed.pk</t>
  </si>
  <si>
    <t>SUP-040</t>
  </si>
  <si>
    <t>Waqas Hassan</t>
  </si>
  <si>
    <t>0321-0123457</t>
  </si>
  <si>
    <t>waqas@bata.pk</t>
  </si>
  <si>
    <t>SUP-041</t>
  </si>
  <si>
    <t>Rukhsana Khatun</t>
  </si>
  <si>
    <t>0345-1234568</t>
  </si>
  <si>
    <t>rukhsana@servis.pk</t>
  </si>
  <si>
    <t>SUP-042</t>
  </si>
  <si>
    <t>Construction</t>
  </si>
  <si>
    <t>Asad Ullah</t>
  </si>
  <si>
    <t>0301-2345679</t>
  </si>
  <si>
    <t>asad@dgkcement.pk</t>
  </si>
  <si>
    <t>SUP-043</t>
  </si>
  <si>
    <t>Shahbaz Khan</t>
  </si>
  <si>
    <t>0311-3456780</t>
  </si>
  <si>
    <t>shahbaz@lucky.pk</t>
  </si>
  <si>
    <t>SUP-044</t>
  </si>
  <si>
    <t>Paints</t>
  </si>
  <si>
    <t>Nasreen Akhtar</t>
  </si>
  <si>
    <t>0333-4567891</t>
  </si>
  <si>
    <t>nasreen@ici.pk</t>
  </si>
  <si>
    <t>SUP-045</t>
  </si>
  <si>
    <t>Kashif Rana</t>
  </si>
  <si>
    <t>0300-5678902</t>
  </si>
  <si>
    <t>kashif@berger.pk</t>
  </si>
  <si>
    <t>SUP-046</t>
  </si>
  <si>
    <t>Pervez Amjad</t>
  </si>
  <si>
    <t>0321-6789013</t>
  </si>
  <si>
    <t>pervez@amreli.pk</t>
  </si>
  <si>
    <t>SUP-047</t>
  </si>
  <si>
    <t>Electrical</t>
  </si>
  <si>
    <t>Iqbal Chaudhry</t>
  </si>
  <si>
    <t>0345-7890124</t>
  </si>
  <si>
    <t>iqbal@pakcables.pk</t>
  </si>
  <si>
    <t>SUP-048</t>
  </si>
  <si>
    <t>Tahira Naz</t>
  </si>
  <si>
    <t>0301-8901235</t>
  </si>
  <si>
    <t>tahira@siemens.pk</t>
  </si>
  <si>
    <t>SUP-049</t>
  </si>
  <si>
    <t>Lighting</t>
  </si>
  <si>
    <t>Raza Hussain</t>
  </si>
  <si>
    <t>0311-9012346</t>
  </si>
  <si>
    <t>raza@philips.pk</t>
  </si>
  <si>
    <t>SUP-050</t>
  </si>
  <si>
    <t>Pharma</t>
  </si>
  <si>
    <t>Nargis Khanam</t>
  </si>
  <si>
    <t>0333-0123457</t>
  </si>
  <si>
    <t>nargis@gsk.pk</t>
  </si>
  <si>
    <t>SUP-051</t>
  </si>
  <si>
    <t>Shafiq Ahmed</t>
  </si>
  <si>
    <t>0300-1234569</t>
  </si>
  <si>
    <t>shafiq@abbott.pk</t>
  </si>
  <si>
    <t>SUP-052</t>
  </si>
  <si>
    <t>Tools</t>
  </si>
  <si>
    <t>Khalid Mahmood</t>
  </si>
  <si>
    <t>0321-2345680</t>
  </si>
  <si>
    <t>khalid@bosch.pk</t>
  </si>
  <si>
    <t>SUP-053</t>
  </si>
  <si>
    <t>Aftab Hussain</t>
  </si>
  <si>
    <t>0345-3456781</t>
  </si>
  <si>
    <t>aftab@stanley.pk</t>
  </si>
  <si>
    <t>SUP-054</t>
  </si>
  <si>
    <t>Auto</t>
  </si>
  <si>
    <t>Farhan Zafar</t>
  </si>
  <si>
    <t>0301-4567892</t>
  </si>
  <si>
    <t>farhan@castrol.pk</t>
  </si>
  <si>
    <t>SUP-055</t>
  </si>
  <si>
    <t>Raheela Bibi</t>
  </si>
  <si>
    <t>0311-5678903</t>
  </si>
  <si>
    <t>raheela@shell.pk</t>
  </si>
  <si>
    <t>SUP-056</t>
  </si>
  <si>
    <t>Sohail Mirza</t>
  </si>
  <si>
    <t>0333-6789014</t>
  </si>
  <si>
    <t>sohail@gentyre.pk</t>
  </si>
  <si>
    <t>SUP-057</t>
  </si>
  <si>
    <t>Parveen Akhtar</t>
  </si>
  <si>
    <t>0300-7890125</t>
  </si>
  <si>
    <t>parveen@exide.pk</t>
  </si>
  <si>
    <t>SUP-058</t>
  </si>
  <si>
    <t>Stationery</t>
  </si>
  <si>
    <t>Waqar Ali</t>
  </si>
  <si>
    <t>0321-8901236</t>
  </si>
  <si>
    <t>waqar@panda.pk</t>
  </si>
  <si>
    <t>SUP-059</t>
  </si>
  <si>
    <t>Lubna Rafiq</t>
  </si>
  <si>
    <t>0345-9012347</t>
  </si>
  <si>
    <t>lubna@3m.pk</t>
  </si>
  <si>
    <t>SUP-060</t>
  </si>
  <si>
    <t>Casio Pakistan</t>
  </si>
  <si>
    <t>Tariq Bashir</t>
  </si>
  <si>
    <t>0301-0123458</t>
  </si>
  <si>
    <t>tariq@casio.pk</t>
  </si>
  <si>
    <t>CUSTOMER MASTER — AL-NOOR TRADING COMPANY</t>
  </si>
  <si>
    <t>Customer ID</t>
  </si>
  <si>
    <t>Customer Name</t>
  </si>
  <si>
    <t>Type</t>
  </si>
  <si>
    <t>Address</t>
  </si>
  <si>
    <t>Total Purchases (PKR)</t>
  </si>
  <si>
    <t>CUST-001</t>
  </si>
  <si>
    <t>Malik General Store</t>
  </si>
  <si>
    <t>Retail</t>
  </si>
  <si>
    <t>0300-1111001</t>
  </si>
  <si>
    <t>malik.store@gmail.com</t>
  </si>
  <si>
    <t>Shop 5, Hall Road, Lahore</t>
  </si>
  <si>
    <t>CUST-002</t>
  </si>
  <si>
    <t>Ahmed Electronics</t>
  </si>
  <si>
    <t>Wholesale</t>
  </si>
  <si>
    <t>0321-2222002</t>
  </si>
  <si>
    <t>ahmed.elec@gmail.com</t>
  </si>
  <si>
    <t>Plot 12, Brandreth Road</t>
  </si>
  <si>
    <t>CUST-003</t>
  </si>
  <si>
    <t>City Supermarket</t>
  </si>
  <si>
    <t>0333-3333003</t>
  </si>
  <si>
    <t>city.super@gmail.com</t>
  </si>
  <si>
    <t>Main Boulevard, Gulberg</t>
  </si>
  <si>
    <t>CUST-004</t>
  </si>
  <si>
    <t>Punjab Traders</t>
  </si>
  <si>
    <t>0345-4444004</t>
  </si>
  <si>
    <t>punjab.traders@hotmail.com</t>
  </si>
  <si>
    <t>Anarkali Bazaar, Lahore</t>
  </si>
  <si>
    <t>CUST-005</t>
  </si>
  <si>
    <t>Karachi Distributors</t>
  </si>
  <si>
    <t>Distributor</t>
  </si>
  <si>
    <t>0301-5555005</t>
  </si>
  <si>
    <t>khi.dist@gmail.com</t>
  </si>
  <si>
    <t>Saddar, Karachi</t>
  </si>
  <si>
    <t>CUST-006</t>
  </si>
  <si>
    <t>Islamabad Stores</t>
  </si>
  <si>
    <t>0311-6666006</t>
  </si>
  <si>
    <t>isb.stores@gmail.com</t>
  </si>
  <si>
    <t>F-10 Markaz, Islamabad</t>
  </si>
  <si>
    <t>CUST-007</t>
  </si>
  <si>
    <t>Al-Fatah Department Store</t>
  </si>
  <si>
    <t>Corporate</t>
  </si>
  <si>
    <t>0333-7777007</t>
  </si>
  <si>
    <t>alfatah@gmail.com</t>
  </si>
  <si>
    <t>Mall Road, Lahore</t>
  </si>
  <si>
    <t>CUST-008</t>
  </si>
  <si>
    <t>Imtiaz Super Market</t>
  </si>
  <si>
    <t>0300-8888008</t>
  </si>
  <si>
    <t>imtiaz.super@gmail.com</t>
  </si>
  <si>
    <t>Bahadurabad, Karachi</t>
  </si>
  <si>
    <t>CUST-009</t>
  </si>
  <si>
    <t>Rawalpindi Wholesale</t>
  </si>
  <si>
    <t>0321-9999009</t>
  </si>
  <si>
    <t>rwp.whole@gmail.com</t>
  </si>
  <si>
    <t>Rawalpindi</t>
  </si>
  <si>
    <t>Raja Bazaar, Rawalpindi</t>
  </si>
  <si>
    <t>CUST-010</t>
  </si>
  <si>
    <t>Faisalabad Cloth Merchant</t>
  </si>
  <si>
    <t>0345-1010010</t>
  </si>
  <si>
    <t>fsd.cloth@gmail.com</t>
  </si>
  <si>
    <t>Faisalabad</t>
  </si>
  <si>
    <t>Clock Tower, Faisalabad</t>
  </si>
  <si>
    <t>CUST-011</t>
  </si>
  <si>
    <t>Imran Khan Enterprises</t>
  </si>
  <si>
    <t>0302-2719583</t>
  </si>
  <si>
    <t>imran.khan@gmail.com</t>
  </si>
  <si>
    <t>Street 6, Rawalpindi</t>
  </si>
  <si>
    <t>CUST-012</t>
  </si>
  <si>
    <t>Sobia Ali General Store</t>
  </si>
  <si>
    <t>0303-4903402</t>
  </si>
  <si>
    <t>sobia.ali@gmail.com</t>
  </si>
  <si>
    <t>Street 36, Karachi</t>
  </si>
  <si>
    <t>CUST-013</t>
  </si>
  <si>
    <t>Bilal Qureshi Pvt Ltd</t>
  </si>
  <si>
    <t>0307-5667265</t>
  </si>
  <si>
    <t>bilal.qureshi@gmail.com</t>
  </si>
  <si>
    <t>Street 45, Rawalpindi</t>
  </si>
  <si>
    <t>CUST-014</t>
  </si>
  <si>
    <t>Sara Hussain Enterprises</t>
  </si>
  <si>
    <t>0305-2714803</t>
  </si>
  <si>
    <t>sara.hussain@gmail.com</t>
  </si>
  <si>
    <t>Street 7, Rawalpindi</t>
  </si>
  <si>
    <t>CUST-015</t>
  </si>
  <si>
    <t>Shahid Hussain &amp; Co</t>
  </si>
  <si>
    <t>0307-9996414</t>
  </si>
  <si>
    <t>shahid.hussain@gmail.com</t>
  </si>
  <si>
    <t>Street 6, Lahore</t>
  </si>
  <si>
    <t>CUST-016</t>
  </si>
  <si>
    <t>Rabia Shah &amp; Co</t>
  </si>
  <si>
    <t>0303-2166941</t>
  </si>
  <si>
    <t>rabia.shah@gmail.com</t>
  </si>
  <si>
    <t>Gujranwala</t>
  </si>
  <si>
    <t>Street 50, Gujranwala</t>
  </si>
  <si>
    <t>CUST-017</t>
  </si>
  <si>
    <t>Faisal Malik Distributors</t>
  </si>
  <si>
    <t>0304-8606962</t>
  </si>
  <si>
    <t>faisal.malik@gmail.com</t>
  </si>
  <si>
    <t>Peshawar</t>
  </si>
  <si>
    <t>Street 11, Peshawar</t>
  </si>
  <si>
    <t>CUST-018</t>
  </si>
  <si>
    <t>Shahid Hussain Distributors</t>
  </si>
  <si>
    <t>0309-3871230</t>
  </si>
  <si>
    <t>Street 11, Karachi</t>
  </si>
  <si>
    <t>CUST-019</t>
  </si>
  <si>
    <t>Sana Ali Enterprises</t>
  </si>
  <si>
    <t>0300-4842788</t>
  </si>
  <si>
    <t>sana.ali@gmail.com</t>
  </si>
  <si>
    <t>Multan</t>
  </si>
  <si>
    <t>Street 26, Multan</t>
  </si>
  <si>
    <t>CUST-020</t>
  </si>
  <si>
    <t>Usman Malik Distributors</t>
  </si>
  <si>
    <t>0307-7637601</t>
  </si>
  <si>
    <t>usman.malik@gmail.com</t>
  </si>
  <si>
    <t>Street 10, Rawalpindi</t>
  </si>
  <si>
    <t>CUST-021</t>
  </si>
  <si>
    <t>Usman Butt Distributors</t>
  </si>
  <si>
    <t>0306-7700828</t>
  </si>
  <si>
    <t>usman.butt@gmail.com</t>
  </si>
  <si>
    <t>Street 9, Gujranwala</t>
  </si>
  <si>
    <t>CUST-022</t>
  </si>
  <si>
    <t>Nadia Iqbal Traders</t>
  </si>
  <si>
    <t>0302-3684052</t>
  </si>
  <si>
    <t>nadia.iqbal@gmail.com</t>
  </si>
  <si>
    <t>Street 39, Karachi</t>
  </si>
  <si>
    <t>CUST-023</t>
  </si>
  <si>
    <t>Hassan Ali Sons</t>
  </si>
  <si>
    <t>0304-1192619</t>
  </si>
  <si>
    <t>hassan.ali@gmail.com</t>
  </si>
  <si>
    <t>Sialkot</t>
  </si>
  <si>
    <t>Street 44, Sialkot</t>
  </si>
  <si>
    <t>CUST-024</t>
  </si>
  <si>
    <t>Rabia Shah Brothers</t>
  </si>
  <si>
    <t>0306-3653446</t>
  </si>
  <si>
    <t>Street 47, Faisalabad</t>
  </si>
  <si>
    <t>CUST-025</t>
  </si>
  <si>
    <t>Usman Rehman Merchants</t>
  </si>
  <si>
    <t>0308-4337174</t>
  </si>
  <si>
    <t>usman.rehman@gmail.com</t>
  </si>
  <si>
    <t>Street 49, Faisalabad</t>
  </si>
  <si>
    <t>CUST-026</t>
  </si>
  <si>
    <t>Tariq Rehman Pvt Ltd</t>
  </si>
  <si>
    <t>0305-9197443</t>
  </si>
  <si>
    <t>tariq.rehman@gmail.com</t>
  </si>
  <si>
    <t>Street 24, Gujranwala</t>
  </si>
  <si>
    <t>CUST-027</t>
  </si>
  <si>
    <t>Faisal Raza General Store</t>
  </si>
  <si>
    <t>0301-2437026</t>
  </si>
  <si>
    <t>faisal.raza@gmail.com</t>
  </si>
  <si>
    <t>Street 5, Gujranwala</t>
  </si>
  <si>
    <t>CUST-028</t>
  </si>
  <si>
    <t>Rabia Butt Merchants</t>
  </si>
  <si>
    <t>0302-5446912</t>
  </si>
  <si>
    <t>rabia.butt@gmail.com</t>
  </si>
  <si>
    <t>Street 14, Sialkot</t>
  </si>
  <si>
    <t>CUST-029</t>
  </si>
  <si>
    <t>Rabia Qureshi Distributors</t>
  </si>
  <si>
    <t>0305-8350099</t>
  </si>
  <si>
    <t>rabia.qureshi@gmail.com</t>
  </si>
  <si>
    <t>Street 8, Peshawar</t>
  </si>
  <si>
    <t>CUST-030</t>
  </si>
  <si>
    <t>Zain Raza Traders</t>
  </si>
  <si>
    <t>0309-4860684</t>
  </si>
  <si>
    <t>zain.raza@gmail.com</t>
  </si>
  <si>
    <t>Street 1, Lahore</t>
  </si>
  <si>
    <t>CUST-031</t>
  </si>
  <si>
    <t>Hassan Qureshi General Store</t>
  </si>
  <si>
    <t>0300-6543670</t>
  </si>
  <si>
    <t>hassan.qureshi@gmail.com</t>
  </si>
  <si>
    <t>Street 16, Karachi</t>
  </si>
  <si>
    <t>CUST-032</t>
  </si>
  <si>
    <t>Usman Siddiqui Co.</t>
  </si>
  <si>
    <t>0302-8930103</t>
  </si>
  <si>
    <t>usman.siddiqui@gmail.com</t>
  </si>
  <si>
    <t>Street 27, Sialkot</t>
  </si>
  <si>
    <t>CUST-033</t>
  </si>
  <si>
    <t>Bilal Malik Traders</t>
  </si>
  <si>
    <t>0306-7897151</t>
  </si>
  <si>
    <t>bilal.malik@gmail.com</t>
  </si>
  <si>
    <t>Street 44, Multan</t>
  </si>
  <si>
    <t>CUST-034</t>
  </si>
  <si>
    <t>Imran Khan Sons</t>
  </si>
  <si>
    <t>0303-4214348</t>
  </si>
  <si>
    <t>Street 29, Karachi</t>
  </si>
  <si>
    <t>CUST-035</t>
  </si>
  <si>
    <t>Kashif Ali Merchants</t>
  </si>
  <si>
    <t>0303-2264748</t>
  </si>
  <si>
    <t>kashif.ali@gmail.com</t>
  </si>
  <si>
    <t>Quetta</t>
  </si>
  <si>
    <t>Street 7, Quetta</t>
  </si>
  <si>
    <t>CUST-036</t>
  </si>
  <si>
    <t>Ahmed Siddiqui Pvt Ltd</t>
  </si>
  <si>
    <t>0303-3790237</t>
  </si>
  <si>
    <t>ahmed.siddiqui@gmail.com</t>
  </si>
  <si>
    <t>Street 31, Karachi</t>
  </si>
  <si>
    <t>CUST-037</t>
  </si>
  <si>
    <t>Bilal Ali General Store</t>
  </si>
  <si>
    <t>0300-7550190</t>
  </si>
  <si>
    <t>bilal.ali@gmail.com</t>
  </si>
  <si>
    <t>Street 19, Peshawar</t>
  </si>
  <si>
    <t>CUST-038</t>
  </si>
  <si>
    <t>Sara Qureshi Pvt Ltd</t>
  </si>
  <si>
    <t>0303-5977931</t>
  </si>
  <si>
    <t>sara.qureshi@gmail.com</t>
  </si>
  <si>
    <t>Street 38, Islamabad</t>
  </si>
  <si>
    <t>CUST-039</t>
  </si>
  <si>
    <t>Rabia Khan Brothers</t>
  </si>
  <si>
    <t>0309-8999183</t>
  </si>
  <si>
    <t>rabia.khan@gmail.com</t>
  </si>
  <si>
    <t>Street 11, Lahore</t>
  </si>
  <si>
    <t>CUST-040</t>
  </si>
  <si>
    <t>Ahmed Rehman Traders</t>
  </si>
  <si>
    <t>0309-2140194</t>
  </si>
  <si>
    <t>ahmed.rehman@gmail.com</t>
  </si>
  <si>
    <t>Street 26, Karachi</t>
  </si>
  <si>
    <t>CUST-041</t>
  </si>
  <si>
    <t>Imran Chaudhry Distributors</t>
  </si>
  <si>
    <t>0301-8033426</t>
  </si>
  <si>
    <t>imran.chaudhry@gmail.com</t>
  </si>
  <si>
    <t>Street 37, Gujranwala</t>
  </si>
  <si>
    <t>CUST-042</t>
  </si>
  <si>
    <t>Nadia Hussain Enterprises</t>
  </si>
  <si>
    <t>0303-5456272</t>
  </si>
  <si>
    <t>nadia.hussain@gmail.com</t>
  </si>
  <si>
    <t>Street 43, Multan</t>
  </si>
  <si>
    <t>CUST-043</t>
  </si>
  <si>
    <t>Faisal Iqbal Brothers</t>
  </si>
  <si>
    <t>0307-2677407</t>
  </si>
  <si>
    <t>faisal.iqbal@gmail.com</t>
  </si>
  <si>
    <t>Street 14, Lahore</t>
  </si>
  <si>
    <t>CUST-044</t>
  </si>
  <si>
    <t>Nadia Shah Merchants</t>
  </si>
  <si>
    <t>0303-7199635</t>
  </si>
  <si>
    <t>nadia.shah@gmail.com</t>
  </si>
  <si>
    <t>CUST-045</t>
  </si>
  <si>
    <t>Rabia Qureshi Enterprises</t>
  </si>
  <si>
    <t>0304-2737893</t>
  </si>
  <si>
    <t>Street 8, Sialkot</t>
  </si>
  <si>
    <t>CUST-046</t>
  </si>
  <si>
    <t>Imran Qureshi Pvt Ltd</t>
  </si>
  <si>
    <t>0304-4533779</t>
  </si>
  <si>
    <t>imran.qureshi@gmail.com</t>
  </si>
  <si>
    <t>Street 14, Faisalabad</t>
  </si>
  <si>
    <t>CUST-047</t>
  </si>
  <si>
    <t>Usman Rehman Co.</t>
  </si>
  <si>
    <t>0301-8106422</t>
  </si>
  <si>
    <t>CUST-048</t>
  </si>
  <si>
    <t>Amir Butt Enterprises</t>
  </si>
  <si>
    <t>0308-8175395</t>
  </si>
  <si>
    <t>amir.butt@gmail.com</t>
  </si>
  <si>
    <t>Street 8, Quetta</t>
  </si>
  <si>
    <t>CUST-049</t>
  </si>
  <si>
    <t>Hassan Qureshi Merchants</t>
  </si>
  <si>
    <t>0309-3484601</t>
  </si>
  <si>
    <t>Street 3, Multan</t>
  </si>
  <si>
    <t>CUST-050</t>
  </si>
  <si>
    <t>Faisal Hussain General Store</t>
  </si>
  <si>
    <t>0303-2724590</t>
  </si>
  <si>
    <t>faisal.hussain@gmail.com</t>
  </si>
  <si>
    <t>Street 27, Rawalpindi</t>
  </si>
  <si>
    <t>CUST-051</t>
  </si>
  <si>
    <t>Mehwish Qureshi Merchants</t>
  </si>
  <si>
    <t>0302-7917152</t>
  </si>
  <si>
    <t>mehwish.qureshi@gmail.com</t>
  </si>
  <si>
    <t>Street 48, Islamabad</t>
  </si>
  <si>
    <t>CUST-052</t>
  </si>
  <si>
    <t>Amir Ali Distributors</t>
  </si>
  <si>
    <t>0301-7417985</t>
  </si>
  <si>
    <t>amir.ali@gmail.com</t>
  </si>
  <si>
    <t>Street 15, Islamabad</t>
  </si>
  <si>
    <t>CUST-053</t>
  </si>
  <si>
    <t>Bilal Iqbal Brothers</t>
  </si>
  <si>
    <t>0303-1397023</t>
  </si>
  <si>
    <t>bilal.iqbal@gmail.com</t>
  </si>
  <si>
    <t>Street 26, Rawalpindi</t>
  </si>
  <si>
    <t>CUST-054</t>
  </si>
  <si>
    <t>Amir Shah Traders</t>
  </si>
  <si>
    <t>0308-7705490</t>
  </si>
  <si>
    <t>amir.shah@gmail.com</t>
  </si>
  <si>
    <t>Street 22, Multan</t>
  </si>
  <si>
    <t>CUST-055</t>
  </si>
  <si>
    <t>Ali Malik Enterprises</t>
  </si>
  <si>
    <t>0304-1641849</t>
  </si>
  <si>
    <t>ali.malik@gmail.com</t>
  </si>
  <si>
    <t>Street 23, Gujranwala</t>
  </si>
  <si>
    <t>CUST-056</t>
  </si>
  <si>
    <t>Amir Ali &amp; Co</t>
  </si>
  <si>
    <t>0309-4188992</t>
  </si>
  <si>
    <t>Street 46, Peshawar</t>
  </si>
  <si>
    <t>CUST-057</t>
  </si>
  <si>
    <t>Sara Khan Pvt Ltd</t>
  </si>
  <si>
    <t>0306-2173965</t>
  </si>
  <si>
    <t>sara.khan@gmail.com</t>
  </si>
  <si>
    <t>Street 40, Multan</t>
  </si>
  <si>
    <t>CUST-058</t>
  </si>
  <si>
    <t>Amir Siddiqui Traders</t>
  </si>
  <si>
    <t>0304-7851696</t>
  </si>
  <si>
    <t>amir.siddiqui@gmail.com</t>
  </si>
  <si>
    <t>Street 45, Sialkot</t>
  </si>
  <si>
    <t>CUST-059</t>
  </si>
  <si>
    <t>Faisal Rehman Merchants</t>
  </si>
  <si>
    <t>0306-3919694</t>
  </si>
  <si>
    <t>faisal.rehman@gmail.com</t>
  </si>
  <si>
    <t>Street 20, Peshawar</t>
  </si>
  <si>
    <t>CUST-060</t>
  </si>
  <si>
    <t>Hina Rehman General Store</t>
  </si>
  <si>
    <t>0303-8212326</t>
  </si>
  <si>
    <t>hina.rehman@gmail.com</t>
  </si>
  <si>
    <t>Street 30, Faisalabad</t>
  </si>
  <si>
    <t>CUST-061</t>
  </si>
  <si>
    <t>Sana Iqbal Distributors</t>
  </si>
  <si>
    <t>0301-5761145</t>
  </si>
  <si>
    <t>sana.iqbal@gmail.com</t>
  </si>
  <si>
    <t>Street 6, Islamabad</t>
  </si>
  <si>
    <t>CUST-062</t>
  </si>
  <si>
    <t>Zain Siddiqui Enterprises</t>
  </si>
  <si>
    <t>0302-1409790</t>
  </si>
  <si>
    <t>zain.siddiqui@gmail.com</t>
  </si>
  <si>
    <t>Street 31, Rawalpindi</t>
  </si>
  <si>
    <t>CUST-063</t>
  </si>
  <si>
    <t>Mehwish Malik Co.</t>
  </si>
  <si>
    <t>0303-7442089</t>
  </si>
  <si>
    <t>mehwish.malik@gmail.com</t>
  </si>
  <si>
    <t>Street 16, Gujranwala</t>
  </si>
  <si>
    <t>CUST-064</t>
  </si>
  <si>
    <t>Kashif Siddiqui General Store</t>
  </si>
  <si>
    <t>0303-3950888</t>
  </si>
  <si>
    <t>kashif.siddiqui@gmail.com</t>
  </si>
  <si>
    <t>Street 30, Peshawar</t>
  </si>
  <si>
    <t>CUST-065</t>
  </si>
  <si>
    <t>Ahmed Rehman Distributors</t>
  </si>
  <si>
    <t>0302-8795419</t>
  </si>
  <si>
    <t>Street 36, Quetta</t>
  </si>
  <si>
    <t>CUST-066</t>
  </si>
  <si>
    <t>Mehwish Hussain Co.</t>
  </si>
  <si>
    <t>0307-3670226</t>
  </si>
  <si>
    <t>mehwish.hussain@gmail.com</t>
  </si>
  <si>
    <t>Street 29, Sialkot</t>
  </si>
  <si>
    <t>CUST-067</t>
  </si>
  <si>
    <t>Usman Raza Enterprises</t>
  </si>
  <si>
    <t>0304-8379837</t>
  </si>
  <si>
    <t>usman.raza@gmail.com</t>
  </si>
  <si>
    <t>Street 16, Rawalpindi</t>
  </si>
  <si>
    <t>CUST-068</t>
  </si>
  <si>
    <t>Usman Hussain Brothers</t>
  </si>
  <si>
    <t>0302-4879923</t>
  </si>
  <si>
    <t>usman.hussain@gmail.com</t>
  </si>
  <si>
    <t>Street 46, Islamabad</t>
  </si>
  <si>
    <t>CUST-069</t>
  </si>
  <si>
    <t>Bilal Malik Sons</t>
  </si>
  <si>
    <t>0308-8816912</t>
  </si>
  <si>
    <t>Street 14, Multan</t>
  </si>
  <si>
    <t>CUST-070</t>
  </si>
  <si>
    <t>Sara Ali &amp; Co</t>
  </si>
  <si>
    <t>0306-9002392</t>
  </si>
  <si>
    <t>sara.ali@gmail.com</t>
  </si>
  <si>
    <t>Street 20, Gujranwala</t>
  </si>
  <si>
    <t>CUST-071</t>
  </si>
  <si>
    <t>Hina Ali Pvt Ltd</t>
  </si>
  <si>
    <t>0303-5579094</t>
  </si>
  <si>
    <t>hina.ali@gmail.com</t>
  </si>
  <si>
    <t>Street 2, Quetta</t>
  </si>
  <si>
    <t>CUST-072</t>
  </si>
  <si>
    <t>Hina Hussain Sons</t>
  </si>
  <si>
    <t>0302-9961107</t>
  </si>
  <si>
    <t>hina.hussain@gmail.com</t>
  </si>
  <si>
    <t>Street 38, Quetta</t>
  </si>
  <si>
    <t>CUST-073</t>
  </si>
  <si>
    <t>Sobia Siddiqui General Store</t>
  </si>
  <si>
    <t>0302-8746014</t>
  </si>
  <si>
    <t>sobia.siddiqui@gmail.com</t>
  </si>
  <si>
    <t>Street 17, Peshawar</t>
  </si>
  <si>
    <t>CUST-074</t>
  </si>
  <si>
    <t>Hina Hussain Distributors</t>
  </si>
  <si>
    <t>0305-7360682</t>
  </si>
  <si>
    <t>Street 17, Multan</t>
  </si>
  <si>
    <t>CUST-075</t>
  </si>
  <si>
    <t>Hassan Iqbal General Store</t>
  </si>
  <si>
    <t>0303-2151225</t>
  </si>
  <si>
    <t>hassan.iqbal@gmail.com</t>
  </si>
  <si>
    <t>Street 49, Multan</t>
  </si>
  <si>
    <t>CUST-076</t>
  </si>
  <si>
    <t>Ali Raza Distributors</t>
  </si>
  <si>
    <t>0302-5002120</t>
  </si>
  <si>
    <t>ali.raza@gmail.com</t>
  </si>
  <si>
    <t>Street 43, Gujranwala</t>
  </si>
  <si>
    <t>CUST-077</t>
  </si>
  <si>
    <t>0305-3815034</t>
  </si>
  <si>
    <t>Street 50, Faisalabad</t>
  </si>
  <si>
    <t>CUST-078</t>
  </si>
  <si>
    <t>Tariq Shah Traders</t>
  </si>
  <si>
    <t>0309-7296605</t>
  </si>
  <si>
    <t>tariq.shah@gmail.com</t>
  </si>
  <si>
    <t>Street 5, Faisalabad</t>
  </si>
  <si>
    <t>CUST-079</t>
  </si>
  <si>
    <t>Sobia Qureshi Distributors</t>
  </si>
  <si>
    <t>0309-3030966</t>
  </si>
  <si>
    <t>sobia.qureshi@gmail.com</t>
  </si>
  <si>
    <t>Street 23, Faisalabad</t>
  </si>
  <si>
    <t>CUST-080</t>
  </si>
  <si>
    <t>Rabia Ali Brothers</t>
  </si>
  <si>
    <t>0305-1212267</t>
  </si>
  <si>
    <t>rabia.ali@gmail.com</t>
  </si>
  <si>
    <t>Street 7, Sialkot</t>
  </si>
  <si>
    <t>CUST-081</t>
  </si>
  <si>
    <t>Sara Hussain Co.</t>
  </si>
  <si>
    <t>0302-9753457</t>
  </si>
  <si>
    <t>Street 40, Peshawar</t>
  </si>
  <si>
    <t>CUST-082</t>
  </si>
  <si>
    <t>Rabia Iqbal Co.</t>
  </si>
  <si>
    <t>0304-6407373</t>
  </si>
  <si>
    <t>rabia.iqbal@gmail.com</t>
  </si>
  <si>
    <t>Street 18, Gujranwala</t>
  </si>
  <si>
    <t>CUST-083</t>
  </si>
  <si>
    <t>Sana Raza Co.</t>
  </si>
  <si>
    <t>0300-9293086</t>
  </si>
  <si>
    <t>sana.raza@gmail.com</t>
  </si>
  <si>
    <t>Street 32, Multan</t>
  </si>
  <si>
    <t>CUST-084</t>
  </si>
  <si>
    <t>Bilal Hussain Enterprises</t>
  </si>
  <si>
    <t>0309-5635017</t>
  </si>
  <si>
    <t>bilal.hussain@gmail.com</t>
  </si>
  <si>
    <t>Street 34, Faisalabad</t>
  </si>
  <si>
    <t>CUST-085</t>
  </si>
  <si>
    <t>Bilal Malik Distributors</t>
  </si>
  <si>
    <t>0308-5031966</t>
  </si>
  <si>
    <t>Street 42, Quetta</t>
  </si>
  <si>
    <t>CUST-086</t>
  </si>
  <si>
    <t>Ayesha Iqbal General Store</t>
  </si>
  <si>
    <t>0303-7784725</t>
  </si>
  <si>
    <t>ayesha.iqbal@gmail.com</t>
  </si>
  <si>
    <t>Street 20, Faisalabad</t>
  </si>
  <si>
    <t>CUST-087</t>
  </si>
  <si>
    <t>Sobia Hussain Co.</t>
  </si>
  <si>
    <t>0308-6549757</t>
  </si>
  <si>
    <t>sobia.hussain@gmail.com</t>
  </si>
  <si>
    <t>Street 18, Peshawar</t>
  </si>
  <si>
    <t>CUST-088</t>
  </si>
  <si>
    <t>Faisal Shah Distributors</t>
  </si>
  <si>
    <t>0305-3005795</t>
  </si>
  <si>
    <t>faisal.shah@gmail.com</t>
  </si>
  <si>
    <t>Street 49, Rawalpindi</t>
  </si>
  <si>
    <t>CUST-089</t>
  </si>
  <si>
    <t>Tariq Raza Distributors</t>
  </si>
  <si>
    <t>0309-9801946</t>
  </si>
  <si>
    <t>tariq.raza@gmail.com</t>
  </si>
  <si>
    <t>Street 7, Faisalabad</t>
  </si>
  <si>
    <t>CUST-090</t>
  </si>
  <si>
    <t>Bilal Shah Distributors</t>
  </si>
  <si>
    <t>0304-1237370</t>
  </si>
  <si>
    <t>bilal.shah@gmail.com</t>
  </si>
  <si>
    <t>Street 9, Islamabad</t>
  </si>
  <si>
    <t>CUST-091</t>
  </si>
  <si>
    <t>Usman Khan General Store</t>
  </si>
  <si>
    <t>0307-2721135</t>
  </si>
  <si>
    <t>usman.khan@gmail.com</t>
  </si>
  <si>
    <t>Street 19, Islamabad</t>
  </si>
  <si>
    <t>CUST-092</t>
  </si>
  <si>
    <t>Ayesha Iqbal Co.</t>
  </si>
  <si>
    <t>0300-5235884</t>
  </si>
  <si>
    <t>Street 5, Islamabad</t>
  </si>
  <si>
    <t>CUST-093</t>
  </si>
  <si>
    <t>Hina Iqbal Traders</t>
  </si>
  <si>
    <t>0302-6097514</t>
  </si>
  <si>
    <t>hina.iqbal@gmail.com</t>
  </si>
  <si>
    <t>Street 8, Islamabad</t>
  </si>
  <si>
    <t>CUST-094</t>
  </si>
  <si>
    <t>Rabia Ali &amp; Co</t>
  </si>
  <si>
    <t>0306-8558378</t>
  </si>
  <si>
    <t>Street 38, Sialkot</t>
  </si>
  <si>
    <t>CUST-095</t>
  </si>
  <si>
    <t>Sara Shah &amp; Co</t>
  </si>
  <si>
    <t>0301-4486102</t>
  </si>
  <si>
    <t>sara.shah@gmail.com</t>
  </si>
  <si>
    <t>Street 17, Gujranwala</t>
  </si>
  <si>
    <t>CUST-096</t>
  </si>
  <si>
    <t>Hassan Butt Distributors</t>
  </si>
  <si>
    <t>0301-3626181</t>
  </si>
  <si>
    <t>hassan.butt@gmail.com</t>
  </si>
  <si>
    <t>CUST-097</t>
  </si>
  <si>
    <t>Mehwish Iqbal Enterprises</t>
  </si>
  <si>
    <t>0304-5743227</t>
  </si>
  <si>
    <t>mehwish.iqbal@gmail.com</t>
  </si>
  <si>
    <t>Street 5, Rawalpindi</t>
  </si>
  <si>
    <t>CUST-098</t>
  </si>
  <si>
    <t>Zain Shah &amp; Co</t>
  </si>
  <si>
    <t>0301-4771676</t>
  </si>
  <si>
    <t>zain.shah@gmail.com</t>
  </si>
  <si>
    <t>CUST-099</t>
  </si>
  <si>
    <t>Kashif Malik General Store</t>
  </si>
  <si>
    <t>0309-5842082</t>
  </si>
  <si>
    <t>kashif.malik@gmail.com</t>
  </si>
  <si>
    <t>CUST-100</t>
  </si>
  <si>
    <t>Faisal Qureshi Sons</t>
  </si>
  <si>
    <t>0308-9284509</t>
  </si>
  <si>
    <t>faisal.qureshi@gmail.com</t>
  </si>
  <si>
    <t>Street 39, Sialkot</t>
  </si>
  <si>
    <t>PURCHASE ORDERS — AL-NOOR TRADING COMPANY (Jan–Dec 2024)</t>
  </si>
  <si>
    <t>PO Number</t>
  </si>
  <si>
    <t>Date</t>
  </si>
  <si>
    <t>Qty Ordered</t>
  </si>
  <si>
    <t>Unit Cost (PKR)</t>
  </si>
  <si>
    <t>Total Cost (PKR)</t>
  </si>
  <si>
    <t>Payment Status</t>
  </si>
  <si>
    <t>PO-2024001</t>
  </si>
  <si>
    <t>2024-10-19</t>
  </si>
  <si>
    <t>Received</t>
  </si>
  <si>
    <t>Paid</t>
  </si>
  <si>
    <t>PO-2024002</t>
  </si>
  <si>
    <t>2024-08-24</t>
  </si>
  <si>
    <t>Partially Received</t>
  </si>
  <si>
    <t>PO-2024003</t>
  </si>
  <si>
    <t>2024-09-23</t>
  </si>
  <si>
    <t>Unpaid</t>
  </si>
  <si>
    <t>PO-2024004</t>
  </si>
  <si>
    <t>2024-07-03</t>
  </si>
  <si>
    <t>Pending</t>
  </si>
  <si>
    <t>Partially Paid</t>
  </si>
  <si>
    <t>PO-2024005</t>
  </si>
  <si>
    <t>2024-08-03</t>
  </si>
  <si>
    <t>Cancelled</t>
  </si>
  <si>
    <t>PO-2024006</t>
  </si>
  <si>
    <t>2024-12-17</t>
  </si>
  <si>
    <t>PO-2024007</t>
  </si>
  <si>
    <t>2024-05-02</t>
  </si>
  <si>
    <t>PO-2024008</t>
  </si>
  <si>
    <t>2024-01-03</t>
  </si>
  <si>
    <t>PO-2024009</t>
  </si>
  <si>
    <t>2024-07-06</t>
  </si>
  <si>
    <t>PO-2024010</t>
  </si>
  <si>
    <t>2024-08-28</t>
  </si>
  <si>
    <t>PO-2024011</t>
  </si>
  <si>
    <t>2024-03-21</t>
  </si>
  <si>
    <t>PO-2024012</t>
  </si>
  <si>
    <t>2024-09-11</t>
  </si>
  <si>
    <t>PO-2024013</t>
  </si>
  <si>
    <t>2024-02-11</t>
  </si>
  <si>
    <t>PO-2024014</t>
  </si>
  <si>
    <t>2024-03-17</t>
  </si>
  <si>
    <t>PO-2024015</t>
  </si>
  <si>
    <t>2024-06-27</t>
  </si>
  <si>
    <t>PO-2024016</t>
  </si>
  <si>
    <t>2024-05-20</t>
  </si>
  <si>
    <t>PO-2024017</t>
  </si>
  <si>
    <t>2024-05-16</t>
  </si>
  <si>
    <t>PO-2024018</t>
  </si>
  <si>
    <t>2024-09-02</t>
  </si>
  <si>
    <t>PO-2024019</t>
  </si>
  <si>
    <t>PO-2024020</t>
  </si>
  <si>
    <t>2024-05-04</t>
  </si>
  <si>
    <t>PO-2024021</t>
  </si>
  <si>
    <t>2024-03-22</t>
  </si>
  <si>
    <t>PO-2024022</t>
  </si>
  <si>
    <t>2024-09-25</t>
  </si>
  <si>
    <t>PO-2024023</t>
  </si>
  <si>
    <t>2024-03-26</t>
  </si>
  <si>
    <t>PO-2024024</t>
  </si>
  <si>
    <t>PO-2024025</t>
  </si>
  <si>
    <t>2024-12-25</t>
  </si>
  <si>
    <t>PO-2024026</t>
  </si>
  <si>
    <t>2024-01-19</t>
  </si>
  <si>
    <t>PO-2024027</t>
  </si>
  <si>
    <t>2024-06-28</t>
  </si>
  <si>
    <t>PO-2024028</t>
  </si>
  <si>
    <t>2024-03-12</t>
  </si>
  <si>
    <t>PO-2024029</t>
  </si>
  <si>
    <t>2024-05-12</t>
  </si>
  <si>
    <t>PO-2024030</t>
  </si>
  <si>
    <t>2024-11-28</t>
  </si>
  <si>
    <t>PO-2024031</t>
  </si>
  <si>
    <t>2024-11-12</t>
  </si>
  <si>
    <t>PO-2024032</t>
  </si>
  <si>
    <t>2024-02-29</t>
  </si>
  <si>
    <t>PO-2024033</t>
  </si>
  <si>
    <t>2024-01-24</t>
  </si>
  <si>
    <t>PO-2024034</t>
  </si>
  <si>
    <t>2024-12-09</t>
  </si>
  <si>
    <t>PO-2024035</t>
  </si>
  <si>
    <t>PO-2024036</t>
  </si>
  <si>
    <t>2024-04-16</t>
  </si>
  <si>
    <t>PO-2024037</t>
  </si>
  <si>
    <t>2024-12-21</t>
  </si>
  <si>
    <t>PO-2024038</t>
  </si>
  <si>
    <t>2024-12-06</t>
  </si>
  <si>
    <t>PO-2024039</t>
  </si>
  <si>
    <t>2024-11-17</t>
  </si>
  <si>
    <t>PO-2024040</t>
  </si>
  <si>
    <t>2024-11-08</t>
  </si>
  <si>
    <t>PO-2024041</t>
  </si>
  <si>
    <t>2024-08-04</t>
  </si>
  <si>
    <t>PO-2024042</t>
  </si>
  <si>
    <t>PO-2024043</t>
  </si>
  <si>
    <t>PO-2024044</t>
  </si>
  <si>
    <t>2024-08-14</t>
  </si>
  <si>
    <t>PO-2024045</t>
  </si>
  <si>
    <t>2024-08-16</t>
  </si>
  <si>
    <t>PO-2024046</t>
  </si>
  <si>
    <t>2024-10-03</t>
  </si>
  <si>
    <t>PO-2024047</t>
  </si>
  <si>
    <t>2024-11-04</t>
  </si>
  <si>
    <t>PO-2024048</t>
  </si>
  <si>
    <t>2024-06-05</t>
  </si>
  <si>
    <t>PO-2024049</t>
  </si>
  <si>
    <t>2024-07-22</t>
  </si>
  <si>
    <t>PO-2024050</t>
  </si>
  <si>
    <t>2024-03-27</t>
  </si>
  <si>
    <t>PO-2024051</t>
  </si>
  <si>
    <t>2024-10-18</t>
  </si>
  <si>
    <t>PO-2024052</t>
  </si>
  <si>
    <t>PO-2024053</t>
  </si>
  <si>
    <t>2024-06-22</t>
  </si>
  <si>
    <t>PO-2024054</t>
  </si>
  <si>
    <t>2024-12-02</t>
  </si>
  <si>
    <t>PO-2024055</t>
  </si>
  <si>
    <t>2024-06-15</t>
  </si>
  <si>
    <t>PO-2024056</t>
  </si>
  <si>
    <t>2024-11-06</t>
  </si>
  <si>
    <t>PO-2024057</t>
  </si>
  <si>
    <t>2024-10-01</t>
  </si>
  <si>
    <t>PO-2024058</t>
  </si>
  <si>
    <t>2024-10-22</t>
  </si>
  <si>
    <t>PO-2024059</t>
  </si>
  <si>
    <t>2024-08-29</t>
  </si>
  <si>
    <t>PO-2024060</t>
  </si>
  <si>
    <t>2024-03-30</t>
  </si>
  <si>
    <t>PO-2024061</t>
  </si>
  <si>
    <t>2024-04-09</t>
  </si>
  <si>
    <t>PO-2024062</t>
  </si>
  <si>
    <t>2024-04-05</t>
  </si>
  <si>
    <t>PO-2024063</t>
  </si>
  <si>
    <t>2024-10-13</t>
  </si>
  <si>
    <t>PO-2024064</t>
  </si>
  <si>
    <t>2024-06-08</t>
  </si>
  <si>
    <t>PO-2024065</t>
  </si>
  <si>
    <t>2024-11-21</t>
  </si>
  <si>
    <t>PO-2024066</t>
  </si>
  <si>
    <t>2024-07-21</t>
  </si>
  <si>
    <t>PO-2024067</t>
  </si>
  <si>
    <t>2024-09-08</t>
  </si>
  <si>
    <t>PO-2024068</t>
  </si>
  <si>
    <t>2024-01-20</t>
  </si>
  <si>
    <t>PO-2024069</t>
  </si>
  <si>
    <t>2024-09-19</t>
  </si>
  <si>
    <t>PO-2024070</t>
  </si>
  <si>
    <t>2024-03-01</t>
  </si>
  <si>
    <t>PO-2024071</t>
  </si>
  <si>
    <t>2024-05-28</t>
  </si>
  <si>
    <t>PO-2024072</t>
  </si>
  <si>
    <t>2024-11-13</t>
  </si>
  <si>
    <t>PO-2024073</t>
  </si>
  <si>
    <t>PO-2024074</t>
  </si>
  <si>
    <t>2024-09-18</t>
  </si>
  <si>
    <t>PO-2024075</t>
  </si>
  <si>
    <t>2024-04-21</t>
  </si>
  <si>
    <t>PO-2024076</t>
  </si>
  <si>
    <t>2024-10-12</t>
  </si>
  <si>
    <t>PO-2024077</t>
  </si>
  <si>
    <t>2024-01-09</t>
  </si>
  <si>
    <t>PO-2024078</t>
  </si>
  <si>
    <t>2024-01-25</t>
  </si>
  <si>
    <t>PO-2024079</t>
  </si>
  <si>
    <t>2024-01-10</t>
  </si>
  <si>
    <t>PO-2024080</t>
  </si>
  <si>
    <t>2024-05-06</t>
  </si>
  <si>
    <t>PO-2024081</t>
  </si>
  <si>
    <t>2024-01-16</t>
  </si>
  <si>
    <t>PO-2024082</t>
  </si>
  <si>
    <t>PO-2024083</t>
  </si>
  <si>
    <t>2024-01-08</t>
  </si>
  <si>
    <t>PO-2024084</t>
  </si>
  <si>
    <t>PO-2024085</t>
  </si>
  <si>
    <t>2024-07-11</t>
  </si>
  <si>
    <t>PO-2024086</t>
  </si>
  <si>
    <t>2024-01-18</t>
  </si>
  <si>
    <t>PO-2024087</t>
  </si>
  <si>
    <t>2024-07-05</t>
  </si>
  <si>
    <t>PO-2024088</t>
  </si>
  <si>
    <t>2024-03-31</t>
  </si>
  <si>
    <t>PO-2024089</t>
  </si>
  <si>
    <t>2024-02-10</t>
  </si>
  <si>
    <t>PO-2024090</t>
  </si>
  <si>
    <t>2024-03-02</t>
  </si>
  <si>
    <t>PO-2024091</t>
  </si>
  <si>
    <t>2024-10-21</t>
  </si>
  <si>
    <t>PO-2024092</t>
  </si>
  <si>
    <t>2024-03-15</t>
  </si>
  <si>
    <t>PO-2024093</t>
  </si>
  <si>
    <t>2024-01-31</t>
  </si>
  <si>
    <t>PO-2024094</t>
  </si>
  <si>
    <t>2024-03-16</t>
  </si>
  <si>
    <t>PO-2024095</t>
  </si>
  <si>
    <t>2024-07-10</t>
  </si>
  <si>
    <t>PO-2024096</t>
  </si>
  <si>
    <t>2024-06-02</t>
  </si>
  <si>
    <t>PO-2024097</t>
  </si>
  <si>
    <t>2024-07-25</t>
  </si>
  <si>
    <t>PO-2024098</t>
  </si>
  <si>
    <t>2024-09-16</t>
  </si>
  <si>
    <t>PO-2024099</t>
  </si>
  <si>
    <t>2024-10-29</t>
  </si>
  <si>
    <t>PO-2024100</t>
  </si>
  <si>
    <t>2024-09-10</t>
  </si>
  <si>
    <t>PO-2024101</t>
  </si>
  <si>
    <t>2024-11-24</t>
  </si>
  <si>
    <t>PO-2024102</t>
  </si>
  <si>
    <t>2024-08-22</t>
  </si>
  <si>
    <t>PO-2024103</t>
  </si>
  <si>
    <t>PO-2024104</t>
  </si>
  <si>
    <t>PO-2024105</t>
  </si>
  <si>
    <t>2024-09-01</t>
  </si>
  <si>
    <t>PO-2024106</t>
  </si>
  <si>
    <t>2024-02-04</t>
  </si>
  <si>
    <t>PO-2024107</t>
  </si>
  <si>
    <t>2024-03-05</t>
  </si>
  <si>
    <t>PO-2024108</t>
  </si>
  <si>
    <t>2024-05-03</t>
  </si>
  <si>
    <t>PO-2024109</t>
  </si>
  <si>
    <t>2024-11-02</t>
  </si>
  <si>
    <t>PO-2024110</t>
  </si>
  <si>
    <t>PO-2024111</t>
  </si>
  <si>
    <t>PO-2024112</t>
  </si>
  <si>
    <t>2024-02-15</t>
  </si>
  <si>
    <t>PO-2024113</t>
  </si>
  <si>
    <t>2024-03-28</t>
  </si>
  <si>
    <t>PO-2024114</t>
  </si>
  <si>
    <t>2024-06-19</t>
  </si>
  <si>
    <t>PO-2024115</t>
  </si>
  <si>
    <t>2024-09-05</t>
  </si>
  <si>
    <t>PO-2024116</t>
  </si>
  <si>
    <t>2024-12-11</t>
  </si>
  <si>
    <t>PO-2024117</t>
  </si>
  <si>
    <t>2024-05-25</t>
  </si>
  <si>
    <t>PO-2024118</t>
  </si>
  <si>
    <t>2024-02-17</t>
  </si>
  <si>
    <t>PO-2024119</t>
  </si>
  <si>
    <t>2024-09-29</t>
  </si>
  <si>
    <t>PO-2024120</t>
  </si>
  <si>
    <t>2024-09-04</t>
  </si>
  <si>
    <t>PO-2024121</t>
  </si>
  <si>
    <t>2024-04-23</t>
  </si>
  <si>
    <t>PO-2024122</t>
  </si>
  <si>
    <t>2024-10-17</t>
  </si>
  <si>
    <t>PO-2024123</t>
  </si>
  <si>
    <t>2024-10-14</t>
  </si>
  <si>
    <t>PO-2024124</t>
  </si>
  <si>
    <t>PO-2024125</t>
  </si>
  <si>
    <t>2024-10-09</t>
  </si>
  <si>
    <t>PO-2024126</t>
  </si>
  <si>
    <t>2024-12-26</t>
  </si>
  <si>
    <t>PO-2024127</t>
  </si>
  <si>
    <t>2024-04-24</t>
  </si>
  <si>
    <t>PO-2024128</t>
  </si>
  <si>
    <t>2024-10-16</t>
  </si>
  <si>
    <t>PO-2024129</t>
  </si>
  <si>
    <t>2024-06-06</t>
  </si>
  <si>
    <t>PO-2024130</t>
  </si>
  <si>
    <t>2024-06-09</t>
  </si>
  <si>
    <t>PO-2024131</t>
  </si>
  <si>
    <t>2024-03-13</t>
  </si>
  <si>
    <t>PO-2024132</t>
  </si>
  <si>
    <t>PO-2024133</t>
  </si>
  <si>
    <t>2024-03-20</t>
  </si>
  <si>
    <t>PO-2024134</t>
  </si>
  <si>
    <t>2024-09-20</t>
  </si>
  <si>
    <t>PO-2024135</t>
  </si>
  <si>
    <t>PO-2024136</t>
  </si>
  <si>
    <t>2024-01-29</t>
  </si>
  <si>
    <t>PO-2024137</t>
  </si>
  <si>
    <t>2024-08-11</t>
  </si>
  <si>
    <t>PO-2024138</t>
  </si>
  <si>
    <t>2024-04-07</t>
  </si>
  <si>
    <t>PO-2024139</t>
  </si>
  <si>
    <t>2024-10-26</t>
  </si>
  <si>
    <t>PO-2024140</t>
  </si>
  <si>
    <t>PO-2024141</t>
  </si>
  <si>
    <t>2024-04-13</t>
  </si>
  <si>
    <t>PO-2024142</t>
  </si>
  <si>
    <t>2024-05-11</t>
  </si>
  <si>
    <t>PO-2024143</t>
  </si>
  <si>
    <t>2024-11-27</t>
  </si>
  <si>
    <t>PO-2024144</t>
  </si>
  <si>
    <t>PO-2024145</t>
  </si>
  <si>
    <t>2024-07-30</t>
  </si>
  <si>
    <t>PO-2024146</t>
  </si>
  <si>
    <t>2024-12-30</t>
  </si>
  <si>
    <t>PO-2024147</t>
  </si>
  <si>
    <t>2024-12-16</t>
  </si>
  <si>
    <t>PO-2024148</t>
  </si>
  <si>
    <t>2024-07-20</t>
  </si>
  <si>
    <t>PO-2024149</t>
  </si>
  <si>
    <t>2024-09-14</t>
  </si>
  <si>
    <t>PO-2024150</t>
  </si>
  <si>
    <t>PO-2024151</t>
  </si>
  <si>
    <t>PO-2024152</t>
  </si>
  <si>
    <t>PO-2024153</t>
  </si>
  <si>
    <t>2024-02-25</t>
  </si>
  <si>
    <t>PO-2024154</t>
  </si>
  <si>
    <t>2024-12-24</t>
  </si>
  <si>
    <t>PO-2024155</t>
  </si>
  <si>
    <t>PO-2024156</t>
  </si>
  <si>
    <t>2024-02-06</t>
  </si>
  <si>
    <t>PO-2024157</t>
  </si>
  <si>
    <t>2024-11-10</t>
  </si>
  <si>
    <t>PO-2024158</t>
  </si>
  <si>
    <t>PO-2024159</t>
  </si>
  <si>
    <t>2024-06-24</t>
  </si>
  <si>
    <t>PO-2024160</t>
  </si>
  <si>
    <t>2024-01-30</t>
  </si>
  <si>
    <t>PO-2024161</t>
  </si>
  <si>
    <t>2024-01-28</t>
  </si>
  <si>
    <t>PO-2024162</t>
  </si>
  <si>
    <t>PO-2024163</t>
  </si>
  <si>
    <t>2024-10-30</t>
  </si>
  <si>
    <t>PO-2024164</t>
  </si>
  <si>
    <t>2024-02-05</t>
  </si>
  <si>
    <t>PO-2024165</t>
  </si>
  <si>
    <t>PO-2024166</t>
  </si>
  <si>
    <t>2024-08-25</t>
  </si>
  <si>
    <t>PO-2024167</t>
  </si>
  <si>
    <t>PO-2024168</t>
  </si>
  <si>
    <t>PO-2024169</t>
  </si>
  <si>
    <t>2024-12-14</t>
  </si>
  <si>
    <t>PO-2024170</t>
  </si>
  <si>
    <t>PO-2024171</t>
  </si>
  <si>
    <t>PO-2024172</t>
  </si>
  <si>
    <t>PO-2024173</t>
  </si>
  <si>
    <t>PO-2024174</t>
  </si>
  <si>
    <t>2024-10-04</t>
  </si>
  <si>
    <t>PO-2024175</t>
  </si>
  <si>
    <t>2024-12-10</t>
  </si>
  <si>
    <t>PO-2024176</t>
  </si>
  <si>
    <t>PO-2024177</t>
  </si>
  <si>
    <t>2024-06-20</t>
  </si>
  <si>
    <t>PO-2024178</t>
  </si>
  <si>
    <t>PO-2024179</t>
  </si>
  <si>
    <t>2024-04-27</t>
  </si>
  <si>
    <t>PO-2024180</t>
  </si>
  <si>
    <t>2024-06-23</t>
  </si>
  <si>
    <t>PO-2024181</t>
  </si>
  <si>
    <t>2024-04-30</t>
  </si>
  <si>
    <t>PO-2024182</t>
  </si>
  <si>
    <t>PO-2024183</t>
  </si>
  <si>
    <t>2024-10-20</t>
  </si>
  <si>
    <t>PO-2024184</t>
  </si>
  <si>
    <t>2024-06-10</t>
  </si>
  <si>
    <t>PO-2024185</t>
  </si>
  <si>
    <t>PO-2024186</t>
  </si>
  <si>
    <t>PO-2024187</t>
  </si>
  <si>
    <t>PO-2024188</t>
  </si>
  <si>
    <t>2024-07-18</t>
  </si>
  <si>
    <t>PO-2024189</t>
  </si>
  <si>
    <t>2024-08-09</t>
  </si>
  <si>
    <t>PO-2024190</t>
  </si>
  <si>
    <t>2024-10-25</t>
  </si>
  <si>
    <t>PO-2024191</t>
  </si>
  <si>
    <t>PO-2024192</t>
  </si>
  <si>
    <t>2024-05-01</t>
  </si>
  <si>
    <t>PO-2024193</t>
  </si>
  <si>
    <t>PO-2024194</t>
  </si>
  <si>
    <t>2024-03-08</t>
  </si>
  <si>
    <t>PO-2024195</t>
  </si>
  <si>
    <t>PO-2024196</t>
  </si>
  <si>
    <t>2024-01-02</t>
  </si>
  <si>
    <t>PO-2024197</t>
  </si>
  <si>
    <t>PO-2024198</t>
  </si>
  <si>
    <t>PO-2024199</t>
  </si>
  <si>
    <t>PO-2024200</t>
  </si>
  <si>
    <t>SALES ORDERS — AL-NOOR TRADING COMPANY (Jan–Dec 2024)</t>
  </si>
  <si>
    <t>SO Number</t>
  </si>
  <si>
    <t>Qty Sold</t>
  </si>
  <si>
    <t>Total Revenue (PKR)</t>
  </si>
  <si>
    <t>Gross Profit (PKR)</t>
  </si>
  <si>
    <t>SO-2024001</t>
  </si>
  <si>
    <t>SO-2024002</t>
  </si>
  <si>
    <t>2024-05-13</t>
  </si>
  <si>
    <t>SO-2024003</t>
  </si>
  <si>
    <t>2024-06-16</t>
  </si>
  <si>
    <t>SO-2024004</t>
  </si>
  <si>
    <t>2024-07-29</t>
  </si>
  <si>
    <t>SO-2024005</t>
  </si>
  <si>
    <t>SO-2024006</t>
  </si>
  <si>
    <t>2024-08-18</t>
  </si>
  <si>
    <t>SO-2024007</t>
  </si>
  <si>
    <t>2024-06-11</t>
  </si>
  <si>
    <t>SO-2024008</t>
  </si>
  <si>
    <t>2024-06-17</t>
  </si>
  <si>
    <t>SO-2024009</t>
  </si>
  <si>
    <t>2024-09-22</t>
  </si>
  <si>
    <t>SO-2024010</t>
  </si>
  <si>
    <t>SO-2024011</t>
  </si>
  <si>
    <t>SO-2024012</t>
  </si>
  <si>
    <t>SO-2024013</t>
  </si>
  <si>
    <t>SO-2024014</t>
  </si>
  <si>
    <t>2024-03-24</t>
  </si>
  <si>
    <t>SO-2024015</t>
  </si>
  <si>
    <t>SO-2024016</t>
  </si>
  <si>
    <t>SO-2024017</t>
  </si>
  <si>
    <t>2024-11-26</t>
  </si>
  <si>
    <t>SO-2024018</t>
  </si>
  <si>
    <t>2024-03-11</t>
  </si>
  <si>
    <t>SO-2024019</t>
  </si>
  <si>
    <t>2024-11-03</t>
  </si>
  <si>
    <t>SO-2024020</t>
  </si>
  <si>
    <t>2024-11-22</t>
  </si>
  <si>
    <t>SO-2024021</t>
  </si>
  <si>
    <t>SO-2024022</t>
  </si>
  <si>
    <t>SO-2024023</t>
  </si>
  <si>
    <t>2024-10-24</t>
  </si>
  <si>
    <t>SO-2024024</t>
  </si>
  <si>
    <t>SO-2024025</t>
  </si>
  <si>
    <t>SO-2024026</t>
  </si>
  <si>
    <t>SO-2024027</t>
  </si>
  <si>
    <t>2024-11-29</t>
  </si>
  <si>
    <t>SO-2024028</t>
  </si>
  <si>
    <t>2024-07-24</t>
  </si>
  <si>
    <t>SO-2024029</t>
  </si>
  <si>
    <t>SO-2024030</t>
  </si>
  <si>
    <t>SO-2024031</t>
  </si>
  <si>
    <t>2024-01-07</t>
  </si>
  <si>
    <t>SO-2024032</t>
  </si>
  <si>
    <t>SO-2024033</t>
  </si>
  <si>
    <t>2024-11-25</t>
  </si>
  <si>
    <t>SO-2024034</t>
  </si>
  <si>
    <t>2024-06-03</t>
  </si>
  <si>
    <t>SO-2024035</t>
  </si>
  <si>
    <t>SO-2024036</t>
  </si>
  <si>
    <t>SO-2024037</t>
  </si>
  <si>
    <t>2024-12-07</t>
  </si>
  <si>
    <t>SO-2024038</t>
  </si>
  <si>
    <t>SO-2024039</t>
  </si>
  <si>
    <t>SO-2024040</t>
  </si>
  <si>
    <t>SO-2024041</t>
  </si>
  <si>
    <t>SO-2024042</t>
  </si>
  <si>
    <t>SO-2024043</t>
  </si>
  <si>
    <t>2024-09-06</t>
  </si>
  <si>
    <t>SO-2024044</t>
  </si>
  <si>
    <t>2024-11-20</t>
  </si>
  <si>
    <t>SO-2024045</t>
  </si>
  <si>
    <t>2024-05-31</t>
  </si>
  <si>
    <t>SO-2024046</t>
  </si>
  <si>
    <t>2024-06-01</t>
  </si>
  <si>
    <t>SO-2024047</t>
  </si>
  <si>
    <t>2024-02-20</t>
  </si>
  <si>
    <t>SO-2024048</t>
  </si>
  <si>
    <t>2024-07-17</t>
  </si>
  <si>
    <t>SO-2024049</t>
  </si>
  <si>
    <t>SO-2024050</t>
  </si>
  <si>
    <t>SO-2024051</t>
  </si>
  <si>
    <t>SO-2024052</t>
  </si>
  <si>
    <t>2024-10-07</t>
  </si>
  <si>
    <t>SO-2024053</t>
  </si>
  <si>
    <t>SO-2024054</t>
  </si>
  <si>
    <t>2024-11-07</t>
  </si>
  <si>
    <t>SO-2024055</t>
  </si>
  <si>
    <t>2024-04-18</t>
  </si>
  <si>
    <t>SO-2024056</t>
  </si>
  <si>
    <t>2024-07-26</t>
  </si>
  <si>
    <t>SO-2024057</t>
  </si>
  <si>
    <t>SO-2024058</t>
  </si>
  <si>
    <t>2024-01-26</t>
  </si>
  <si>
    <t>SO-2024059</t>
  </si>
  <si>
    <t>2024-11-14</t>
  </si>
  <si>
    <t>SO-2024060</t>
  </si>
  <si>
    <t>SO-2024061</t>
  </si>
  <si>
    <t>SO-2024062</t>
  </si>
  <si>
    <t>2024-06-12</t>
  </si>
  <si>
    <t>SO-2024063</t>
  </si>
  <si>
    <t>2024-05-29</t>
  </si>
  <si>
    <t>SO-2024064</t>
  </si>
  <si>
    <t>2024-04-15</t>
  </si>
  <si>
    <t>SO-2024065</t>
  </si>
  <si>
    <t>2024-03-10</t>
  </si>
  <si>
    <t>SO-2024066</t>
  </si>
  <si>
    <t>2024-01-11</t>
  </si>
  <si>
    <t>SO-2024067</t>
  </si>
  <si>
    <t>SO-2024068</t>
  </si>
  <si>
    <t>2024-01-04</t>
  </si>
  <si>
    <t>SO-2024069</t>
  </si>
  <si>
    <t>SO-2024070</t>
  </si>
  <si>
    <t>SO-2024071</t>
  </si>
  <si>
    <t>SO-2024072</t>
  </si>
  <si>
    <t>SO-2024073</t>
  </si>
  <si>
    <t>SO-2024074</t>
  </si>
  <si>
    <t>SO-2024075</t>
  </si>
  <si>
    <t>2024-11-30</t>
  </si>
  <si>
    <t>SO-2024076</t>
  </si>
  <si>
    <t>SO-2024077</t>
  </si>
  <si>
    <t>SO-2024078</t>
  </si>
  <si>
    <t>SO-2024079</t>
  </si>
  <si>
    <t>2024-11-23</t>
  </si>
  <si>
    <t>SO-2024080</t>
  </si>
  <si>
    <t>2024-12-15</t>
  </si>
  <si>
    <t>SO-2024081</t>
  </si>
  <si>
    <t>2024-03-04</t>
  </si>
  <si>
    <t>SO-2024082</t>
  </si>
  <si>
    <t>SO-2024083</t>
  </si>
  <si>
    <t>2024-07-19</t>
  </si>
  <si>
    <t>SO-2024084</t>
  </si>
  <si>
    <t>SO-2024085</t>
  </si>
  <si>
    <t>2024-04-01</t>
  </si>
  <si>
    <t>SO-2024086</t>
  </si>
  <si>
    <t>2024-01-13</t>
  </si>
  <si>
    <t>SO-2024087</t>
  </si>
  <si>
    <t>SO-2024088</t>
  </si>
  <si>
    <t>2024-12-04</t>
  </si>
  <si>
    <t>SO-2024089</t>
  </si>
  <si>
    <t>2024-05-15</t>
  </si>
  <si>
    <t>SO-2024090</t>
  </si>
  <si>
    <t>2024-06-04</t>
  </si>
  <si>
    <t>SO-2024091</t>
  </si>
  <si>
    <t>2024-09-15</t>
  </si>
  <si>
    <t>SO-2024092</t>
  </si>
  <si>
    <t>SO-2024093</t>
  </si>
  <si>
    <t>SO-2024094</t>
  </si>
  <si>
    <t>SO-2024095</t>
  </si>
  <si>
    <t>2024-08-02</t>
  </si>
  <si>
    <t>SO-2024096</t>
  </si>
  <si>
    <t>SO-2024097</t>
  </si>
  <si>
    <t>2024-03-19</t>
  </si>
  <si>
    <t>SO-2024098</t>
  </si>
  <si>
    <t>SO-2024099</t>
  </si>
  <si>
    <t>SO-2024100</t>
  </si>
  <si>
    <t>SO-2024101</t>
  </si>
  <si>
    <t>SO-2024102</t>
  </si>
  <si>
    <t>SO-2024103</t>
  </si>
  <si>
    <t>SO-2024104</t>
  </si>
  <si>
    <t>SO-2024105</t>
  </si>
  <si>
    <t>SO-2024106</t>
  </si>
  <si>
    <t>2024-03-18</t>
  </si>
  <si>
    <t>SO-2024107</t>
  </si>
  <si>
    <t>SO-2024108</t>
  </si>
  <si>
    <t>2024-03-06</t>
  </si>
  <si>
    <t>SO-2024109</t>
  </si>
  <si>
    <t>2024-10-31</t>
  </si>
  <si>
    <t>SO-2024110</t>
  </si>
  <si>
    <t>SO-2024111</t>
  </si>
  <si>
    <t>2024-10-15</t>
  </si>
  <si>
    <t>SO-2024112</t>
  </si>
  <si>
    <t>SO-2024113</t>
  </si>
  <si>
    <t>2024-07-27</t>
  </si>
  <si>
    <t>SO-2024114</t>
  </si>
  <si>
    <t>SO-2024115</t>
  </si>
  <si>
    <t>SO-2024116</t>
  </si>
  <si>
    <t>SO-2024117</t>
  </si>
  <si>
    <t>SO-2024118</t>
  </si>
  <si>
    <t>2024-10-08</t>
  </si>
  <si>
    <t>SO-2024119</t>
  </si>
  <si>
    <t>SO-2024120</t>
  </si>
  <si>
    <t>SO-2024121</t>
  </si>
  <si>
    <t>SO-2024122</t>
  </si>
  <si>
    <t>SO-2024123</t>
  </si>
  <si>
    <t>2024-07-02</t>
  </si>
  <si>
    <t>SO-2024124</t>
  </si>
  <si>
    <t>SO-2024125</t>
  </si>
  <si>
    <t>2024-12-12</t>
  </si>
  <si>
    <t>SO-2024126</t>
  </si>
  <si>
    <t>SO-2024127</t>
  </si>
  <si>
    <t>SO-2024128</t>
  </si>
  <si>
    <t>2024-08-13</t>
  </si>
  <si>
    <t>SO-2024129</t>
  </si>
  <si>
    <t>SO-2024130</t>
  </si>
  <si>
    <t>SO-2024131</t>
  </si>
  <si>
    <t>2024-05-26</t>
  </si>
  <si>
    <t>SO-2024132</t>
  </si>
  <si>
    <t>SO-2024133</t>
  </si>
  <si>
    <t>SO-2024134</t>
  </si>
  <si>
    <t>SO-2024135</t>
  </si>
  <si>
    <t>SO-2024136</t>
  </si>
  <si>
    <t>SO-2024137</t>
  </si>
  <si>
    <t>2024-01-01</t>
  </si>
  <si>
    <t>SO-2024138</t>
  </si>
  <si>
    <t>2024-08-06</t>
  </si>
  <si>
    <t>SO-2024139</t>
  </si>
  <si>
    <t>2024-07-12</t>
  </si>
  <si>
    <t>SO-2024140</t>
  </si>
  <si>
    <t>SO-2024141</t>
  </si>
  <si>
    <t>2024-10-05</t>
  </si>
  <si>
    <t>SO-2024142</t>
  </si>
  <si>
    <t>2024-01-06</t>
  </si>
  <si>
    <t>SO-2024143</t>
  </si>
  <si>
    <t>2024-09-26</t>
  </si>
  <si>
    <t>SO-2024144</t>
  </si>
  <si>
    <t>2024-04-17</t>
  </si>
  <si>
    <t>SO-2024145</t>
  </si>
  <si>
    <t>SO-2024146</t>
  </si>
  <si>
    <t>SO-2024147</t>
  </si>
  <si>
    <t>2024-04-14</t>
  </si>
  <si>
    <t>SO-2024148</t>
  </si>
  <si>
    <t>2024-01-14</t>
  </si>
  <si>
    <t>SO-2024149</t>
  </si>
  <si>
    <t>2024-06-29</t>
  </si>
  <si>
    <t>SO-2024150</t>
  </si>
  <si>
    <t>2024-01-12</t>
  </si>
  <si>
    <t>SO-2024151</t>
  </si>
  <si>
    <t>SO-2024152</t>
  </si>
  <si>
    <t>SO-2024153</t>
  </si>
  <si>
    <t>2024-01-27</t>
  </si>
  <si>
    <t>SO-2024154</t>
  </si>
  <si>
    <t>SO-2024155</t>
  </si>
  <si>
    <t>2024-05-23</t>
  </si>
  <si>
    <t>SO-2024156</t>
  </si>
  <si>
    <t>2024-02-13</t>
  </si>
  <si>
    <t>SO-2024157</t>
  </si>
  <si>
    <t>2024-12-27</t>
  </si>
  <si>
    <t>SO-2024158</t>
  </si>
  <si>
    <t>SO-2024159</t>
  </si>
  <si>
    <t>SO-2024160</t>
  </si>
  <si>
    <t>SO-2024161</t>
  </si>
  <si>
    <t>2024-02-22</t>
  </si>
  <si>
    <t>SO-2024162</t>
  </si>
  <si>
    <t>SO-2024163</t>
  </si>
  <si>
    <t>SO-2024164</t>
  </si>
  <si>
    <t>2024-12-03</t>
  </si>
  <si>
    <t>SO-2024165</t>
  </si>
  <si>
    <t>SO-2024166</t>
  </si>
  <si>
    <t>2024-07-09</t>
  </si>
  <si>
    <t>SO-2024167</t>
  </si>
  <si>
    <t>2024-09-24</t>
  </si>
  <si>
    <t>SO-2024168</t>
  </si>
  <si>
    <t>2024-02-03</t>
  </si>
  <si>
    <t>SO-2024169</t>
  </si>
  <si>
    <t>SO-2024170</t>
  </si>
  <si>
    <t>2024-01-21</t>
  </si>
  <si>
    <t>SO-2024171</t>
  </si>
  <si>
    <t>SO-2024172</t>
  </si>
  <si>
    <t>SO-2024173</t>
  </si>
  <si>
    <t>SO-2024174</t>
  </si>
  <si>
    <t>2024-05-05</t>
  </si>
  <si>
    <t>SO-2024175</t>
  </si>
  <si>
    <t>SO-2024176</t>
  </si>
  <si>
    <t>2024-11-01</t>
  </si>
  <si>
    <t>SO-2024177</t>
  </si>
  <si>
    <t>2024-08-12</t>
  </si>
  <si>
    <t>SO-2024178</t>
  </si>
  <si>
    <t>SO-2024179</t>
  </si>
  <si>
    <t>2024-04-11</t>
  </si>
  <si>
    <t>SO-2024180</t>
  </si>
  <si>
    <t>SO-2024181</t>
  </si>
  <si>
    <t>2024-09-28</t>
  </si>
  <si>
    <t>SO-2024182</t>
  </si>
  <si>
    <t>2024-05-10</t>
  </si>
  <si>
    <t>SO-2024183</t>
  </si>
  <si>
    <t>SO-2024184</t>
  </si>
  <si>
    <t>2024-02-24</t>
  </si>
  <si>
    <t>SO-2024185</t>
  </si>
  <si>
    <t>SO-2024186</t>
  </si>
  <si>
    <t>SO-2024187</t>
  </si>
  <si>
    <t>2024-06-18</t>
  </si>
  <si>
    <t>SO-2024188</t>
  </si>
  <si>
    <t>SO-2024189</t>
  </si>
  <si>
    <t>SO-2024190</t>
  </si>
  <si>
    <t>SO-2024191</t>
  </si>
  <si>
    <t>SO-2024192</t>
  </si>
  <si>
    <t>2024-07-23</t>
  </si>
  <si>
    <t>SO-2024193</t>
  </si>
  <si>
    <t>2024-03-14</t>
  </si>
  <si>
    <t>SO-2024194</t>
  </si>
  <si>
    <t>SO-2024195</t>
  </si>
  <si>
    <t>SO-2024196</t>
  </si>
  <si>
    <t>SO-2024197</t>
  </si>
  <si>
    <t>2024-04-25</t>
  </si>
  <si>
    <t>SO-2024198</t>
  </si>
  <si>
    <t>2024-03-09</t>
  </si>
  <si>
    <t>SO-2024199</t>
  </si>
  <si>
    <t>SO-2024200</t>
  </si>
  <si>
    <t>SO-2024201</t>
  </si>
  <si>
    <t>SO-2024202</t>
  </si>
  <si>
    <t>SO-2024203</t>
  </si>
  <si>
    <t>2024-05-09</t>
  </si>
  <si>
    <t>SO-2024204</t>
  </si>
  <si>
    <t>SO-2024205</t>
  </si>
  <si>
    <t>SO-2024206</t>
  </si>
  <si>
    <t>2024-07-08</t>
  </si>
  <si>
    <t>SO-2024207</t>
  </si>
  <si>
    <t>SO-2024208</t>
  </si>
  <si>
    <t>SO-2024209</t>
  </si>
  <si>
    <t>2024-01-23</t>
  </si>
  <si>
    <t>SO-2024210</t>
  </si>
  <si>
    <t>SO-2024211</t>
  </si>
  <si>
    <t>2024-02-16</t>
  </si>
  <si>
    <t>SO-2024212</t>
  </si>
  <si>
    <t>SO-2024213</t>
  </si>
  <si>
    <t>SO-2024214</t>
  </si>
  <si>
    <t>SO-2024215</t>
  </si>
  <si>
    <t>SO-2024216</t>
  </si>
  <si>
    <t>2024-08-05</t>
  </si>
  <si>
    <t>SO-2024217</t>
  </si>
  <si>
    <t>2024-11-19</t>
  </si>
  <si>
    <t>SO-2024218</t>
  </si>
  <si>
    <t>SO-2024219</t>
  </si>
  <si>
    <t>2024-09-13</t>
  </si>
  <si>
    <t>SO-2024220</t>
  </si>
  <si>
    <t>SO-2024221</t>
  </si>
  <si>
    <t>2024-04-06</t>
  </si>
  <si>
    <t>SO-2024222</t>
  </si>
  <si>
    <t>2024-06-21</t>
  </si>
  <si>
    <t>SO-2024223</t>
  </si>
  <si>
    <t>SO-2024224</t>
  </si>
  <si>
    <t>SO-2024225</t>
  </si>
  <si>
    <t>SO-2024226</t>
  </si>
  <si>
    <t>SO-2024227</t>
  </si>
  <si>
    <t>SO-2024228</t>
  </si>
  <si>
    <t>SO-2024229</t>
  </si>
  <si>
    <t>2024-12-01</t>
  </si>
  <si>
    <t>SO-2024230</t>
  </si>
  <si>
    <t>SO-2024231</t>
  </si>
  <si>
    <t>SO-2024232</t>
  </si>
  <si>
    <t>2024-08-01</t>
  </si>
  <si>
    <t>SO-2024233</t>
  </si>
  <si>
    <t>SO-2024234</t>
  </si>
  <si>
    <t>SO-2024235</t>
  </si>
  <si>
    <t>SO-2024236</t>
  </si>
  <si>
    <t>SO-2024237</t>
  </si>
  <si>
    <t>2024-07-15</t>
  </si>
  <si>
    <t>SO-2024238</t>
  </si>
  <si>
    <t>2024-11-09</t>
  </si>
  <si>
    <t>SO-2024239</t>
  </si>
  <si>
    <t>SO-2024240</t>
  </si>
  <si>
    <t>2024-03-07</t>
  </si>
  <si>
    <t>SO-2024241</t>
  </si>
  <si>
    <t>SO-2024242</t>
  </si>
  <si>
    <t>2024-10-11</t>
  </si>
  <si>
    <t>SO-2024243</t>
  </si>
  <si>
    <t>2024-08-26</t>
  </si>
  <si>
    <t>SO-2024244</t>
  </si>
  <si>
    <t>SO-2024245</t>
  </si>
  <si>
    <t>2024-06-30</t>
  </si>
  <si>
    <t>SO-2024246</t>
  </si>
  <si>
    <t>SO-2024247</t>
  </si>
  <si>
    <t>SO-2024248</t>
  </si>
  <si>
    <t>SO-2024249</t>
  </si>
  <si>
    <t>SO-2024250</t>
  </si>
  <si>
    <t>SO-2024251</t>
  </si>
  <si>
    <t>SO-2024252</t>
  </si>
  <si>
    <t>SO-2024253</t>
  </si>
  <si>
    <t>SO-2024254</t>
  </si>
  <si>
    <t>SO-2024255</t>
  </si>
  <si>
    <t>SO-2024256</t>
  </si>
  <si>
    <t>2024-11-05</t>
  </si>
  <si>
    <t>SO-2024257</t>
  </si>
  <si>
    <t>SO-2024258</t>
  </si>
  <si>
    <t>SO-2024259</t>
  </si>
  <si>
    <t>SO-2024260</t>
  </si>
  <si>
    <t>SO-2024261</t>
  </si>
  <si>
    <t>SO-2024262</t>
  </si>
  <si>
    <t>2024-04-28</t>
  </si>
  <si>
    <t>SO-2024263</t>
  </si>
  <si>
    <t>SO-2024264</t>
  </si>
  <si>
    <t>SO-2024265</t>
  </si>
  <si>
    <t>SO-2024266</t>
  </si>
  <si>
    <t>SO-2024267</t>
  </si>
  <si>
    <t>2024-10-10</t>
  </si>
  <si>
    <t>SO-2024268</t>
  </si>
  <si>
    <t>SO-2024269</t>
  </si>
  <si>
    <t>SO-2024270</t>
  </si>
  <si>
    <t>SO-2024271</t>
  </si>
  <si>
    <t>SO-2024272</t>
  </si>
  <si>
    <t>SO-2024273</t>
  </si>
  <si>
    <t>SO-2024274</t>
  </si>
  <si>
    <t>SO-2024275</t>
  </si>
  <si>
    <t>SO-2024276</t>
  </si>
  <si>
    <t>SO-2024277</t>
  </si>
  <si>
    <t>2024-07-07</t>
  </si>
  <si>
    <t>SO-2024278</t>
  </si>
  <si>
    <t>2024-04-22</t>
  </si>
  <si>
    <t>SO-2024279</t>
  </si>
  <si>
    <t>2024-08-15</t>
  </si>
  <si>
    <t>SO-2024280</t>
  </si>
  <si>
    <t>SO-2024281</t>
  </si>
  <si>
    <t>2024-05-27</t>
  </si>
  <si>
    <t>SO-2024282</t>
  </si>
  <si>
    <t>2024-12-18</t>
  </si>
  <si>
    <t>SO-2024283</t>
  </si>
  <si>
    <t>2024-09-03</t>
  </si>
  <si>
    <t>SO-2024284</t>
  </si>
  <si>
    <t>SO-2024285</t>
  </si>
  <si>
    <t>SO-2024286</t>
  </si>
  <si>
    <t>SO-2024287</t>
  </si>
  <si>
    <t>SO-2024288</t>
  </si>
  <si>
    <t>SO-2024289</t>
  </si>
  <si>
    <t>2024-09-09</t>
  </si>
  <si>
    <t>SO-2024290</t>
  </si>
  <si>
    <t>2024-02-01</t>
  </si>
  <si>
    <t>SO-2024291</t>
  </si>
  <si>
    <t>SO-2024292</t>
  </si>
  <si>
    <t>2024-03-25</t>
  </si>
  <si>
    <t>SO-2024293</t>
  </si>
  <si>
    <t>2024-07-16</t>
  </si>
  <si>
    <t>SO-2024294</t>
  </si>
  <si>
    <t>2024-04-29</t>
  </si>
  <si>
    <t>SO-2024295</t>
  </si>
  <si>
    <t>2024-02-21</t>
  </si>
  <si>
    <t>SO-2024296</t>
  </si>
  <si>
    <t>SO-2024297</t>
  </si>
  <si>
    <t>SO-2024298</t>
  </si>
  <si>
    <t>SO-2024299</t>
  </si>
  <si>
    <t>SO-2024300</t>
  </si>
  <si>
    <t>CURRENT INVENTORY STOCK — AL-NOOR TRADING COMPANY</t>
  </si>
  <si>
    <t>Qty in Hand</t>
  </si>
  <si>
    <t>Stock Value (PKR)</t>
  </si>
  <si>
    <t>Stock Status</t>
  </si>
  <si>
    <t>In Stock</t>
  </si>
  <si>
    <t>Low Stock</t>
  </si>
  <si>
    <t>EMPLOYEE MASTER — AL-NOOR TRADING COMPANY</t>
  </si>
  <si>
    <t>Employee ID</t>
  </si>
  <si>
    <t>Name</t>
  </si>
  <si>
    <t>Department</t>
  </si>
  <si>
    <t>Designation</t>
  </si>
  <si>
    <t>Date of Joining</t>
  </si>
  <si>
    <t>Salary (PKR)</t>
  </si>
  <si>
    <t>CNIC</t>
  </si>
  <si>
    <t>Bank Account</t>
  </si>
  <si>
    <t>EMP-001</t>
  </si>
  <si>
    <t>Muhammad Aslam</t>
  </si>
  <si>
    <t>Management</t>
  </si>
  <si>
    <t>CEO</t>
  </si>
  <si>
    <t>2015-01-01</t>
  </si>
  <si>
    <t>0300-1001001</t>
  </si>
  <si>
    <t>m.aslam@alnoor.pk</t>
  </si>
  <si>
    <t>35201-1234567-1</t>
  </si>
  <si>
    <t>0010001234567</t>
  </si>
  <si>
    <t>EMP-002</t>
  </si>
  <si>
    <t>Tariq Nawaz</t>
  </si>
  <si>
    <t>CFO</t>
  </si>
  <si>
    <t>2016-03-15</t>
  </si>
  <si>
    <t>0321-2002002</t>
  </si>
  <si>
    <t>t.nawaz@alnoor.pk</t>
  </si>
  <si>
    <t>35202-2345678-2</t>
  </si>
  <si>
    <t>0010002345678</t>
  </si>
  <si>
    <t>EMP-003</t>
  </si>
  <si>
    <t>Shahida Perveen</t>
  </si>
  <si>
    <t>HR</t>
  </si>
  <si>
    <t>HR Manager</t>
  </si>
  <si>
    <t>2017-06-01</t>
  </si>
  <si>
    <t>0333-3003003</t>
  </si>
  <si>
    <t>s.perveen@alnoor.pk</t>
  </si>
  <si>
    <t>35203-3456789-3</t>
  </si>
  <si>
    <t>0010003456789</t>
  </si>
  <si>
    <t>EMP-004</t>
  </si>
  <si>
    <t>Bilal Ahmed</t>
  </si>
  <si>
    <t>Sales</t>
  </si>
  <si>
    <t>Sales Manager</t>
  </si>
  <si>
    <t>2018-02-10</t>
  </si>
  <si>
    <t>0345-4004004</t>
  </si>
  <si>
    <t>b.ahmed@alnoor.pk</t>
  </si>
  <si>
    <t>35204-4567890-4</t>
  </si>
  <si>
    <t>0010004567890</t>
  </si>
  <si>
    <t>EMP-005</t>
  </si>
  <si>
    <t>Farrukh Saleem</t>
  </si>
  <si>
    <t>Purchase</t>
  </si>
  <si>
    <t>Purchase Manager</t>
  </si>
  <si>
    <t>2018-05-20</t>
  </si>
  <si>
    <t>0301-5005005</t>
  </si>
  <si>
    <t>f.saleem@alnoor.pk</t>
  </si>
  <si>
    <t>35205-5678901-5</t>
  </si>
  <si>
    <t>0010005678901</t>
  </si>
  <si>
    <t>EMP-006</t>
  </si>
  <si>
    <t>Hina Qureshi</t>
  </si>
  <si>
    <t>Finance</t>
  </si>
  <si>
    <t>Senior Accountant</t>
  </si>
  <si>
    <t>2019-01-15</t>
  </si>
  <si>
    <t>0311-6006006</t>
  </si>
  <si>
    <t>h.qureshi@alnoor.pk</t>
  </si>
  <si>
    <t>35206-6789012-6</t>
  </si>
  <si>
    <t>0010006789012</t>
  </si>
  <si>
    <t>EMP-007</t>
  </si>
  <si>
    <t>IT</t>
  </si>
  <si>
    <t>IT Manager</t>
  </si>
  <si>
    <t>2019-07-01</t>
  </si>
  <si>
    <t>0333-7007007</t>
  </si>
  <si>
    <t>k.iqbal@alnoor.pk</t>
  </si>
  <si>
    <t>35207-7890123-7</t>
  </si>
  <si>
    <t>0010007890123</t>
  </si>
  <si>
    <t>EMP-008</t>
  </si>
  <si>
    <t>Sana Malik</t>
  </si>
  <si>
    <t>Sales Executive</t>
  </si>
  <si>
    <t>2020-03-01</t>
  </si>
  <si>
    <t>0300-8008008</t>
  </si>
  <si>
    <t>s.malik@alnoor.pk</t>
  </si>
  <si>
    <t>35208-8901234-8</t>
  </si>
  <si>
    <t>0010008901234</t>
  </si>
  <si>
    <t>EMP-009</t>
  </si>
  <si>
    <t>2020-06-15</t>
  </si>
  <si>
    <t>0321-9009009</t>
  </si>
  <si>
    <t>u.ghani@alnoor.pk</t>
  </si>
  <si>
    <t>35209-9012345-9</t>
  </si>
  <si>
    <t>0010009012345</t>
  </si>
  <si>
    <t>EMP-010</t>
  </si>
  <si>
    <t>2020-09-01</t>
  </si>
  <si>
    <t>n.waseem@alnoor.pk</t>
  </si>
  <si>
    <t>35210-0123456-0</t>
  </si>
  <si>
    <t>0010000123456</t>
  </si>
  <si>
    <t>EMP-011</t>
  </si>
  <si>
    <t>Asif Raza</t>
  </si>
  <si>
    <t>Warehouse</t>
  </si>
  <si>
    <t>Warehouse Manager</t>
  </si>
  <si>
    <t>2017-04-01</t>
  </si>
  <si>
    <t>0301-1111011</t>
  </si>
  <si>
    <t>a.raza@alnoor.pk</t>
  </si>
  <si>
    <t>35201-1111111-1</t>
  </si>
  <si>
    <t>0010001111111</t>
  </si>
  <si>
    <t>EMP-012</t>
  </si>
  <si>
    <t>Imran Butt</t>
  </si>
  <si>
    <t>Store Keeper</t>
  </si>
  <si>
    <t>2019-11-01</t>
  </si>
  <si>
    <t>0311-1212012</t>
  </si>
  <si>
    <t>i.butt@alnoor.pk</t>
  </si>
  <si>
    <t>35201-2222222-2</t>
  </si>
  <si>
    <t>0010002222222</t>
  </si>
  <si>
    <t>EMP-013</t>
  </si>
  <si>
    <t>Rashid Mehmood</t>
  </si>
  <si>
    <t>2021-01-15</t>
  </si>
  <si>
    <t>0333-1313013</t>
  </si>
  <si>
    <t>r.mehmood@alnoor.pk</t>
  </si>
  <si>
    <t>35201-3333333-3</t>
  </si>
  <si>
    <t>0010003333333</t>
  </si>
  <si>
    <t>EMP-014</t>
  </si>
  <si>
    <t>Zubair Ali</t>
  </si>
  <si>
    <t>Delivery</t>
  </si>
  <si>
    <t>Delivery Supervisor</t>
  </si>
  <si>
    <t>2018-08-01</t>
  </si>
  <si>
    <t>0300-1414014</t>
  </si>
  <si>
    <t>z.ali@alnoor.pk</t>
  </si>
  <si>
    <t>35201-4444444-4</t>
  </si>
  <si>
    <t>0010004444444</t>
  </si>
  <si>
    <t>EMP-015</t>
  </si>
  <si>
    <t>Saeed Ahmad</t>
  </si>
  <si>
    <t>Driver</t>
  </si>
  <si>
    <t>2019-05-01</t>
  </si>
  <si>
    <t>0321-1515015</t>
  </si>
  <si>
    <t>s.ahmad@alnoor.pk</t>
  </si>
  <si>
    <t>35201-5555555-5</t>
  </si>
  <si>
    <t>0010005555555</t>
  </si>
  <si>
    <t>EMP-016</t>
  </si>
  <si>
    <t>Tanveer Hussain</t>
  </si>
  <si>
    <t>2020-02-01</t>
  </si>
  <si>
    <t>0345-1616016</t>
  </si>
  <si>
    <t>t.hussain@alnoor.pk</t>
  </si>
  <si>
    <t>35201-6666666-6</t>
  </si>
  <si>
    <t>0010006666666</t>
  </si>
  <si>
    <t>EMP-017</t>
  </si>
  <si>
    <t>Rehana Bibi</t>
  </si>
  <si>
    <t>Accounts Executive</t>
  </si>
  <si>
    <t>2021-04-01</t>
  </si>
  <si>
    <t>0301-1717017</t>
  </si>
  <si>
    <t>r.bibi@alnoor.pk</t>
  </si>
  <si>
    <t>35201-7777777-7</t>
  </si>
  <si>
    <t>0010007777777</t>
  </si>
  <si>
    <t>EMP-018</t>
  </si>
  <si>
    <t>Waqas Tariq</t>
  </si>
  <si>
    <t>Purchase Executive</t>
  </si>
  <si>
    <t>2021-07-01</t>
  </si>
  <si>
    <t>0311-1818018</t>
  </si>
  <si>
    <t>w.tariq@alnoor.pk</t>
  </si>
  <si>
    <t>35201-8888888-8</t>
  </si>
  <si>
    <t>0010008888888</t>
  </si>
  <si>
    <t>EMP-019</t>
  </si>
  <si>
    <t>Lubna Farooq</t>
  </si>
  <si>
    <t>HR Executive</t>
  </si>
  <si>
    <t>2022-01-01</t>
  </si>
  <si>
    <t>0333-1919019</t>
  </si>
  <si>
    <t>l.farooq@alnoor.pk</t>
  </si>
  <si>
    <t>35201-9999999-9</t>
  </si>
  <si>
    <t>0010009999999</t>
  </si>
  <si>
    <t>EMP-020</t>
  </si>
  <si>
    <t>Aamir Khan</t>
  </si>
  <si>
    <t>IT Support</t>
  </si>
  <si>
    <t>2022-06-01</t>
  </si>
  <si>
    <t>0300-2020020</t>
  </si>
  <si>
    <t>a.khan@alnoor.pk</t>
  </si>
  <si>
    <t>35202-0000000-0</t>
  </si>
  <si>
    <t>0010000000000</t>
  </si>
  <si>
    <t>ERP SUMMARY DASHBOARD — AL-NOOR TRADING CO. (FY 2024)</t>
  </si>
  <si>
    <t>BUSINESS OVERVIEW</t>
  </si>
  <si>
    <t>Total Products in Catalog</t>
  </si>
  <si>
    <t>Total Suppliers</t>
  </si>
  <si>
    <t>Total Customers</t>
  </si>
  <si>
    <t>Total Employees</t>
  </si>
  <si>
    <t>INVENTORY SUMMARY</t>
  </si>
  <si>
    <t>Total SKUs In Stock</t>
  </si>
  <si>
    <t>Low Stock Items</t>
  </si>
  <si>
    <t>Out of Stock Items</t>
  </si>
  <si>
    <t>Total Stock Value (PKR)</t>
  </si>
  <si>
    <t>SALES SUMMARY (2024)</t>
  </si>
  <si>
    <t>Total Sales Orders</t>
  </si>
  <si>
    <t>Total Cost of Goods (PKR)</t>
  </si>
  <si>
    <t>Total Gross Profit (PKR)</t>
  </si>
  <si>
    <t>PURCHASE SUMMARY (2024)</t>
  </si>
  <si>
    <t>Total Purchase Orders</t>
  </si>
  <si>
    <t>Total Purchases Value (PKR)</t>
  </si>
  <si>
    <t>Received Orders</t>
  </si>
  <si>
    <t>Pending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</si>
</sst>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7F6000"/>
      <name val="Arial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color rgb="FF1F3864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BF5FB"/>
      </patternFill>
    </fill>
    <fill>
      <patternFill patternType="solid">
        <fgColor rgb="FFEBF5FB"/>
        <bgColor rgb="FFFFFFFF"/>
      </patternFill>
    </fill>
    <fill>
      <patternFill patternType="solid">
        <fgColor rgb="FFFFF2CC"/>
        <bgColor rgb="FFEBF5FB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2" borderId="0" xfId="0" applyFont="1" applyFill="1"/>
    <xf numFmtId="0" fontId="6" fillId="0" borderId="0" xfId="0" applyFont="1"/>
    <xf numFmtId="4" fontId="7" fillId="0" borderId="0" xfId="0" applyNumberFormat="1" applyFont="1"/>
    <xf numFmtId="0" fontId="2" fillId="6" borderId="0" xfId="0" applyFont="1" applyFill="1"/>
    <xf numFmtId="16" fontId="0" fillId="0" borderId="0" xfId="0" applyNumberFormat="1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6"/>
  <sheetViews>
    <sheetView tabSelected="1" topLeftCell="G1" zoomScaleNormal="100" workbookViewId="0">
      <pane ySplit="2" topLeftCell="A195" activePane="bottomLeft" state="frozen"/>
      <selection pane="bottomLeft" activeCell="R207" sqref="R207"/>
    </sheetView>
  </sheetViews>
  <sheetFormatPr defaultColWidth="8.6640625" defaultRowHeight="14.4" x14ac:dyDescent="0.3"/>
  <cols>
    <col min="1" max="1" width="12" customWidth="1"/>
    <col min="2" max="2" width="26" customWidth="1"/>
    <col min="3" max="3" width="22" customWidth="1"/>
    <col min="4" max="4" width="38" customWidth="1"/>
    <col min="5" max="5" width="14" customWidth="1"/>
    <col min="6" max="6" width="8" customWidth="1"/>
    <col min="7" max="8" width="12" customWidth="1"/>
    <col min="9" max="10" width="16" customWidth="1"/>
    <col min="11" max="11" width="18" customWidth="1"/>
    <col min="12" max="12" width="10" customWidth="1"/>
    <col min="13" max="13" width="28" customWidth="1"/>
    <col min="14" max="14" width="18" customWidth="1"/>
    <col min="15" max="15" width="10" customWidth="1"/>
  </cols>
  <sheetData>
    <row r="1" spans="1:15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6</v>
      </c>
      <c r="G3" s="2">
        <v>1</v>
      </c>
      <c r="H3" s="2">
        <v>10</v>
      </c>
      <c r="I3" s="3">
        <v>75000</v>
      </c>
      <c r="J3" s="3">
        <v>95000</v>
      </c>
      <c r="K3" s="3">
        <f t="shared" ref="K3:K66" si="0">J3-I3</f>
        <v>20000</v>
      </c>
      <c r="L3" s="4">
        <f t="shared" ref="L3:L66" si="1">IF(J3&gt;0,(J3-I3)/J3,0)</f>
        <v>0.21052631578947367</v>
      </c>
      <c r="M3" s="2" t="s">
        <v>21</v>
      </c>
      <c r="N3" s="2" t="s">
        <v>22</v>
      </c>
      <c r="O3" s="2" t="s">
        <v>23</v>
      </c>
    </row>
    <row r="4" spans="1:15" x14ac:dyDescent="0.3">
      <c r="A4" s="5" t="s">
        <v>24</v>
      </c>
      <c r="B4" s="5" t="s">
        <v>17</v>
      </c>
      <c r="C4" s="5" t="s">
        <v>18</v>
      </c>
      <c r="D4" s="5" t="s">
        <v>25</v>
      </c>
      <c r="E4" s="5" t="s">
        <v>26</v>
      </c>
      <c r="F4" s="5" t="s">
        <v>6</v>
      </c>
      <c r="G4" s="5">
        <v>2</v>
      </c>
      <c r="H4" s="5">
        <v>10</v>
      </c>
      <c r="I4" s="6">
        <v>55000</v>
      </c>
      <c r="J4" s="6">
        <v>68000</v>
      </c>
      <c r="K4" s="6">
        <f t="shared" si="0"/>
        <v>13000</v>
      </c>
      <c r="L4" s="7">
        <f t="shared" si="1"/>
        <v>0.19117647058823528</v>
      </c>
      <c r="M4" s="5" t="s">
        <v>21</v>
      </c>
      <c r="N4" s="5" t="s">
        <v>22</v>
      </c>
      <c r="O4" s="5" t="s">
        <v>23</v>
      </c>
    </row>
    <row r="5" spans="1:15" x14ac:dyDescent="0.3">
      <c r="A5" s="2" t="s">
        <v>27</v>
      </c>
      <c r="B5" s="2" t="s">
        <v>17</v>
      </c>
      <c r="C5" s="2" t="s">
        <v>18</v>
      </c>
      <c r="D5" s="2" t="s">
        <v>28</v>
      </c>
      <c r="E5" s="2" t="s">
        <v>29</v>
      </c>
      <c r="F5" s="2" t="s">
        <v>6</v>
      </c>
      <c r="G5" s="2">
        <v>1</v>
      </c>
      <c r="H5" s="2">
        <v>5</v>
      </c>
      <c r="I5" s="3">
        <v>240000</v>
      </c>
      <c r="J5" s="3">
        <v>279000</v>
      </c>
      <c r="K5" s="3">
        <f t="shared" si="0"/>
        <v>39000</v>
      </c>
      <c r="L5" s="4">
        <f t="shared" si="1"/>
        <v>0.13978494623655913</v>
      </c>
      <c r="M5" s="2" t="s">
        <v>30</v>
      </c>
      <c r="N5" s="2" t="s">
        <v>31</v>
      </c>
      <c r="O5" s="2" t="s">
        <v>23</v>
      </c>
    </row>
    <row r="6" spans="1:15" x14ac:dyDescent="0.3">
      <c r="A6" s="5" t="s">
        <v>32</v>
      </c>
      <c r="B6" s="5" t="s">
        <v>17</v>
      </c>
      <c r="C6" s="5" t="s">
        <v>18</v>
      </c>
      <c r="D6" s="5" t="s">
        <v>33</v>
      </c>
      <c r="E6" s="5" t="s">
        <v>34</v>
      </c>
      <c r="F6" s="5" t="s">
        <v>6</v>
      </c>
      <c r="G6" s="5">
        <v>1</v>
      </c>
      <c r="H6" s="5">
        <v>5</v>
      </c>
      <c r="I6" s="6">
        <v>185000</v>
      </c>
      <c r="J6" s="6">
        <v>215000</v>
      </c>
      <c r="K6" s="6">
        <f t="shared" si="0"/>
        <v>30000</v>
      </c>
      <c r="L6" s="7">
        <f t="shared" si="1"/>
        <v>0.13953488372093023</v>
      </c>
      <c r="M6" s="5" t="s">
        <v>30</v>
      </c>
      <c r="N6" s="5" t="s">
        <v>31</v>
      </c>
      <c r="O6" s="5" t="s">
        <v>23</v>
      </c>
    </row>
    <row r="7" spans="1:15" x14ac:dyDescent="0.3">
      <c r="A7" s="2" t="s">
        <v>35</v>
      </c>
      <c r="B7" s="2" t="s">
        <v>17</v>
      </c>
      <c r="C7" s="2" t="s">
        <v>18</v>
      </c>
      <c r="D7" s="2" t="s">
        <v>36</v>
      </c>
      <c r="E7" s="2" t="s">
        <v>37</v>
      </c>
      <c r="F7" s="2" t="s">
        <v>6</v>
      </c>
      <c r="G7" s="2">
        <v>3</v>
      </c>
      <c r="H7" s="2">
        <v>15</v>
      </c>
      <c r="I7" s="3">
        <v>42000</v>
      </c>
      <c r="J7" s="3">
        <v>52000</v>
      </c>
      <c r="K7" s="3">
        <f t="shared" si="0"/>
        <v>10000</v>
      </c>
      <c r="L7" s="4">
        <f t="shared" si="1"/>
        <v>0.19230769230769232</v>
      </c>
      <c r="M7" s="2" t="s">
        <v>38</v>
      </c>
      <c r="N7" s="2" t="s">
        <v>39</v>
      </c>
      <c r="O7" s="2" t="s">
        <v>23</v>
      </c>
    </row>
    <row r="8" spans="1:15" x14ac:dyDescent="0.3">
      <c r="A8" s="5" t="s">
        <v>40</v>
      </c>
      <c r="B8" s="5" t="s">
        <v>17</v>
      </c>
      <c r="C8" s="5" t="s">
        <v>18</v>
      </c>
      <c r="D8" s="5" t="s">
        <v>41</v>
      </c>
      <c r="E8" s="5" t="s">
        <v>42</v>
      </c>
      <c r="F8" s="5" t="s">
        <v>6</v>
      </c>
      <c r="G8" s="5">
        <v>2</v>
      </c>
      <c r="H8" s="5">
        <v>10</v>
      </c>
      <c r="I8" s="6">
        <v>65000</v>
      </c>
      <c r="J8" s="6">
        <v>80000</v>
      </c>
      <c r="K8" s="6">
        <f t="shared" si="0"/>
        <v>15000</v>
      </c>
      <c r="L8" s="7">
        <f t="shared" si="1"/>
        <v>0.1875</v>
      </c>
      <c r="M8" s="5" t="s">
        <v>38</v>
      </c>
      <c r="N8" s="5" t="s">
        <v>39</v>
      </c>
      <c r="O8" s="5" t="s">
        <v>23</v>
      </c>
    </row>
    <row r="9" spans="1:15" x14ac:dyDescent="0.3">
      <c r="A9" s="2" t="s">
        <v>43</v>
      </c>
      <c r="B9" s="2" t="s">
        <v>17</v>
      </c>
      <c r="C9" s="2" t="s">
        <v>18</v>
      </c>
      <c r="D9" s="2" t="s">
        <v>44</v>
      </c>
      <c r="E9" s="2" t="s">
        <v>45</v>
      </c>
      <c r="F9" s="2" t="s">
        <v>6</v>
      </c>
      <c r="G9" s="2">
        <v>3</v>
      </c>
      <c r="H9" s="2">
        <v>15</v>
      </c>
      <c r="I9" s="3">
        <v>38000</v>
      </c>
      <c r="J9" s="3">
        <v>47000</v>
      </c>
      <c r="K9" s="3">
        <f t="shared" si="0"/>
        <v>9000</v>
      </c>
      <c r="L9" s="4">
        <f t="shared" si="1"/>
        <v>0.19148936170212766</v>
      </c>
      <c r="M9" s="2" t="s">
        <v>46</v>
      </c>
      <c r="N9" s="2" t="s">
        <v>47</v>
      </c>
      <c r="O9" s="2" t="s">
        <v>23</v>
      </c>
    </row>
    <row r="10" spans="1:15" x14ac:dyDescent="0.3">
      <c r="A10" s="5" t="s">
        <v>48</v>
      </c>
      <c r="B10" s="5" t="s">
        <v>17</v>
      </c>
      <c r="C10" s="5" t="s">
        <v>18</v>
      </c>
      <c r="D10" s="5" t="s">
        <v>49</v>
      </c>
      <c r="E10" s="5" t="s">
        <v>50</v>
      </c>
      <c r="F10" s="5" t="s">
        <v>6</v>
      </c>
      <c r="G10" s="5">
        <v>1</v>
      </c>
      <c r="H10" s="5">
        <v>8</v>
      </c>
      <c r="I10" s="6">
        <v>82000</v>
      </c>
      <c r="J10" s="6">
        <v>99000</v>
      </c>
      <c r="K10" s="6">
        <f t="shared" si="0"/>
        <v>17000</v>
      </c>
      <c r="L10" s="7">
        <f t="shared" si="1"/>
        <v>0.17171717171717171</v>
      </c>
      <c r="M10" s="5" t="s">
        <v>46</v>
      </c>
      <c r="N10" s="5" t="s">
        <v>47</v>
      </c>
      <c r="O10" s="5" t="s">
        <v>23</v>
      </c>
    </row>
    <row r="11" spans="1:15" x14ac:dyDescent="0.3">
      <c r="A11" s="2" t="s">
        <v>51</v>
      </c>
      <c r="B11" s="2" t="s">
        <v>17</v>
      </c>
      <c r="C11" s="2" t="s">
        <v>18</v>
      </c>
      <c r="D11" s="2" t="s">
        <v>52</v>
      </c>
      <c r="E11" s="2" t="s">
        <v>53</v>
      </c>
      <c r="F11" s="2" t="s">
        <v>6</v>
      </c>
      <c r="G11" s="2">
        <v>3</v>
      </c>
      <c r="H11" s="2">
        <v>15</v>
      </c>
      <c r="I11" s="3">
        <v>52000</v>
      </c>
      <c r="J11" s="3">
        <v>65000</v>
      </c>
      <c r="K11" s="3">
        <f t="shared" si="0"/>
        <v>13000</v>
      </c>
      <c r="L11" s="4">
        <f t="shared" si="1"/>
        <v>0.2</v>
      </c>
      <c r="M11" s="2" t="s">
        <v>54</v>
      </c>
      <c r="N11" s="2" t="s">
        <v>55</v>
      </c>
      <c r="O11" s="2" t="s">
        <v>23</v>
      </c>
    </row>
    <row r="12" spans="1:15" x14ac:dyDescent="0.3">
      <c r="A12" s="5" t="s">
        <v>56</v>
      </c>
      <c r="B12" s="5" t="s">
        <v>17</v>
      </c>
      <c r="C12" s="5" t="s">
        <v>18</v>
      </c>
      <c r="D12" s="5" t="s">
        <v>57</v>
      </c>
      <c r="E12" s="5" t="s">
        <v>58</v>
      </c>
      <c r="F12" s="5" t="s">
        <v>6</v>
      </c>
      <c r="G12" s="5">
        <v>4</v>
      </c>
      <c r="H12" s="5">
        <v>20</v>
      </c>
      <c r="I12" s="6">
        <v>34000</v>
      </c>
      <c r="J12" s="6">
        <v>42000</v>
      </c>
      <c r="K12" s="6">
        <f t="shared" si="0"/>
        <v>8000</v>
      </c>
      <c r="L12" s="7">
        <f t="shared" si="1"/>
        <v>0.19047619047619047</v>
      </c>
      <c r="M12" s="5" t="s">
        <v>59</v>
      </c>
      <c r="N12" s="5" t="s">
        <v>60</v>
      </c>
      <c r="O12" s="5" t="s">
        <v>23</v>
      </c>
    </row>
    <row r="13" spans="1:15" x14ac:dyDescent="0.3">
      <c r="A13" s="2" t="s">
        <v>61</v>
      </c>
      <c r="B13" s="2" t="s">
        <v>17</v>
      </c>
      <c r="C13" s="2" t="s">
        <v>62</v>
      </c>
      <c r="D13" s="2" t="s">
        <v>63</v>
      </c>
      <c r="E13" s="2" t="s">
        <v>64</v>
      </c>
      <c r="F13" s="2" t="s">
        <v>6</v>
      </c>
      <c r="G13" s="2">
        <v>1</v>
      </c>
      <c r="H13" s="2">
        <v>5</v>
      </c>
      <c r="I13" s="3">
        <v>115000</v>
      </c>
      <c r="J13" s="3">
        <v>139000</v>
      </c>
      <c r="K13" s="3">
        <f t="shared" si="0"/>
        <v>24000</v>
      </c>
      <c r="L13" s="4">
        <f t="shared" si="1"/>
        <v>0.17266187050359713</v>
      </c>
      <c r="M13" s="2" t="s">
        <v>65</v>
      </c>
      <c r="N13" s="2" t="s">
        <v>66</v>
      </c>
      <c r="O13" s="2" t="s">
        <v>23</v>
      </c>
    </row>
    <row r="14" spans="1:15" x14ac:dyDescent="0.3">
      <c r="A14" s="5" t="s">
        <v>67</v>
      </c>
      <c r="B14" s="5" t="s">
        <v>17</v>
      </c>
      <c r="C14" s="5" t="s">
        <v>62</v>
      </c>
      <c r="D14" s="5" t="s">
        <v>68</v>
      </c>
      <c r="E14" s="5" t="s">
        <v>69</v>
      </c>
      <c r="F14" s="5" t="s">
        <v>6</v>
      </c>
      <c r="G14" s="5">
        <v>1</v>
      </c>
      <c r="H14" s="5">
        <v>5</v>
      </c>
      <c r="I14" s="6">
        <v>108000</v>
      </c>
      <c r="J14" s="6">
        <v>130000</v>
      </c>
      <c r="K14" s="6">
        <f t="shared" si="0"/>
        <v>22000</v>
      </c>
      <c r="L14" s="7">
        <f t="shared" si="1"/>
        <v>0.16923076923076924</v>
      </c>
      <c r="M14" s="5" t="s">
        <v>70</v>
      </c>
      <c r="N14" s="5" t="s">
        <v>71</v>
      </c>
      <c r="O14" s="5" t="s">
        <v>23</v>
      </c>
    </row>
    <row r="15" spans="1:15" x14ac:dyDescent="0.3">
      <c r="A15" s="2" t="s">
        <v>72</v>
      </c>
      <c r="B15" s="2" t="s">
        <v>17</v>
      </c>
      <c r="C15" s="2" t="s">
        <v>62</v>
      </c>
      <c r="D15" s="2" t="s">
        <v>73</v>
      </c>
      <c r="E15" s="2" t="s">
        <v>74</v>
      </c>
      <c r="F15" s="2" t="s">
        <v>6</v>
      </c>
      <c r="G15" s="2">
        <v>1</v>
      </c>
      <c r="H15" s="2">
        <v>5</v>
      </c>
      <c r="I15" s="3">
        <v>95000</v>
      </c>
      <c r="J15" s="3">
        <v>115000</v>
      </c>
      <c r="K15" s="3">
        <f t="shared" si="0"/>
        <v>20000</v>
      </c>
      <c r="L15" s="4">
        <f t="shared" si="1"/>
        <v>0.17391304347826086</v>
      </c>
      <c r="M15" s="2" t="s">
        <v>75</v>
      </c>
      <c r="N15" s="2" t="s">
        <v>76</v>
      </c>
      <c r="O15" s="2" t="s">
        <v>23</v>
      </c>
    </row>
    <row r="16" spans="1:15" x14ac:dyDescent="0.3">
      <c r="A16" s="5" t="s">
        <v>77</v>
      </c>
      <c r="B16" s="5" t="s">
        <v>17</v>
      </c>
      <c r="C16" s="5" t="s">
        <v>62</v>
      </c>
      <c r="D16" s="5" t="s">
        <v>78</v>
      </c>
      <c r="E16" s="5" t="s">
        <v>79</v>
      </c>
      <c r="F16" s="5" t="s">
        <v>6</v>
      </c>
      <c r="G16" s="5">
        <v>1</v>
      </c>
      <c r="H16" s="5">
        <v>5</v>
      </c>
      <c r="I16" s="6">
        <v>105000</v>
      </c>
      <c r="J16" s="6">
        <v>128000</v>
      </c>
      <c r="K16" s="6">
        <f t="shared" si="0"/>
        <v>23000</v>
      </c>
      <c r="L16" s="7">
        <f t="shared" si="1"/>
        <v>0.1796875</v>
      </c>
      <c r="M16" s="5" t="s">
        <v>80</v>
      </c>
      <c r="N16" s="5" t="s">
        <v>81</v>
      </c>
      <c r="O16" s="5" t="s">
        <v>23</v>
      </c>
    </row>
    <row r="17" spans="1:15" x14ac:dyDescent="0.3">
      <c r="A17" s="2" t="s">
        <v>82</v>
      </c>
      <c r="B17" s="2" t="s">
        <v>17</v>
      </c>
      <c r="C17" s="2" t="s">
        <v>62</v>
      </c>
      <c r="D17" s="2" t="s">
        <v>83</v>
      </c>
      <c r="E17" s="2" t="s">
        <v>84</v>
      </c>
      <c r="F17" s="2" t="s">
        <v>6</v>
      </c>
      <c r="G17" s="2">
        <v>1</v>
      </c>
      <c r="H17" s="2">
        <v>3</v>
      </c>
      <c r="I17" s="3">
        <v>175000</v>
      </c>
      <c r="J17" s="3">
        <v>210000</v>
      </c>
      <c r="K17" s="3">
        <f t="shared" si="0"/>
        <v>35000</v>
      </c>
      <c r="L17" s="4">
        <f t="shared" si="1"/>
        <v>0.16666666666666666</v>
      </c>
      <c r="M17" s="2" t="s">
        <v>65</v>
      </c>
      <c r="N17" s="2" t="s">
        <v>66</v>
      </c>
      <c r="O17" s="2" t="s">
        <v>23</v>
      </c>
    </row>
    <row r="18" spans="1:15" x14ac:dyDescent="0.3">
      <c r="A18" s="5" t="s">
        <v>85</v>
      </c>
      <c r="B18" s="5" t="s">
        <v>17</v>
      </c>
      <c r="C18" s="5" t="s">
        <v>62</v>
      </c>
      <c r="D18" s="5" t="s">
        <v>86</v>
      </c>
      <c r="E18" s="5" t="s">
        <v>87</v>
      </c>
      <c r="F18" s="5" t="s">
        <v>6</v>
      </c>
      <c r="G18" s="5">
        <v>1</v>
      </c>
      <c r="H18" s="5">
        <v>3</v>
      </c>
      <c r="I18" s="6">
        <v>155000</v>
      </c>
      <c r="J18" s="6">
        <v>185000</v>
      </c>
      <c r="K18" s="6">
        <f t="shared" si="0"/>
        <v>30000</v>
      </c>
      <c r="L18" s="7">
        <f t="shared" si="1"/>
        <v>0.16216216216216217</v>
      </c>
      <c r="M18" s="5" t="s">
        <v>70</v>
      </c>
      <c r="N18" s="5" t="s">
        <v>71</v>
      </c>
      <c r="O18" s="5" t="s">
        <v>23</v>
      </c>
    </row>
    <row r="19" spans="1:15" x14ac:dyDescent="0.3">
      <c r="A19" s="2" t="s">
        <v>88</v>
      </c>
      <c r="B19" s="2" t="s">
        <v>17</v>
      </c>
      <c r="C19" s="2" t="s">
        <v>62</v>
      </c>
      <c r="D19" s="2" t="s">
        <v>89</v>
      </c>
      <c r="E19" s="2" t="s">
        <v>90</v>
      </c>
      <c r="F19" s="2" t="s">
        <v>6</v>
      </c>
      <c r="G19" s="2">
        <v>1</v>
      </c>
      <c r="H19" s="2">
        <v>3</v>
      </c>
      <c r="I19" s="3">
        <v>290000</v>
      </c>
      <c r="J19" s="3">
        <v>339000</v>
      </c>
      <c r="K19" s="3">
        <f t="shared" si="0"/>
        <v>49000</v>
      </c>
      <c r="L19" s="4">
        <f t="shared" si="1"/>
        <v>0.14454277286135694</v>
      </c>
      <c r="M19" s="2" t="s">
        <v>30</v>
      </c>
      <c r="N19" s="2" t="s">
        <v>31</v>
      </c>
      <c r="O19" s="2" t="s">
        <v>23</v>
      </c>
    </row>
    <row r="20" spans="1:15" x14ac:dyDescent="0.3">
      <c r="A20" s="5" t="s">
        <v>91</v>
      </c>
      <c r="B20" s="5" t="s">
        <v>17</v>
      </c>
      <c r="C20" s="5" t="s">
        <v>62</v>
      </c>
      <c r="D20" s="5" t="s">
        <v>92</v>
      </c>
      <c r="E20" s="5" t="s">
        <v>93</v>
      </c>
      <c r="F20" s="5" t="s">
        <v>6</v>
      </c>
      <c r="G20" s="5">
        <v>2</v>
      </c>
      <c r="H20" s="5">
        <v>8</v>
      </c>
      <c r="I20" s="6">
        <v>120000</v>
      </c>
      <c r="J20" s="6">
        <v>145000</v>
      </c>
      <c r="K20" s="6">
        <f t="shared" si="0"/>
        <v>25000</v>
      </c>
      <c r="L20" s="7">
        <f t="shared" si="1"/>
        <v>0.17241379310344829</v>
      </c>
      <c r="M20" s="5" t="s">
        <v>94</v>
      </c>
      <c r="N20" s="5" t="s">
        <v>95</v>
      </c>
      <c r="O20" s="5" t="s">
        <v>23</v>
      </c>
    </row>
    <row r="21" spans="1:15" x14ac:dyDescent="0.3">
      <c r="A21" s="2" t="s">
        <v>96</v>
      </c>
      <c r="B21" s="2" t="s">
        <v>17</v>
      </c>
      <c r="C21" s="2" t="s">
        <v>97</v>
      </c>
      <c r="D21" s="2" t="s">
        <v>98</v>
      </c>
      <c r="E21" s="2" t="s">
        <v>99</v>
      </c>
      <c r="F21" s="2" t="s">
        <v>6</v>
      </c>
      <c r="G21" s="2">
        <v>1</v>
      </c>
      <c r="H21" s="2">
        <v>5</v>
      </c>
      <c r="I21" s="3">
        <v>78000</v>
      </c>
      <c r="J21" s="3">
        <v>98000</v>
      </c>
      <c r="K21" s="3">
        <f t="shared" si="0"/>
        <v>20000</v>
      </c>
      <c r="L21" s="4">
        <f t="shared" si="1"/>
        <v>0.20408163265306123</v>
      </c>
      <c r="M21" s="2" t="s">
        <v>21</v>
      </c>
      <c r="N21" s="2" t="s">
        <v>22</v>
      </c>
      <c r="O21" s="2" t="s">
        <v>23</v>
      </c>
    </row>
    <row r="22" spans="1:15" x14ac:dyDescent="0.3">
      <c r="A22" s="5" t="s">
        <v>100</v>
      </c>
      <c r="B22" s="5" t="s">
        <v>17</v>
      </c>
      <c r="C22" s="5" t="s">
        <v>97</v>
      </c>
      <c r="D22" s="5" t="s">
        <v>101</v>
      </c>
      <c r="E22" s="5" t="s">
        <v>102</v>
      </c>
      <c r="F22" s="5" t="s">
        <v>6</v>
      </c>
      <c r="G22" s="5">
        <v>1</v>
      </c>
      <c r="H22" s="5">
        <v>3</v>
      </c>
      <c r="I22" s="6">
        <v>150000</v>
      </c>
      <c r="J22" s="6">
        <v>185000</v>
      </c>
      <c r="K22" s="6">
        <f t="shared" si="0"/>
        <v>35000</v>
      </c>
      <c r="L22" s="7">
        <f t="shared" si="1"/>
        <v>0.1891891891891892</v>
      </c>
      <c r="M22" s="5" t="s">
        <v>21</v>
      </c>
      <c r="N22" s="5" t="s">
        <v>22</v>
      </c>
      <c r="O22" s="5" t="s">
        <v>23</v>
      </c>
    </row>
    <row r="23" spans="1:15" x14ac:dyDescent="0.3">
      <c r="A23" s="2" t="s">
        <v>103</v>
      </c>
      <c r="B23" s="2" t="s">
        <v>17</v>
      </c>
      <c r="C23" s="2" t="s">
        <v>97</v>
      </c>
      <c r="D23" s="2" t="s">
        <v>104</v>
      </c>
      <c r="E23" s="2" t="s">
        <v>105</v>
      </c>
      <c r="F23" s="2" t="s">
        <v>6</v>
      </c>
      <c r="G23" s="2">
        <v>2</v>
      </c>
      <c r="H23" s="2">
        <v>8</v>
      </c>
      <c r="I23" s="3">
        <v>42000</v>
      </c>
      <c r="J23" s="3">
        <v>52000</v>
      </c>
      <c r="K23" s="3">
        <f t="shared" si="0"/>
        <v>10000</v>
      </c>
      <c r="L23" s="4">
        <f t="shared" si="1"/>
        <v>0.19230769230769232</v>
      </c>
      <c r="M23" s="2" t="s">
        <v>106</v>
      </c>
      <c r="N23" s="2" t="s">
        <v>107</v>
      </c>
      <c r="O23" s="2" t="s">
        <v>23</v>
      </c>
    </row>
    <row r="24" spans="1:15" x14ac:dyDescent="0.3">
      <c r="A24" s="5" t="s">
        <v>108</v>
      </c>
      <c r="B24" s="5" t="s">
        <v>17</v>
      </c>
      <c r="C24" s="5" t="s">
        <v>97</v>
      </c>
      <c r="D24" s="5" t="s">
        <v>109</v>
      </c>
      <c r="E24" s="5" t="s">
        <v>110</v>
      </c>
      <c r="F24" s="5" t="s">
        <v>6</v>
      </c>
      <c r="G24" s="5">
        <v>1</v>
      </c>
      <c r="H24" s="5">
        <v>5</v>
      </c>
      <c r="I24" s="6">
        <v>68000</v>
      </c>
      <c r="J24" s="6">
        <v>85000</v>
      </c>
      <c r="K24" s="6">
        <f t="shared" si="0"/>
        <v>17000</v>
      </c>
      <c r="L24" s="7">
        <f t="shared" si="1"/>
        <v>0.2</v>
      </c>
      <c r="M24" s="5" t="s">
        <v>106</v>
      </c>
      <c r="N24" s="5" t="s">
        <v>107</v>
      </c>
      <c r="O24" s="5" t="s">
        <v>23</v>
      </c>
    </row>
    <row r="25" spans="1:15" x14ac:dyDescent="0.3">
      <c r="A25" s="2" t="s">
        <v>111</v>
      </c>
      <c r="B25" s="2" t="s">
        <v>17</v>
      </c>
      <c r="C25" s="2" t="s">
        <v>97</v>
      </c>
      <c r="D25" s="2" t="s">
        <v>112</v>
      </c>
      <c r="E25" s="2" t="s">
        <v>113</v>
      </c>
      <c r="F25" s="2" t="s">
        <v>6</v>
      </c>
      <c r="G25" s="2">
        <v>3</v>
      </c>
      <c r="H25" s="2">
        <v>10</v>
      </c>
      <c r="I25" s="3">
        <v>28000</v>
      </c>
      <c r="J25" s="3">
        <v>36000</v>
      </c>
      <c r="K25" s="3">
        <f t="shared" si="0"/>
        <v>8000</v>
      </c>
      <c r="L25" s="4">
        <f t="shared" si="1"/>
        <v>0.22222222222222221</v>
      </c>
      <c r="M25" s="2" t="s">
        <v>114</v>
      </c>
      <c r="N25" s="2" t="s">
        <v>115</v>
      </c>
      <c r="O25" s="2" t="s">
        <v>23</v>
      </c>
    </row>
    <row r="26" spans="1:15" x14ac:dyDescent="0.3">
      <c r="A26" s="5" t="s">
        <v>116</v>
      </c>
      <c r="B26" s="5" t="s">
        <v>17</v>
      </c>
      <c r="C26" s="5" t="s">
        <v>97</v>
      </c>
      <c r="D26" s="5" t="s">
        <v>117</v>
      </c>
      <c r="E26" s="5" t="s">
        <v>118</v>
      </c>
      <c r="F26" s="5" t="s">
        <v>6</v>
      </c>
      <c r="G26" s="5">
        <v>2</v>
      </c>
      <c r="H26" s="5">
        <v>8</v>
      </c>
      <c r="I26" s="6">
        <v>55000</v>
      </c>
      <c r="J26" s="6">
        <v>68000</v>
      </c>
      <c r="K26" s="6">
        <f t="shared" si="0"/>
        <v>13000</v>
      </c>
      <c r="L26" s="7">
        <f t="shared" si="1"/>
        <v>0.19117647058823528</v>
      </c>
      <c r="M26" s="5" t="s">
        <v>114</v>
      </c>
      <c r="N26" s="5" t="s">
        <v>115</v>
      </c>
      <c r="O26" s="5" t="s">
        <v>23</v>
      </c>
    </row>
    <row r="27" spans="1:15" x14ac:dyDescent="0.3">
      <c r="A27" s="2" t="s">
        <v>119</v>
      </c>
      <c r="B27" s="2" t="s">
        <v>17</v>
      </c>
      <c r="C27" s="2" t="s">
        <v>97</v>
      </c>
      <c r="D27" s="2" t="s">
        <v>120</v>
      </c>
      <c r="E27" s="2" t="s">
        <v>121</v>
      </c>
      <c r="F27" s="2" t="s">
        <v>6</v>
      </c>
      <c r="G27" s="2">
        <v>1</v>
      </c>
      <c r="H27" s="2">
        <v>3</v>
      </c>
      <c r="I27" s="3">
        <v>195000</v>
      </c>
      <c r="J27" s="3">
        <v>239000</v>
      </c>
      <c r="K27" s="3">
        <f t="shared" si="0"/>
        <v>44000</v>
      </c>
      <c r="L27" s="4">
        <f t="shared" si="1"/>
        <v>0.18410041841004185</v>
      </c>
      <c r="M27" s="2" t="s">
        <v>122</v>
      </c>
      <c r="N27" s="2" t="s">
        <v>123</v>
      </c>
      <c r="O27" s="2" t="s">
        <v>23</v>
      </c>
    </row>
    <row r="28" spans="1:15" x14ac:dyDescent="0.3">
      <c r="A28" s="5" t="s">
        <v>124</v>
      </c>
      <c r="B28" s="5" t="s">
        <v>17</v>
      </c>
      <c r="C28" s="5" t="s">
        <v>97</v>
      </c>
      <c r="D28" s="5" t="s">
        <v>125</v>
      </c>
      <c r="E28" s="5" t="s">
        <v>126</v>
      </c>
      <c r="F28" s="5" t="s">
        <v>6</v>
      </c>
      <c r="G28" s="5">
        <v>1</v>
      </c>
      <c r="H28" s="5">
        <v>3</v>
      </c>
      <c r="I28" s="6">
        <v>125000</v>
      </c>
      <c r="J28" s="6">
        <v>155000</v>
      </c>
      <c r="K28" s="6">
        <f t="shared" si="0"/>
        <v>30000</v>
      </c>
      <c r="L28" s="7">
        <f t="shared" si="1"/>
        <v>0.19354838709677419</v>
      </c>
      <c r="M28" s="5" t="s">
        <v>127</v>
      </c>
      <c r="N28" s="5" t="s">
        <v>128</v>
      </c>
      <c r="O28" s="5" t="s">
        <v>23</v>
      </c>
    </row>
    <row r="29" spans="1:15" x14ac:dyDescent="0.3">
      <c r="A29" s="2" t="s">
        <v>129</v>
      </c>
      <c r="B29" s="2" t="s">
        <v>17</v>
      </c>
      <c r="C29" s="2" t="s">
        <v>130</v>
      </c>
      <c r="D29" s="2" t="s">
        <v>131</v>
      </c>
      <c r="E29" s="2" t="s">
        <v>132</v>
      </c>
      <c r="F29" s="2" t="s">
        <v>6</v>
      </c>
      <c r="G29" s="2">
        <v>2</v>
      </c>
      <c r="H29" s="2">
        <v>5</v>
      </c>
      <c r="I29" s="3">
        <v>95000</v>
      </c>
      <c r="J29" s="3">
        <v>118000</v>
      </c>
      <c r="K29" s="3">
        <f t="shared" si="0"/>
        <v>23000</v>
      </c>
      <c r="L29" s="4">
        <f t="shared" si="1"/>
        <v>0.19491525423728814</v>
      </c>
      <c r="M29" s="2" t="s">
        <v>133</v>
      </c>
      <c r="N29" s="2" t="s">
        <v>133</v>
      </c>
      <c r="O29" s="2" t="s">
        <v>23</v>
      </c>
    </row>
    <row r="30" spans="1:15" x14ac:dyDescent="0.3">
      <c r="A30" s="5" t="s">
        <v>134</v>
      </c>
      <c r="B30" s="5" t="s">
        <v>17</v>
      </c>
      <c r="C30" s="5" t="s">
        <v>130</v>
      </c>
      <c r="D30" s="5" t="s">
        <v>135</v>
      </c>
      <c r="E30" s="5" t="s">
        <v>136</v>
      </c>
      <c r="F30" s="5" t="s">
        <v>6</v>
      </c>
      <c r="G30" s="5">
        <v>2</v>
      </c>
      <c r="H30" s="5">
        <v>5</v>
      </c>
      <c r="I30" s="6">
        <v>75000</v>
      </c>
      <c r="J30" s="6">
        <v>94000</v>
      </c>
      <c r="K30" s="6">
        <f t="shared" si="0"/>
        <v>19000</v>
      </c>
      <c r="L30" s="7">
        <f t="shared" si="1"/>
        <v>0.20212765957446807</v>
      </c>
      <c r="M30" s="5" t="s">
        <v>114</v>
      </c>
      <c r="N30" s="5" t="s">
        <v>115</v>
      </c>
      <c r="O30" s="5" t="s">
        <v>23</v>
      </c>
    </row>
    <row r="31" spans="1:15" x14ac:dyDescent="0.3">
      <c r="A31" s="2" t="s">
        <v>137</v>
      </c>
      <c r="B31" s="2" t="s">
        <v>17</v>
      </c>
      <c r="C31" s="2" t="s">
        <v>130</v>
      </c>
      <c r="D31" s="2" t="s">
        <v>138</v>
      </c>
      <c r="E31" s="2" t="s">
        <v>139</v>
      </c>
      <c r="F31" s="2" t="s">
        <v>6</v>
      </c>
      <c r="G31" s="2">
        <v>2</v>
      </c>
      <c r="H31" s="2">
        <v>5</v>
      </c>
      <c r="I31" s="3">
        <v>80000</v>
      </c>
      <c r="J31" s="3">
        <v>99000</v>
      </c>
      <c r="K31" s="3">
        <f t="shared" si="0"/>
        <v>19000</v>
      </c>
      <c r="L31" s="4">
        <f t="shared" si="1"/>
        <v>0.19191919191919191</v>
      </c>
      <c r="M31" s="2" t="s">
        <v>140</v>
      </c>
      <c r="N31" s="2" t="s">
        <v>141</v>
      </c>
      <c r="O31" s="2" t="s">
        <v>23</v>
      </c>
    </row>
    <row r="32" spans="1:15" x14ac:dyDescent="0.3">
      <c r="A32" s="5" t="s">
        <v>142</v>
      </c>
      <c r="B32" s="5" t="s">
        <v>17</v>
      </c>
      <c r="C32" s="5" t="s">
        <v>130</v>
      </c>
      <c r="D32" s="5" t="s">
        <v>143</v>
      </c>
      <c r="E32" s="5" t="s">
        <v>144</v>
      </c>
      <c r="F32" s="5" t="s">
        <v>6</v>
      </c>
      <c r="G32" s="5">
        <v>1</v>
      </c>
      <c r="H32" s="5">
        <v>4</v>
      </c>
      <c r="I32" s="6">
        <v>65000</v>
      </c>
      <c r="J32" s="6">
        <v>80000</v>
      </c>
      <c r="K32" s="6">
        <f t="shared" si="0"/>
        <v>15000</v>
      </c>
      <c r="L32" s="7">
        <f t="shared" si="1"/>
        <v>0.1875</v>
      </c>
      <c r="M32" s="5" t="s">
        <v>133</v>
      </c>
      <c r="N32" s="5" t="s">
        <v>133</v>
      </c>
      <c r="O32" s="5" t="s">
        <v>23</v>
      </c>
    </row>
    <row r="33" spans="1:15" x14ac:dyDescent="0.3">
      <c r="A33" s="2" t="s">
        <v>145</v>
      </c>
      <c r="B33" s="2" t="s">
        <v>17</v>
      </c>
      <c r="C33" s="2" t="s">
        <v>130</v>
      </c>
      <c r="D33" s="2" t="s">
        <v>146</v>
      </c>
      <c r="E33" s="2" t="s">
        <v>147</v>
      </c>
      <c r="F33" s="2" t="s">
        <v>6</v>
      </c>
      <c r="G33" s="2">
        <v>1</v>
      </c>
      <c r="H33" s="2">
        <v>4</v>
      </c>
      <c r="I33" s="3">
        <v>72000</v>
      </c>
      <c r="J33" s="3">
        <v>90000</v>
      </c>
      <c r="K33" s="3">
        <f t="shared" si="0"/>
        <v>18000</v>
      </c>
      <c r="L33" s="4">
        <f t="shared" si="1"/>
        <v>0.2</v>
      </c>
      <c r="M33" s="2" t="s">
        <v>114</v>
      </c>
      <c r="N33" s="2" t="s">
        <v>115</v>
      </c>
      <c r="O33" s="2" t="s">
        <v>23</v>
      </c>
    </row>
    <row r="34" spans="1:15" x14ac:dyDescent="0.3">
      <c r="A34" s="5" t="s">
        <v>148</v>
      </c>
      <c r="B34" s="5" t="s">
        <v>17</v>
      </c>
      <c r="C34" s="5" t="s">
        <v>130</v>
      </c>
      <c r="D34" s="5" t="s">
        <v>149</v>
      </c>
      <c r="E34" s="5" t="s">
        <v>150</v>
      </c>
      <c r="F34" s="5" t="s">
        <v>6</v>
      </c>
      <c r="G34" s="5">
        <v>1</v>
      </c>
      <c r="H34" s="5">
        <v>4</v>
      </c>
      <c r="I34" s="6">
        <v>82000</v>
      </c>
      <c r="J34" s="6">
        <v>102000</v>
      </c>
      <c r="K34" s="6">
        <f t="shared" si="0"/>
        <v>20000</v>
      </c>
      <c r="L34" s="7">
        <f t="shared" si="1"/>
        <v>0.19607843137254902</v>
      </c>
      <c r="M34" s="5" t="s">
        <v>151</v>
      </c>
      <c r="N34" s="5" t="s">
        <v>152</v>
      </c>
      <c r="O34" s="5" t="s">
        <v>23</v>
      </c>
    </row>
    <row r="35" spans="1:15" x14ac:dyDescent="0.3">
      <c r="A35" s="2" t="s">
        <v>153</v>
      </c>
      <c r="B35" s="2" t="s">
        <v>17</v>
      </c>
      <c r="C35" s="2" t="s">
        <v>130</v>
      </c>
      <c r="D35" s="2" t="s">
        <v>154</v>
      </c>
      <c r="E35" s="2" t="s">
        <v>155</v>
      </c>
      <c r="F35" s="2" t="s">
        <v>6</v>
      </c>
      <c r="G35" s="2">
        <v>2</v>
      </c>
      <c r="H35" s="2">
        <v>5</v>
      </c>
      <c r="I35" s="3">
        <v>45000</v>
      </c>
      <c r="J35" s="3">
        <v>56000</v>
      </c>
      <c r="K35" s="3">
        <f t="shared" si="0"/>
        <v>11000</v>
      </c>
      <c r="L35" s="4">
        <f t="shared" si="1"/>
        <v>0.19642857142857142</v>
      </c>
      <c r="M35" s="2" t="s">
        <v>133</v>
      </c>
      <c r="N35" s="2" t="s">
        <v>133</v>
      </c>
      <c r="O35" s="2" t="s">
        <v>23</v>
      </c>
    </row>
    <row r="36" spans="1:15" x14ac:dyDescent="0.3">
      <c r="A36" s="5" t="s">
        <v>156</v>
      </c>
      <c r="B36" s="5" t="s">
        <v>17</v>
      </c>
      <c r="C36" s="5" t="s">
        <v>130</v>
      </c>
      <c r="D36" s="5" t="s">
        <v>157</v>
      </c>
      <c r="E36" s="5" t="s">
        <v>158</v>
      </c>
      <c r="F36" s="5" t="s">
        <v>6</v>
      </c>
      <c r="G36" s="5">
        <v>1</v>
      </c>
      <c r="H36" s="5">
        <v>4</v>
      </c>
      <c r="I36" s="6">
        <v>75000</v>
      </c>
      <c r="J36" s="6">
        <v>95000</v>
      </c>
      <c r="K36" s="6">
        <f t="shared" si="0"/>
        <v>20000</v>
      </c>
      <c r="L36" s="7">
        <f t="shared" si="1"/>
        <v>0.21052631578947367</v>
      </c>
      <c r="M36" s="5" t="s">
        <v>114</v>
      </c>
      <c r="N36" s="5" t="s">
        <v>115</v>
      </c>
      <c r="O36" s="5" t="s">
        <v>23</v>
      </c>
    </row>
    <row r="37" spans="1:15" x14ac:dyDescent="0.3">
      <c r="A37" s="2" t="s">
        <v>159</v>
      </c>
      <c r="B37" s="2" t="s">
        <v>17</v>
      </c>
      <c r="C37" s="2" t="s">
        <v>130</v>
      </c>
      <c r="D37" s="2" t="s">
        <v>160</v>
      </c>
      <c r="E37" s="2" t="s">
        <v>161</v>
      </c>
      <c r="F37" s="2" t="s">
        <v>6</v>
      </c>
      <c r="G37" s="2">
        <v>3</v>
      </c>
      <c r="H37" s="2">
        <v>8</v>
      </c>
      <c r="I37" s="3">
        <v>22000</v>
      </c>
      <c r="J37" s="3">
        <v>28000</v>
      </c>
      <c r="K37" s="3">
        <f t="shared" si="0"/>
        <v>6000</v>
      </c>
      <c r="L37" s="4">
        <f t="shared" si="1"/>
        <v>0.21428571428571427</v>
      </c>
      <c r="M37" s="2" t="s">
        <v>162</v>
      </c>
      <c r="N37" s="2" t="s">
        <v>162</v>
      </c>
      <c r="O37" s="2" t="s">
        <v>23</v>
      </c>
    </row>
    <row r="38" spans="1:15" x14ac:dyDescent="0.3">
      <c r="A38" s="5" t="s">
        <v>163</v>
      </c>
      <c r="B38" s="5" t="s">
        <v>17</v>
      </c>
      <c r="C38" s="5" t="s">
        <v>130</v>
      </c>
      <c r="D38" s="5" t="s">
        <v>164</v>
      </c>
      <c r="E38" s="5" t="s">
        <v>165</v>
      </c>
      <c r="F38" s="5" t="s">
        <v>6</v>
      </c>
      <c r="G38" s="5">
        <v>5</v>
      </c>
      <c r="H38" s="5">
        <v>15</v>
      </c>
      <c r="I38" s="6">
        <v>3500</v>
      </c>
      <c r="J38" s="6">
        <v>5000</v>
      </c>
      <c r="K38" s="6">
        <f t="shared" si="0"/>
        <v>1500</v>
      </c>
      <c r="L38" s="7">
        <f t="shared" si="1"/>
        <v>0.3</v>
      </c>
      <c r="M38" s="5" t="s">
        <v>166</v>
      </c>
      <c r="N38" s="5" t="s">
        <v>167</v>
      </c>
      <c r="O38" s="5" t="s">
        <v>23</v>
      </c>
    </row>
    <row r="39" spans="1:15" x14ac:dyDescent="0.3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s">
        <v>6</v>
      </c>
      <c r="G39" s="2">
        <v>10</v>
      </c>
      <c r="H39" s="2">
        <v>50</v>
      </c>
      <c r="I39" s="3">
        <v>3800</v>
      </c>
      <c r="J39" s="3">
        <v>4800</v>
      </c>
      <c r="K39" s="3">
        <f t="shared" si="0"/>
        <v>1000</v>
      </c>
      <c r="L39" s="4">
        <f t="shared" si="1"/>
        <v>0.20833333333333334</v>
      </c>
      <c r="M39" s="2" t="s">
        <v>173</v>
      </c>
      <c r="N39" s="2" t="s">
        <v>174</v>
      </c>
      <c r="O39" s="2" t="s">
        <v>23</v>
      </c>
    </row>
    <row r="40" spans="1:15" x14ac:dyDescent="0.3">
      <c r="A40" s="5" t="s">
        <v>175</v>
      </c>
      <c r="B40" s="5" t="s">
        <v>169</v>
      </c>
      <c r="C40" s="5" t="s">
        <v>170</v>
      </c>
      <c r="D40" s="5" t="s">
        <v>176</v>
      </c>
      <c r="E40" s="5" t="s">
        <v>177</v>
      </c>
      <c r="F40" s="5" t="s">
        <v>6</v>
      </c>
      <c r="G40" s="5">
        <v>20</v>
      </c>
      <c r="H40" s="5">
        <v>100</v>
      </c>
      <c r="I40" s="6">
        <v>800</v>
      </c>
      <c r="J40" s="6">
        <v>1050</v>
      </c>
      <c r="K40" s="6">
        <f t="shared" si="0"/>
        <v>250</v>
      </c>
      <c r="L40" s="7">
        <f t="shared" si="1"/>
        <v>0.23809523809523808</v>
      </c>
      <c r="M40" s="5" t="s">
        <v>173</v>
      </c>
      <c r="N40" s="5" t="s">
        <v>174</v>
      </c>
      <c r="O40" s="5" t="s">
        <v>23</v>
      </c>
    </row>
    <row r="41" spans="1:15" x14ac:dyDescent="0.3">
      <c r="A41" s="2" t="s">
        <v>178</v>
      </c>
      <c r="B41" s="2" t="s">
        <v>169</v>
      </c>
      <c r="C41" s="2" t="s">
        <v>170</v>
      </c>
      <c r="D41" s="2" t="s">
        <v>179</v>
      </c>
      <c r="E41" s="2" t="s">
        <v>180</v>
      </c>
      <c r="F41" s="2" t="s">
        <v>6</v>
      </c>
      <c r="G41" s="2">
        <v>15</v>
      </c>
      <c r="H41" s="2">
        <v>75</v>
      </c>
      <c r="I41" s="3">
        <v>1100</v>
      </c>
      <c r="J41" s="3">
        <v>1400</v>
      </c>
      <c r="K41" s="3">
        <f t="shared" si="0"/>
        <v>300</v>
      </c>
      <c r="L41" s="4">
        <f t="shared" si="1"/>
        <v>0.21428571428571427</v>
      </c>
      <c r="M41" s="2" t="s">
        <v>181</v>
      </c>
      <c r="N41" s="2" t="s">
        <v>182</v>
      </c>
      <c r="O41" s="2" t="s">
        <v>23</v>
      </c>
    </row>
    <row r="42" spans="1:15" x14ac:dyDescent="0.3">
      <c r="A42" s="5" t="s">
        <v>183</v>
      </c>
      <c r="B42" s="5" t="s">
        <v>169</v>
      </c>
      <c r="C42" s="5" t="s">
        <v>170</v>
      </c>
      <c r="D42" s="5" t="s">
        <v>184</v>
      </c>
      <c r="E42" s="5" t="s">
        <v>185</v>
      </c>
      <c r="F42" s="5" t="s">
        <v>6</v>
      </c>
      <c r="G42" s="5">
        <v>25</v>
      </c>
      <c r="H42" s="5">
        <v>100</v>
      </c>
      <c r="I42" s="6">
        <v>580</v>
      </c>
      <c r="J42" s="6">
        <v>750</v>
      </c>
      <c r="K42" s="6">
        <f t="shared" si="0"/>
        <v>170</v>
      </c>
      <c r="L42" s="7">
        <f t="shared" si="1"/>
        <v>0.22666666666666666</v>
      </c>
      <c r="M42" s="5" t="s">
        <v>181</v>
      </c>
      <c r="N42" s="5" t="s">
        <v>182</v>
      </c>
      <c r="O42" s="5" t="s">
        <v>23</v>
      </c>
    </row>
    <row r="43" spans="1:15" x14ac:dyDescent="0.3">
      <c r="A43" s="2" t="s">
        <v>186</v>
      </c>
      <c r="B43" s="2" t="s">
        <v>169</v>
      </c>
      <c r="C43" s="2" t="s">
        <v>170</v>
      </c>
      <c r="D43" s="2" t="s">
        <v>187</v>
      </c>
      <c r="E43" s="2" t="s">
        <v>188</v>
      </c>
      <c r="F43" s="2" t="s">
        <v>6</v>
      </c>
      <c r="G43" s="2">
        <v>20</v>
      </c>
      <c r="H43" s="2">
        <v>100</v>
      </c>
      <c r="I43" s="3">
        <v>600</v>
      </c>
      <c r="J43" s="3">
        <v>780</v>
      </c>
      <c r="K43" s="3">
        <f t="shared" si="0"/>
        <v>180</v>
      </c>
      <c r="L43" s="4">
        <f t="shared" si="1"/>
        <v>0.23076923076923078</v>
      </c>
      <c r="M43" s="2" t="s">
        <v>189</v>
      </c>
      <c r="N43" s="2" t="s">
        <v>162</v>
      </c>
      <c r="O43" s="2" t="s">
        <v>23</v>
      </c>
    </row>
    <row r="44" spans="1:15" x14ac:dyDescent="0.3">
      <c r="A44" s="5" t="s">
        <v>190</v>
      </c>
      <c r="B44" s="5" t="s">
        <v>169</v>
      </c>
      <c r="C44" s="5" t="s">
        <v>170</v>
      </c>
      <c r="D44" s="5" t="s">
        <v>191</v>
      </c>
      <c r="E44" s="5" t="s">
        <v>192</v>
      </c>
      <c r="F44" s="5" t="s">
        <v>6</v>
      </c>
      <c r="G44" s="5">
        <v>30</v>
      </c>
      <c r="H44" s="5">
        <v>150</v>
      </c>
      <c r="I44" s="6">
        <v>125</v>
      </c>
      <c r="J44" s="6">
        <v>165</v>
      </c>
      <c r="K44" s="6">
        <f t="shared" si="0"/>
        <v>40</v>
      </c>
      <c r="L44" s="7">
        <f t="shared" si="1"/>
        <v>0.24242424242424243</v>
      </c>
      <c r="M44" s="5" t="s">
        <v>189</v>
      </c>
      <c r="N44" s="5" t="s">
        <v>162</v>
      </c>
      <c r="O44" s="5" t="s">
        <v>23</v>
      </c>
    </row>
    <row r="45" spans="1:15" x14ac:dyDescent="0.3">
      <c r="A45" s="2" t="s">
        <v>193</v>
      </c>
      <c r="B45" s="2" t="s">
        <v>169</v>
      </c>
      <c r="C45" s="2" t="s">
        <v>170</v>
      </c>
      <c r="D45" s="2" t="s">
        <v>194</v>
      </c>
      <c r="E45" s="2" t="s">
        <v>195</v>
      </c>
      <c r="F45" s="2" t="s">
        <v>6</v>
      </c>
      <c r="G45" s="2">
        <v>15</v>
      </c>
      <c r="H45" s="2">
        <v>60</v>
      </c>
      <c r="I45" s="3">
        <v>2000</v>
      </c>
      <c r="J45" s="3">
        <v>2550</v>
      </c>
      <c r="K45" s="3">
        <f t="shared" si="0"/>
        <v>550</v>
      </c>
      <c r="L45" s="4">
        <f t="shared" si="1"/>
        <v>0.21568627450980393</v>
      </c>
      <c r="M45" s="2" t="s">
        <v>196</v>
      </c>
      <c r="N45" s="2" t="s">
        <v>197</v>
      </c>
      <c r="O45" s="2" t="s">
        <v>23</v>
      </c>
    </row>
    <row r="46" spans="1:15" x14ac:dyDescent="0.3">
      <c r="A46" s="5" t="s">
        <v>198</v>
      </c>
      <c r="B46" s="5" t="s">
        <v>169</v>
      </c>
      <c r="C46" s="5" t="s">
        <v>170</v>
      </c>
      <c r="D46" s="5" t="s">
        <v>199</v>
      </c>
      <c r="E46" s="5" t="s">
        <v>200</v>
      </c>
      <c r="F46" s="5" t="s">
        <v>6</v>
      </c>
      <c r="G46" s="5">
        <v>30</v>
      </c>
      <c r="H46" s="5">
        <v>120</v>
      </c>
      <c r="I46" s="6">
        <v>430</v>
      </c>
      <c r="J46" s="6">
        <v>560</v>
      </c>
      <c r="K46" s="6">
        <f t="shared" si="0"/>
        <v>130</v>
      </c>
      <c r="L46" s="7">
        <f t="shared" si="1"/>
        <v>0.23214285714285715</v>
      </c>
      <c r="M46" s="5" t="s">
        <v>196</v>
      </c>
      <c r="N46" s="5" t="s">
        <v>197</v>
      </c>
      <c r="O46" s="5" t="s">
        <v>23</v>
      </c>
    </row>
    <row r="47" spans="1:15" x14ac:dyDescent="0.3">
      <c r="A47" s="2" t="s">
        <v>201</v>
      </c>
      <c r="B47" s="2" t="s">
        <v>169</v>
      </c>
      <c r="C47" s="2" t="s">
        <v>170</v>
      </c>
      <c r="D47" s="2" t="s">
        <v>202</v>
      </c>
      <c r="E47" s="2" t="s">
        <v>203</v>
      </c>
      <c r="F47" s="2" t="s">
        <v>6</v>
      </c>
      <c r="G47" s="2">
        <v>15</v>
      </c>
      <c r="H47" s="2">
        <v>60</v>
      </c>
      <c r="I47" s="3">
        <v>1900</v>
      </c>
      <c r="J47" s="3">
        <v>2450</v>
      </c>
      <c r="K47" s="3">
        <f t="shared" si="0"/>
        <v>550</v>
      </c>
      <c r="L47" s="4">
        <f t="shared" si="1"/>
        <v>0.22448979591836735</v>
      </c>
      <c r="M47" s="2" t="s">
        <v>204</v>
      </c>
      <c r="N47" s="2" t="s">
        <v>205</v>
      </c>
      <c r="O47" s="2" t="s">
        <v>23</v>
      </c>
    </row>
    <row r="48" spans="1:15" x14ac:dyDescent="0.3">
      <c r="A48" s="5" t="s">
        <v>206</v>
      </c>
      <c r="B48" s="5" t="s">
        <v>169</v>
      </c>
      <c r="C48" s="5" t="s">
        <v>170</v>
      </c>
      <c r="D48" s="5" t="s">
        <v>207</v>
      </c>
      <c r="E48" s="5" t="s">
        <v>208</v>
      </c>
      <c r="F48" s="5" t="s">
        <v>6</v>
      </c>
      <c r="G48" s="5">
        <v>20</v>
      </c>
      <c r="H48" s="5">
        <v>80</v>
      </c>
      <c r="I48" s="6">
        <v>1100</v>
      </c>
      <c r="J48" s="6">
        <v>1450</v>
      </c>
      <c r="K48" s="6">
        <f t="shared" si="0"/>
        <v>350</v>
      </c>
      <c r="L48" s="7">
        <f t="shared" si="1"/>
        <v>0.2413793103448276</v>
      </c>
      <c r="M48" s="5" t="s">
        <v>209</v>
      </c>
      <c r="N48" s="5" t="s">
        <v>210</v>
      </c>
      <c r="O48" s="5" t="s">
        <v>23</v>
      </c>
    </row>
    <row r="49" spans="1:15" x14ac:dyDescent="0.3">
      <c r="A49" s="2" t="s">
        <v>211</v>
      </c>
      <c r="B49" s="2" t="s">
        <v>169</v>
      </c>
      <c r="C49" s="2" t="s">
        <v>212</v>
      </c>
      <c r="D49" s="2" t="s">
        <v>213</v>
      </c>
      <c r="E49" s="2" t="s">
        <v>214</v>
      </c>
      <c r="F49" s="2" t="s">
        <v>6</v>
      </c>
      <c r="G49" s="2">
        <v>20</v>
      </c>
      <c r="H49" s="2">
        <v>80</v>
      </c>
      <c r="I49" s="3">
        <v>65</v>
      </c>
      <c r="J49" s="3">
        <v>95</v>
      </c>
      <c r="K49" s="3">
        <f t="shared" si="0"/>
        <v>30</v>
      </c>
      <c r="L49" s="4">
        <f t="shared" si="1"/>
        <v>0.31578947368421051</v>
      </c>
      <c r="M49" s="2" t="s">
        <v>189</v>
      </c>
      <c r="N49" s="2" t="s">
        <v>162</v>
      </c>
      <c r="O49" s="2" t="s">
        <v>23</v>
      </c>
    </row>
    <row r="50" spans="1:15" x14ac:dyDescent="0.3">
      <c r="A50" s="5" t="s">
        <v>215</v>
      </c>
      <c r="B50" s="5" t="s">
        <v>169</v>
      </c>
      <c r="C50" s="5" t="s">
        <v>212</v>
      </c>
      <c r="D50" s="5" t="s">
        <v>216</v>
      </c>
      <c r="E50" s="5" t="s">
        <v>217</v>
      </c>
      <c r="F50" s="5" t="s">
        <v>6</v>
      </c>
      <c r="G50" s="5">
        <v>20</v>
      </c>
      <c r="H50" s="5">
        <v>80</v>
      </c>
      <c r="I50" s="6">
        <v>70</v>
      </c>
      <c r="J50" s="6">
        <v>100</v>
      </c>
      <c r="K50" s="6">
        <f t="shared" si="0"/>
        <v>30</v>
      </c>
      <c r="L50" s="7">
        <f t="shared" si="1"/>
        <v>0.3</v>
      </c>
      <c r="M50" s="5" t="s">
        <v>218</v>
      </c>
      <c r="N50" s="5" t="s">
        <v>219</v>
      </c>
      <c r="O50" s="5" t="s">
        <v>23</v>
      </c>
    </row>
    <row r="51" spans="1:15" x14ac:dyDescent="0.3">
      <c r="A51" s="2" t="s">
        <v>220</v>
      </c>
      <c r="B51" s="2" t="s">
        <v>169</v>
      </c>
      <c r="C51" s="2" t="s">
        <v>212</v>
      </c>
      <c r="D51" s="2" t="s">
        <v>221</v>
      </c>
      <c r="E51" s="2" t="s">
        <v>222</v>
      </c>
      <c r="F51" s="2" t="s">
        <v>6</v>
      </c>
      <c r="G51" s="2">
        <v>20</v>
      </c>
      <c r="H51" s="2">
        <v>80</v>
      </c>
      <c r="I51" s="3">
        <v>95</v>
      </c>
      <c r="J51" s="3">
        <v>135</v>
      </c>
      <c r="K51" s="3">
        <f t="shared" si="0"/>
        <v>40</v>
      </c>
      <c r="L51" s="4">
        <f t="shared" si="1"/>
        <v>0.29629629629629628</v>
      </c>
      <c r="M51" s="2" t="s">
        <v>218</v>
      </c>
      <c r="N51" s="2" t="s">
        <v>219</v>
      </c>
      <c r="O51" s="2" t="s">
        <v>23</v>
      </c>
    </row>
    <row r="52" spans="1:15" x14ac:dyDescent="0.3">
      <c r="A52" s="5" t="s">
        <v>223</v>
      </c>
      <c r="B52" s="5" t="s">
        <v>169</v>
      </c>
      <c r="C52" s="5" t="s">
        <v>212</v>
      </c>
      <c r="D52" s="5" t="s">
        <v>224</v>
      </c>
      <c r="E52" s="5" t="s">
        <v>225</v>
      </c>
      <c r="F52" s="5" t="s">
        <v>6</v>
      </c>
      <c r="G52" s="5">
        <v>20</v>
      </c>
      <c r="H52" s="5">
        <v>80</v>
      </c>
      <c r="I52" s="6">
        <v>75</v>
      </c>
      <c r="J52" s="6">
        <v>110</v>
      </c>
      <c r="K52" s="6">
        <f t="shared" si="0"/>
        <v>35</v>
      </c>
      <c r="L52" s="7">
        <f t="shared" si="1"/>
        <v>0.31818181818181818</v>
      </c>
      <c r="M52" s="5" t="s">
        <v>226</v>
      </c>
      <c r="N52" s="5" t="s">
        <v>227</v>
      </c>
      <c r="O52" s="5" t="s">
        <v>23</v>
      </c>
    </row>
    <row r="53" spans="1:15" x14ac:dyDescent="0.3">
      <c r="A53" s="2" t="s">
        <v>228</v>
      </c>
      <c r="B53" s="2" t="s">
        <v>169</v>
      </c>
      <c r="C53" s="2" t="s">
        <v>212</v>
      </c>
      <c r="D53" s="2" t="s">
        <v>229</v>
      </c>
      <c r="E53" s="2" t="s">
        <v>230</v>
      </c>
      <c r="F53" s="2" t="s">
        <v>6</v>
      </c>
      <c r="G53" s="2">
        <v>25</v>
      </c>
      <c r="H53" s="2">
        <v>100</v>
      </c>
      <c r="I53" s="3">
        <v>55</v>
      </c>
      <c r="J53" s="3">
        <v>80</v>
      </c>
      <c r="K53" s="3">
        <f t="shared" si="0"/>
        <v>25</v>
      </c>
      <c r="L53" s="4">
        <f t="shared" si="1"/>
        <v>0.3125</v>
      </c>
      <c r="M53" s="2" t="s">
        <v>218</v>
      </c>
      <c r="N53" s="2" t="s">
        <v>219</v>
      </c>
      <c r="O53" s="2" t="s">
        <v>23</v>
      </c>
    </row>
    <row r="54" spans="1:15" x14ac:dyDescent="0.3">
      <c r="A54" s="5" t="s">
        <v>231</v>
      </c>
      <c r="B54" s="5" t="s">
        <v>169</v>
      </c>
      <c r="C54" s="5" t="s">
        <v>212</v>
      </c>
      <c r="D54" s="5" t="s">
        <v>232</v>
      </c>
      <c r="E54" s="5" t="s">
        <v>233</v>
      </c>
      <c r="F54" s="5" t="s">
        <v>6</v>
      </c>
      <c r="G54" s="5">
        <v>25</v>
      </c>
      <c r="H54" s="5">
        <v>100</v>
      </c>
      <c r="I54" s="6">
        <v>65</v>
      </c>
      <c r="J54" s="6">
        <v>90</v>
      </c>
      <c r="K54" s="6">
        <f t="shared" si="0"/>
        <v>25</v>
      </c>
      <c r="L54" s="7">
        <f t="shared" si="1"/>
        <v>0.27777777777777779</v>
      </c>
      <c r="M54" s="5" t="s">
        <v>218</v>
      </c>
      <c r="N54" s="5" t="s">
        <v>219</v>
      </c>
      <c r="O54" s="5" t="s">
        <v>23</v>
      </c>
    </row>
    <row r="55" spans="1:15" x14ac:dyDescent="0.3">
      <c r="A55" s="2" t="s">
        <v>234</v>
      </c>
      <c r="B55" s="2" t="s">
        <v>169</v>
      </c>
      <c r="C55" s="2" t="s">
        <v>212</v>
      </c>
      <c r="D55" s="2" t="s">
        <v>235</v>
      </c>
      <c r="E55" s="2" t="s">
        <v>236</v>
      </c>
      <c r="F55" s="2" t="s">
        <v>6</v>
      </c>
      <c r="G55" s="2">
        <v>25</v>
      </c>
      <c r="H55" s="2">
        <v>100</v>
      </c>
      <c r="I55" s="3">
        <v>75</v>
      </c>
      <c r="J55" s="3">
        <v>105</v>
      </c>
      <c r="K55" s="3">
        <f t="shared" si="0"/>
        <v>30</v>
      </c>
      <c r="L55" s="4">
        <f t="shared" si="1"/>
        <v>0.2857142857142857</v>
      </c>
      <c r="M55" s="2" t="s">
        <v>189</v>
      </c>
      <c r="N55" s="2" t="s">
        <v>162</v>
      </c>
      <c r="O55" s="2" t="s">
        <v>23</v>
      </c>
    </row>
    <row r="56" spans="1:15" x14ac:dyDescent="0.3">
      <c r="A56" s="5" t="s">
        <v>237</v>
      </c>
      <c r="B56" s="5" t="s">
        <v>169</v>
      </c>
      <c r="C56" s="5" t="s">
        <v>212</v>
      </c>
      <c r="D56" s="5" t="s">
        <v>238</v>
      </c>
      <c r="E56" s="5" t="s">
        <v>239</v>
      </c>
      <c r="F56" s="5" t="s">
        <v>6</v>
      </c>
      <c r="G56" s="5">
        <v>30</v>
      </c>
      <c r="H56" s="5">
        <v>100</v>
      </c>
      <c r="I56" s="6">
        <v>50</v>
      </c>
      <c r="J56" s="6">
        <v>72</v>
      </c>
      <c r="K56" s="6">
        <f t="shared" si="0"/>
        <v>22</v>
      </c>
      <c r="L56" s="7">
        <f t="shared" si="1"/>
        <v>0.30555555555555558</v>
      </c>
      <c r="M56" s="5" t="s">
        <v>218</v>
      </c>
      <c r="N56" s="5" t="s">
        <v>219</v>
      </c>
      <c r="O56" s="5" t="s">
        <v>23</v>
      </c>
    </row>
    <row r="57" spans="1:15" x14ac:dyDescent="0.3">
      <c r="A57" s="2" t="s">
        <v>240</v>
      </c>
      <c r="B57" s="2" t="s">
        <v>169</v>
      </c>
      <c r="C57" s="2" t="s">
        <v>212</v>
      </c>
      <c r="D57" s="2" t="s">
        <v>241</v>
      </c>
      <c r="E57" s="2" t="s">
        <v>242</v>
      </c>
      <c r="F57" s="2" t="s">
        <v>6</v>
      </c>
      <c r="G57" s="2">
        <v>30</v>
      </c>
      <c r="H57" s="2">
        <v>100</v>
      </c>
      <c r="I57" s="3">
        <v>70</v>
      </c>
      <c r="J57" s="3">
        <v>100</v>
      </c>
      <c r="K57" s="3">
        <f t="shared" si="0"/>
        <v>30</v>
      </c>
      <c r="L57" s="4">
        <f t="shared" si="1"/>
        <v>0.3</v>
      </c>
      <c r="M57" s="2" t="s">
        <v>189</v>
      </c>
      <c r="N57" s="2" t="s">
        <v>162</v>
      </c>
      <c r="O57" s="2" t="s">
        <v>23</v>
      </c>
    </row>
    <row r="58" spans="1:15" x14ac:dyDescent="0.3">
      <c r="A58" s="5" t="s">
        <v>243</v>
      </c>
      <c r="B58" s="5" t="s">
        <v>169</v>
      </c>
      <c r="C58" s="5" t="s">
        <v>212</v>
      </c>
      <c r="D58" s="5" t="s">
        <v>244</v>
      </c>
      <c r="E58" s="5" t="s">
        <v>245</v>
      </c>
      <c r="F58" s="5" t="s">
        <v>6</v>
      </c>
      <c r="G58" s="5">
        <v>25</v>
      </c>
      <c r="H58" s="5">
        <v>100</v>
      </c>
      <c r="I58" s="6">
        <v>58</v>
      </c>
      <c r="J58" s="6">
        <v>84</v>
      </c>
      <c r="K58" s="6">
        <f t="shared" si="0"/>
        <v>26</v>
      </c>
      <c r="L58" s="7">
        <f t="shared" si="1"/>
        <v>0.30952380952380953</v>
      </c>
      <c r="M58" s="5" t="s">
        <v>218</v>
      </c>
      <c r="N58" s="5" t="s">
        <v>219</v>
      </c>
      <c r="O58" s="5" t="s">
        <v>23</v>
      </c>
    </row>
    <row r="59" spans="1:15" x14ac:dyDescent="0.3">
      <c r="A59" s="2" t="s">
        <v>246</v>
      </c>
      <c r="B59" s="2" t="s">
        <v>169</v>
      </c>
      <c r="C59" s="2" t="s">
        <v>247</v>
      </c>
      <c r="D59" s="2" t="s">
        <v>248</v>
      </c>
      <c r="E59" s="2" t="s">
        <v>249</v>
      </c>
      <c r="F59" s="2" t="s">
        <v>6</v>
      </c>
      <c r="G59" s="2">
        <v>10</v>
      </c>
      <c r="H59" s="2">
        <v>40</v>
      </c>
      <c r="I59" s="3">
        <v>1350</v>
      </c>
      <c r="J59" s="3">
        <v>1750</v>
      </c>
      <c r="K59" s="3">
        <f t="shared" si="0"/>
        <v>400</v>
      </c>
      <c r="L59" s="4">
        <f t="shared" si="1"/>
        <v>0.22857142857142856</v>
      </c>
      <c r="M59" s="2" t="s">
        <v>250</v>
      </c>
      <c r="N59" s="2" t="s">
        <v>251</v>
      </c>
      <c r="O59" s="2" t="s">
        <v>23</v>
      </c>
    </row>
    <row r="60" spans="1:15" x14ac:dyDescent="0.3">
      <c r="A60" s="5" t="s">
        <v>252</v>
      </c>
      <c r="B60" s="5" t="s">
        <v>169</v>
      </c>
      <c r="C60" s="5" t="s">
        <v>247</v>
      </c>
      <c r="D60" s="5" t="s">
        <v>253</v>
      </c>
      <c r="E60" s="5" t="s">
        <v>254</v>
      </c>
      <c r="F60" s="5" t="s">
        <v>6</v>
      </c>
      <c r="G60" s="5">
        <v>15</v>
      </c>
      <c r="H60" s="5">
        <v>60</v>
      </c>
      <c r="I60" s="6">
        <v>580</v>
      </c>
      <c r="J60" s="6">
        <v>780</v>
      </c>
      <c r="K60" s="6">
        <f t="shared" si="0"/>
        <v>200</v>
      </c>
      <c r="L60" s="7">
        <f t="shared" si="1"/>
        <v>0.25641025641025639</v>
      </c>
      <c r="M60" s="5" t="s">
        <v>255</v>
      </c>
      <c r="N60" s="5" t="s">
        <v>256</v>
      </c>
      <c r="O60" s="5" t="s">
        <v>23</v>
      </c>
    </row>
    <row r="61" spans="1:15" x14ac:dyDescent="0.3">
      <c r="A61" s="2" t="s">
        <v>257</v>
      </c>
      <c r="B61" s="2" t="s">
        <v>169</v>
      </c>
      <c r="C61" s="2" t="s">
        <v>247</v>
      </c>
      <c r="D61" s="2" t="s">
        <v>258</v>
      </c>
      <c r="E61" s="2" t="s">
        <v>259</v>
      </c>
      <c r="F61" s="2" t="s">
        <v>6</v>
      </c>
      <c r="G61" s="2">
        <v>15</v>
      </c>
      <c r="H61" s="2">
        <v>60</v>
      </c>
      <c r="I61" s="3">
        <v>650</v>
      </c>
      <c r="J61" s="3">
        <v>870</v>
      </c>
      <c r="K61" s="3">
        <f t="shared" si="0"/>
        <v>220</v>
      </c>
      <c r="L61" s="4">
        <f t="shared" si="1"/>
        <v>0.25287356321839083</v>
      </c>
      <c r="M61" s="2" t="s">
        <v>260</v>
      </c>
      <c r="N61" s="2" t="s">
        <v>261</v>
      </c>
      <c r="O61" s="2" t="s">
        <v>23</v>
      </c>
    </row>
    <row r="62" spans="1:15" x14ac:dyDescent="0.3">
      <c r="A62" s="5" t="s">
        <v>262</v>
      </c>
      <c r="B62" s="5" t="s">
        <v>169</v>
      </c>
      <c r="C62" s="5" t="s">
        <v>247</v>
      </c>
      <c r="D62" s="5" t="s">
        <v>263</v>
      </c>
      <c r="E62" s="5" t="s">
        <v>264</v>
      </c>
      <c r="F62" s="5" t="s">
        <v>6</v>
      </c>
      <c r="G62" s="5">
        <v>15</v>
      </c>
      <c r="H62" s="5">
        <v>60</v>
      </c>
      <c r="I62" s="6">
        <v>350</v>
      </c>
      <c r="J62" s="6">
        <v>480</v>
      </c>
      <c r="K62" s="6">
        <f t="shared" si="0"/>
        <v>130</v>
      </c>
      <c r="L62" s="7">
        <f t="shared" si="1"/>
        <v>0.27083333333333331</v>
      </c>
      <c r="M62" s="5" t="s">
        <v>265</v>
      </c>
      <c r="N62" s="5" t="s">
        <v>266</v>
      </c>
      <c r="O62" s="5" t="s">
        <v>23</v>
      </c>
    </row>
    <row r="63" spans="1:15" x14ac:dyDescent="0.3">
      <c r="A63" s="2" t="s">
        <v>267</v>
      </c>
      <c r="B63" s="2" t="s">
        <v>169</v>
      </c>
      <c r="C63" s="2" t="s">
        <v>247</v>
      </c>
      <c r="D63" s="2" t="s">
        <v>268</v>
      </c>
      <c r="E63" s="2" t="s">
        <v>269</v>
      </c>
      <c r="F63" s="2" t="s">
        <v>6</v>
      </c>
      <c r="G63" s="2">
        <v>10</v>
      </c>
      <c r="H63" s="2">
        <v>40</v>
      </c>
      <c r="I63" s="3">
        <v>480</v>
      </c>
      <c r="J63" s="3">
        <v>630</v>
      </c>
      <c r="K63" s="3">
        <f t="shared" si="0"/>
        <v>150</v>
      </c>
      <c r="L63" s="4">
        <f t="shared" si="1"/>
        <v>0.23809523809523808</v>
      </c>
      <c r="M63" s="2" t="s">
        <v>270</v>
      </c>
      <c r="N63" s="2" t="s">
        <v>270</v>
      </c>
      <c r="O63" s="2" t="s">
        <v>23</v>
      </c>
    </row>
    <row r="64" spans="1:15" x14ac:dyDescent="0.3">
      <c r="A64" s="5" t="s">
        <v>271</v>
      </c>
      <c r="B64" s="5" t="s">
        <v>169</v>
      </c>
      <c r="C64" s="5" t="s">
        <v>247</v>
      </c>
      <c r="D64" s="5" t="s">
        <v>272</v>
      </c>
      <c r="E64" s="5" t="s">
        <v>273</v>
      </c>
      <c r="F64" s="5" t="s">
        <v>6</v>
      </c>
      <c r="G64" s="5">
        <v>30</v>
      </c>
      <c r="H64" s="5">
        <v>120</v>
      </c>
      <c r="I64" s="6">
        <v>120</v>
      </c>
      <c r="J64" s="6">
        <v>165</v>
      </c>
      <c r="K64" s="6">
        <f t="shared" si="0"/>
        <v>45</v>
      </c>
      <c r="L64" s="7">
        <f t="shared" si="1"/>
        <v>0.27272727272727271</v>
      </c>
      <c r="M64" s="5" t="s">
        <v>274</v>
      </c>
      <c r="N64" s="5" t="s">
        <v>275</v>
      </c>
      <c r="O64" s="5" t="s">
        <v>23</v>
      </c>
    </row>
    <row r="65" spans="1:15" x14ac:dyDescent="0.3">
      <c r="A65" s="2" t="s">
        <v>276</v>
      </c>
      <c r="B65" s="2" t="s">
        <v>169</v>
      </c>
      <c r="C65" s="2" t="s">
        <v>247</v>
      </c>
      <c r="D65" s="2" t="s">
        <v>277</v>
      </c>
      <c r="E65" s="2" t="s">
        <v>278</v>
      </c>
      <c r="F65" s="2" t="s">
        <v>6</v>
      </c>
      <c r="G65" s="2">
        <v>30</v>
      </c>
      <c r="H65" s="2">
        <v>120</v>
      </c>
      <c r="I65" s="3">
        <v>120</v>
      </c>
      <c r="J65" s="3">
        <v>165</v>
      </c>
      <c r="K65" s="3">
        <f t="shared" si="0"/>
        <v>45</v>
      </c>
      <c r="L65" s="4">
        <f t="shared" si="1"/>
        <v>0.27272727272727271</v>
      </c>
      <c r="M65" s="2" t="s">
        <v>279</v>
      </c>
      <c r="N65" s="2" t="s">
        <v>280</v>
      </c>
      <c r="O65" s="2" t="s">
        <v>23</v>
      </c>
    </row>
    <row r="66" spans="1:15" x14ac:dyDescent="0.3">
      <c r="A66" s="5" t="s">
        <v>281</v>
      </c>
      <c r="B66" s="5" t="s">
        <v>169</v>
      </c>
      <c r="C66" s="5" t="s">
        <v>247</v>
      </c>
      <c r="D66" s="5" t="s">
        <v>282</v>
      </c>
      <c r="E66" s="5" t="s">
        <v>283</v>
      </c>
      <c r="F66" s="5" t="s">
        <v>6</v>
      </c>
      <c r="G66" s="5">
        <v>20</v>
      </c>
      <c r="H66" s="5">
        <v>80</v>
      </c>
      <c r="I66" s="6">
        <v>150</v>
      </c>
      <c r="J66" s="6">
        <v>210</v>
      </c>
      <c r="K66" s="6">
        <f t="shared" si="0"/>
        <v>60</v>
      </c>
      <c r="L66" s="7">
        <f t="shared" si="1"/>
        <v>0.2857142857142857</v>
      </c>
      <c r="M66" s="5" t="s">
        <v>279</v>
      </c>
      <c r="N66" s="5" t="s">
        <v>284</v>
      </c>
      <c r="O66" s="5" t="s">
        <v>23</v>
      </c>
    </row>
    <row r="67" spans="1:15" x14ac:dyDescent="0.3">
      <c r="A67" s="2" t="s">
        <v>285</v>
      </c>
      <c r="B67" s="2" t="s">
        <v>169</v>
      </c>
      <c r="C67" s="2" t="s">
        <v>247</v>
      </c>
      <c r="D67" s="2" t="s">
        <v>286</v>
      </c>
      <c r="E67" s="2" t="s">
        <v>287</v>
      </c>
      <c r="F67" s="2" t="s">
        <v>6</v>
      </c>
      <c r="G67" s="2">
        <v>40</v>
      </c>
      <c r="H67" s="2">
        <v>200</v>
      </c>
      <c r="I67" s="3">
        <v>180</v>
      </c>
      <c r="J67" s="3">
        <v>240</v>
      </c>
      <c r="K67" s="3">
        <f t="shared" ref="K67:K130" si="2">J67-I67</f>
        <v>60</v>
      </c>
      <c r="L67" s="4">
        <f t="shared" ref="L67:L130" si="3">IF(J67&gt;0,(J67-I67)/J67,0)</f>
        <v>0.25</v>
      </c>
      <c r="M67" s="2" t="s">
        <v>288</v>
      </c>
      <c r="N67" s="2" t="s">
        <v>289</v>
      </c>
      <c r="O67" s="2" t="s">
        <v>23</v>
      </c>
    </row>
    <row r="68" spans="1:15" x14ac:dyDescent="0.3">
      <c r="A68" s="5" t="s">
        <v>290</v>
      </c>
      <c r="B68" s="5" t="s">
        <v>169</v>
      </c>
      <c r="C68" s="5" t="s">
        <v>247</v>
      </c>
      <c r="D68" s="5" t="s">
        <v>291</v>
      </c>
      <c r="E68" s="5" t="s">
        <v>292</v>
      </c>
      <c r="F68" s="5" t="s">
        <v>6</v>
      </c>
      <c r="G68" s="5">
        <v>20</v>
      </c>
      <c r="H68" s="5">
        <v>80</v>
      </c>
      <c r="I68" s="6">
        <v>250</v>
      </c>
      <c r="J68" s="6">
        <v>340</v>
      </c>
      <c r="K68" s="6">
        <f t="shared" si="2"/>
        <v>90</v>
      </c>
      <c r="L68" s="7">
        <f t="shared" si="3"/>
        <v>0.26470588235294118</v>
      </c>
      <c r="M68" s="5" t="s">
        <v>293</v>
      </c>
      <c r="N68" s="5" t="s">
        <v>294</v>
      </c>
      <c r="O68" s="5" t="s">
        <v>23</v>
      </c>
    </row>
    <row r="69" spans="1:15" x14ac:dyDescent="0.3">
      <c r="A69" s="2" t="s">
        <v>295</v>
      </c>
      <c r="B69" s="2" t="s">
        <v>169</v>
      </c>
      <c r="C69" s="2" t="s">
        <v>296</v>
      </c>
      <c r="D69" s="2" t="s">
        <v>297</v>
      </c>
      <c r="E69" s="2" t="s">
        <v>298</v>
      </c>
      <c r="F69" s="2" t="s">
        <v>6</v>
      </c>
      <c r="G69" s="2">
        <v>40</v>
      </c>
      <c r="H69" s="2">
        <v>200</v>
      </c>
      <c r="I69" s="3">
        <v>185</v>
      </c>
      <c r="J69" s="3">
        <v>245</v>
      </c>
      <c r="K69" s="3">
        <f t="shared" si="2"/>
        <v>60</v>
      </c>
      <c r="L69" s="4">
        <f t="shared" si="3"/>
        <v>0.24489795918367346</v>
      </c>
      <c r="M69" s="2" t="s">
        <v>288</v>
      </c>
      <c r="N69" s="2" t="s">
        <v>289</v>
      </c>
      <c r="O69" s="2" t="s">
        <v>23</v>
      </c>
    </row>
    <row r="70" spans="1:15" x14ac:dyDescent="0.3">
      <c r="A70" s="5" t="s">
        <v>299</v>
      </c>
      <c r="B70" s="5" t="s">
        <v>169</v>
      </c>
      <c r="C70" s="5" t="s">
        <v>296</v>
      </c>
      <c r="D70" s="5" t="s">
        <v>300</v>
      </c>
      <c r="E70" s="5" t="s">
        <v>301</v>
      </c>
      <c r="F70" s="5" t="s">
        <v>6</v>
      </c>
      <c r="G70" s="5">
        <v>10</v>
      </c>
      <c r="H70" s="5">
        <v>40</v>
      </c>
      <c r="I70" s="6">
        <v>1200</v>
      </c>
      <c r="J70" s="6">
        <v>1550</v>
      </c>
      <c r="K70" s="6">
        <f t="shared" si="2"/>
        <v>350</v>
      </c>
      <c r="L70" s="7">
        <f t="shared" si="3"/>
        <v>0.22580645161290322</v>
      </c>
      <c r="M70" s="5" t="s">
        <v>250</v>
      </c>
      <c r="N70" s="5" t="s">
        <v>251</v>
      </c>
      <c r="O70" s="5" t="s">
        <v>23</v>
      </c>
    </row>
    <row r="71" spans="1:15" x14ac:dyDescent="0.3">
      <c r="A71" s="2" t="s">
        <v>302</v>
      </c>
      <c r="B71" s="2" t="s">
        <v>169</v>
      </c>
      <c r="C71" s="2" t="s">
        <v>296</v>
      </c>
      <c r="D71" s="2" t="s">
        <v>303</v>
      </c>
      <c r="E71" s="2" t="s">
        <v>304</v>
      </c>
      <c r="F71" s="2" t="s">
        <v>6</v>
      </c>
      <c r="G71" s="2">
        <v>40</v>
      </c>
      <c r="H71" s="2">
        <v>200</v>
      </c>
      <c r="I71" s="3">
        <v>180</v>
      </c>
      <c r="J71" s="3">
        <v>240</v>
      </c>
      <c r="K71" s="3">
        <f t="shared" si="2"/>
        <v>60</v>
      </c>
      <c r="L71" s="4">
        <f t="shared" si="3"/>
        <v>0.25</v>
      </c>
      <c r="M71" s="2" t="s">
        <v>305</v>
      </c>
      <c r="N71" s="2" t="s">
        <v>306</v>
      </c>
      <c r="O71" s="2" t="s">
        <v>23</v>
      </c>
    </row>
    <row r="72" spans="1:15" x14ac:dyDescent="0.3">
      <c r="A72" s="5" t="s">
        <v>307</v>
      </c>
      <c r="B72" s="5" t="s">
        <v>169</v>
      </c>
      <c r="C72" s="5" t="s">
        <v>296</v>
      </c>
      <c r="D72" s="5" t="s">
        <v>308</v>
      </c>
      <c r="E72" s="5" t="s">
        <v>309</v>
      </c>
      <c r="F72" s="5" t="s">
        <v>6</v>
      </c>
      <c r="G72" s="5">
        <v>20</v>
      </c>
      <c r="H72" s="5">
        <v>80</v>
      </c>
      <c r="I72" s="6">
        <v>280</v>
      </c>
      <c r="J72" s="6">
        <v>380</v>
      </c>
      <c r="K72" s="6">
        <f t="shared" si="2"/>
        <v>100</v>
      </c>
      <c r="L72" s="7">
        <f t="shared" si="3"/>
        <v>0.26315789473684209</v>
      </c>
      <c r="M72" s="5" t="s">
        <v>310</v>
      </c>
      <c r="N72" s="5" t="s">
        <v>311</v>
      </c>
      <c r="O72" s="5" t="s">
        <v>23</v>
      </c>
    </row>
    <row r="73" spans="1:15" x14ac:dyDescent="0.3">
      <c r="A73" s="2" t="s">
        <v>312</v>
      </c>
      <c r="B73" s="2" t="s">
        <v>169</v>
      </c>
      <c r="C73" s="2" t="s">
        <v>296</v>
      </c>
      <c r="D73" s="2" t="s">
        <v>313</v>
      </c>
      <c r="E73" s="2" t="s">
        <v>314</v>
      </c>
      <c r="F73" s="2" t="s">
        <v>6</v>
      </c>
      <c r="G73" s="2">
        <v>15</v>
      </c>
      <c r="H73" s="2">
        <v>60</v>
      </c>
      <c r="I73" s="3">
        <v>350</v>
      </c>
      <c r="J73" s="3">
        <v>480</v>
      </c>
      <c r="K73" s="3">
        <f t="shared" si="2"/>
        <v>130</v>
      </c>
      <c r="L73" s="4">
        <f t="shared" si="3"/>
        <v>0.27083333333333331</v>
      </c>
      <c r="M73" s="2" t="s">
        <v>315</v>
      </c>
      <c r="N73" s="2" t="s">
        <v>316</v>
      </c>
      <c r="O73" s="2" t="s">
        <v>23</v>
      </c>
    </row>
    <row r="74" spans="1:15" x14ac:dyDescent="0.3">
      <c r="A74" s="5" t="s">
        <v>317</v>
      </c>
      <c r="B74" s="5" t="s">
        <v>169</v>
      </c>
      <c r="C74" s="5" t="s">
        <v>296</v>
      </c>
      <c r="D74" s="5" t="s">
        <v>318</v>
      </c>
      <c r="E74" s="5" t="s">
        <v>319</v>
      </c>
      <c r="F74" s="5" t="s">
        <v>6</v>
      </c>
      <c r="G74" s="5">
        <v>15</v>
      </c>
      <c r="H74" s="5">
        <v>60</v>
      </c>
      <c r="I74" s="6">
        <v>680</v>
      </c>
      <c r="J74" s="6">
        <v>900</v>
      </c>
      <c r="K74" s="6">
        <f t="shared" si="2"/>
        <v>220</v>
      </c>
      <c r="L74" s="7">
        <f t="shared" si="3"/>
        <v>0.24444444444444444</v>
      </c>
      <c r="M74" s="5" t="s">
        <v>320</v>
      </c>
      <c r="N74" s="5" t="s">
        <v>321</v>
      </c>
      <c r="O74" s="5" t="s">
        <v>23</v>
      </c>
    </row>
    <row r="75" spans="1:15" x14ac:dyDescent="0.3">
      <c r="A75" s="2" t="s">
        <v>322</v>
      </c>
      <c r="B75" s="2" t="s">
        <v>169</v>
      </c>
      <c r="C75" s="2" t="s">
        <v>296</v>
      </c>
      <c r="D75" s="2" t="s">
        <v>323</v>
      </c>
      <c r="E75" s="2" t="s">
        <v>324</v>
      </c>
      <c r="F75" s="2" t="s">
        <v>6</v>
      </c>
      <c r="G75" s="2">
        <v>15</v>
      </c>
      <c r="H75" s="2">
        <v>60</v>
      </c>
      <c r="I75" s="3">
        <v>750</v>
      </c>
      <c r="J75" s="3">
        <v>980</v>
      </c>
      <c r="K75" s="3">
        <f t="shared" si="2"/>
        <v>230</v>
      </c>
      <c r="L75" s="4">
        <f t="shared" si="3"/>
        <v>0.23469387755102042</v>
      </c>
      <c r="M75" s="2" t="s">
        <v>320</v>
      </c>
      <c r="N75" s="2" t="s">
        <v>321</v>
      </c>
      <c r="O75" s="2" t="s">
        <v>23</v>
      </c>
    </row>
    <row r="76" spans="1:15" x14ac:dyDescent="0.3">
      <c r="A76" s="5" t="s">
        <v>325</v>
      </c>
      <c r="B76" s="5" t="s">
        <v>169</v>
      </c>
      <c r="C76" s="5" t="s">
        <v>296</v>
      </c>
      <c r="D76" s="5" t="s">
        <v>326</v>
      </c>
      <c r="E76" s="5" t="s">
        <v>327</v>
      </c>
      <c r="F76" s="5" t="s">
        <v>6</v>
      </c>
      <c r="G76" s="5">
        <v>20</v>
      </c>
      <c r="H76" s="5">
        <v>80</v>
      </c>
      <c r="I76" s="6">
        <v>280</v>
      </c>
      <c r="J76" s="6">
        <v>380</v>
      </c>
      <c r="K76" s="6">
        <f t="shared" si="2"/>
        <v>100</v>
      </c>
      <c r="L76" s="7">
        <f t="shared" si="3"/>
        <v>0.26315789473684209</v>
      </c>
      <c r="M76" s="5" t="s">
        <v>315</v>
      </c>
      <c r="N76" s="5" t="s">
        <v>328</v>
      </c>
      <c r="O76" s="5" t="s">
        <v>23</v>
      </c>
    </row>
    <row r="77" spans="1:15" x14ac:dyDescent="0.3">
      <c r="A77" s="2" t="s">
        <v>329</v>
      </c>
      <c r="B77" s="2" t="s">
        <v>330</v>
      </c>
      <c r="C77" s="2" t="s">
        <v>331</v>
      </c>
      <c r="D77" s="2" t="s">
        <v>332</v>
      </c>
      <c r="E77" s="2" t="s">
        <v>333</v>
      </c>
      <c r="F77" s="2" t="s">
        <v>6</v>
      </c>
      <c r="G77" s="2">
        <v>10</v>
      </c>
      <c r="H77" s="2">
        <v>30</v>
      </c>
      <c r="I77" s="3">
        <v>1200</v>
      </c>
      <c r="J77" s="3">
        <v>1800</v>
      </c>
      <c r="K77" s="3">
        <f t="shared" si="2"/>
        <v>600</v>
      </c>
      <c r="L77" s="4">
        <f t="shared" si="3"/>
        <v>0.33333333333333331</v>
      </c>
      <c r="M77" s="2" t="s">
        <v>334</v>
      </c>
      <c r="N77" s="2" t="s">
        <v>334</v>
      </c>
      <c r="O77" s="2" t="s">
        <v>23</v>
      </c>
    </row>
    <row r="78" spans="1:15" x14ac:dyDescent="0.3">
      <c r="A78" s="5" t="s">
        <v>335</v>
      </c>
      <c r="B78" s="5" t="s">
        <v>330</v>
      </c>
      <c r="C78" s="5" t="s">
        <v>331</v>
      </c>
      <c r="D78" s="5" t="s">
        <v>336</v>
      </c>
      <c r="E78" s="5" t="s">
        <v>337</v>
      </c>
      <c r="F78" s="5" t="s">
        <v>6</v>
      </c>
      <c r="G78" s="5">
        <v>10</v>
      </c>
      <c r="H78" s="5">
        <v>30</v>
      </c>
      <c r="I78" s="6">
        <v>1500</v>
      </c>
      <c r="J78" s="6">
        <v>2200</v>
      </c>
      <c r="K78" s="6">
        <f t="shared" si="2"/>
        <v>700</v>
      </c>
      <c r="L78" s="7">
        <f t="shared" si="3"/>
        <v>0.31818181818181818</v>
      </c>
      <c r="M78" s="5" t="s">
        <v>338</v>
      </c>
      <c r="N78" s="5" t="s">
        <v>338</v>
      </c>
      <c r="O78" s="5" t="s">
        <v>23</v>
      </c>
    </row>
    <row r="79" spans="1:15" x14ac:dyDescent="0.3">
      <c r="A79" s="2" t="s">
        <v>339</v>
      </c>
      <c r="B79" s="2" t="s">
        <v>330</v>
      </c>
      <c r="C79" s="2" t="s">
        <v>331</v>
      </c>
      <c r="D79" s="2" t="s">
        <v>340</v>
      </c>
      <c r="E79" s="2" t="s">
        <v>341</v>
      </c>
      <c r="F79" s="2" t="s">
        <v>6</v>
      </c>
      <c r="G79" s="2">
        <v>10</v>
      </c>
      <c r="H79" s="2">
        <v>30</v>
      </c>
      <c r="I79" s="3">
        <v>2500</v>
      </c>
      <c r="J79" s="3">
        <v>3800</v>
      </c>
      <c r="K79" s="3">
        <f t="shared" si="2"/>
        <v>1300</v>
      </c>
      <c r="L79" s="4">
        <f t="shared" si="3"/>
        <v>0.34210526315789475</v>
      </c>
      <c r="M79" s="2" t="s">
        <v>342</v>
      </c>
      <c r="N79" s="2" t="s">
        <v>342</v>
      </c>
      <c r="O79" s="2" t="s">
        <v>23</v>
      </c>
    </row>
    <row r="80" spans="1:15" x14ac:dyDescent="0.3">
      <c r="A80" s="5" t="s">
        <v>343</v>
      </c>
      <c r="B80" s="5" t="s">
        <v>330</v>
      </c>
      <c r="C80" s="5" t="s">
        <v>331</v>
      </c>
      <c r="D80" s="5" t="s">
        <v>344</v>
      </c>
      <c r="E80" s="5" t="s">
        <v>345</v>
      </c>
      <c r="F80" s="5" t="s">
        <v>6</v>
      </c>
      <c r="G80" s="5">
        <v>10</v>
      </c>
      <c r="H80" s="5">
        <v>30</v>
      </c>
      <c r="I80" s="6">
        <v>1800</v>
      </c>
      <c r="J80" s="6">
        <v>2700</v>
      </c>
      <c r="K80" s="6">
        <f t="shared" si="2"/>
        <v>900</v>
      </c>
      <c r="L80" s="7">
        <f t="shared" si="3"/>
        <v>0.33333333333333331</v>
      </c>
      <c r="M80" s="5" t="s">
        <v>346</v>
      </c>
      <c r="N80" s="5" t="s">
        <v>347</v>
      </c>
      <c r="O80" s="5" t="s">
        <v>23</v>
      </c>
    </row>
    <row r="81" spans="1:15" x14ac:dyDescent="0.3">
      <c r="A81" s="2" t="s">
        <v>348</v>
      </c>
      <c r="B81" s="2" t="s">
        <v>330</v>
      </c>
      <c r="C81" s="2" t="s">
        <v>331</v>
      </c>
      <c r="D81" s="2" t="s">
        <v>349</v>
      </c>
      <c r="E81" s="2" t="s">
        <v>350</v>
      </c>
      <c r="F81" s="2" t="s">
        <v>6</v>
      </c>
      <c r="G81" s="2">
        <v>5</v>
      </c>
      <c r="H81" s="2">
        <v>20</v>
      </c>
      <c r="I81" s="3">
        <v>2200</v>
      </c>
      <c r="J81" s="3">
        <v>3200</v>
      </c>
      <c r="K81" s="3">
        <f t="shared" si="2"/>
        <v>1000</v>
      </c>
      <c r="L81" s="4">
        <f t="shared" si="3"/>
        <v>0.3125</v>
      </c>
      <c r="M81" s="2" t="s">
        <v>351</v>
      </c>
      <c r="N81" s="2" t="s">
        <v>352</v>
      </c>
      <c r="O81" s="2" t="s">
        <v>23</v>
      </c>
    </row>
    <row r="82" spans="1:15" x14ac:dyDescent="0.3">
      <c r="A82" s="5" t="s">
        <v>353</v>
      </c>
      <c r="B82" s="5" t="s">
        <v>330</v>
      </c>
      <c r="C82" s="5" t="s">
        <v>331</v>
      </c>
      <c r="D82" s="5" t="s">
        <v>354</v>
      </c>
      <c r="E82" s="5" t="s">
        <v>355</v>
      </c>
      <c r="F82" s="5" t="s">
        <v>6</v>
      </c>
      <c r="G82" s="5">
        <v>10</v>
      </c>
      <c r="H82" s="5">
        <v>30</v>
      </c>
      <c r="I82" s="6">
        <v>1400</v>
      </c>
      <c r="J82" s="6">
        <v>2100</v>
      </c>
      <c r="K82" s="6">
        <f t="shared" si="2"/>
        <v>700</v>
      </c>
      <c r="L82" s="7">
        <f t="shared" si="3"/>
        <v>0.33333333333333331</v>
      </c>
      <c r="M82" s="5" t="s">
        <v>356</v>
      </c>
      <c r="N82" s="5" t="s">
        <v>356</v>
      </c>
      <c r="O82" s="5" t="s">
        <v>23</v>
      </c>
    </row>
    <row r="83" spans="1:15" x14ac:dyDescent="0.3">
      <c r="A83" s="2" t="s">
        <v>357</v>
      </c>
      <c r="B83" s="2" t="s">
        <v>330</v>
      </c>
      <c r="C83" s="2" t="s">
        <v>331</v>
      </c>
      <c r="D83" s="2" t="s">
        <v>358</v>
      </c>
      <c r="E83" s="2" t="s">
        <v>359</v>
      </c>
      <c r="F83" s="2" t="s">
        <v>6</v>
      </c>
      <c r="G83" s="2">
        <v>10</v>
      </c>
      <c r="H83" s="2">
        <v>30</v>
      </c>
      <c r="I83" s="3">
        <v>1400</v>
      </c>
      <c r="J83" s="3">
        <v>2100</v>
      </c>
      <c r="K83" s="3">
        <f t="shared" si="2"/>
        <v>700</v>
      </c>
      <c r="L83" s="4">
        <f t="shared" si="3"/>
        <v>0.33333333333333331</v>
      </c>
      <c r="M83" s="2" t="s">
        <v>356</v>
      </c>
      <c r="N83" s="2" t="s">
        <v>356</v>
      </c>
      <c r="O83" s="2" t="s">
        <v>23</v>
      </c>
    </row>
    <row r="84" spans="1:15" x14ac:dyDescent="0.3">
      <c r="A84" s="5" t="s">
        <v>360</v>
      </c>
      <c r="B84" s="5" t="s">
        <v>330</v>
      </c>
      <c r="C84" s="5" t="s">
        <v>331</v>
      </c>
      <c r="D84" s="5" t="s">
        <v>361</v>
      </c>
      <c r="E84" s="5" t="s">
        <v>362</v>
      </c>
      <c r="F84" s="5" t="s">
        <v>6</v>
      </c>
      <c r="G84" s="5">
        <v>10</v>
      </c>
      <c r="H84" s="5">
        <v>30</v>
      </c>
      <c r="I84" s="6">
        <v>1600</v>
      </c>
      <c r="J84" s="6">
        <v>2400</v>
      </c>
      <c r="K84" s="6">
        <f t="shared" si="2"/>
        <v>800</v>
      </c>
      <c r="L84" s="7">
        <f t="shared" si="3"/>
        <v>0.33333333333333331</v>
      </c>
      <c r="M84" s="5" t="s">
        <v>363</v>
      </c>
      <c r="N84" s="5" t="s">
        <v>363</v>
      </c>
      <c r="O84" s="5" t="s">
        <v>23</v>
      </c>
    </row>
    <row r="85" spans="1:15" x14ac:dyDescent="0.3">
      <c r="A85" s="2" t="s">
        <v>364</v>
      </c>
      <c r="B85" s="2" t="s">
        <v>330</v>
      </c>
      <c r="C85" s="2" t="s">
        <v>331</v>
      </c>
      <c r="D85" s="2" t="s">
        <v>365</v>
      </c>
      <c r="E85" s="2" t="s">
        <v>366</v>
      </c>
      <c r="F85" s="2" t="s">
        <v>6</v>
      </c>
      <c r="G85" s="2">
        <v>15</v>
      </c>
      <c r="H85" s="2">
        <v>40</v>
      </c>
      <c r="I85" s="3">
        <v>650</v>
      </c>
      <c r="J85" s="3">
        <v>1000</v>
      </c>
      <c r="K85" s="3">
        <f t="shared" si="2"/>
        <v>350</v>
      </c>
      <c r="L85" s="4">
        <f t="shared" si="3"/>
        <v>0.35</v>
      </c>
      <c r="M85" s="2" t="s">
        <v>367</v>
      </c>
      <c r="N85" s="2" t="s">
        <v>367</v>
      </c>
      <c r="O85" s="2" t="s">
        <v>23</v>
      </c>
    </row>
    <row r="86" spans="1:15" x14ac:dyDescent="0.3">
      <c r="A86" s="5" t="s">
        <v>368</v>
      </c>
      <c r="B86" s="5" t="s">
        <v>330</v>
      </c>
      <c r="C86" s="5" t="s">
        <v>331</v>
      </c>
      <c r="D86" s="5" t="s">
        <v>369</v>
      </c>
      <c r="E86" s="5" t="s">
        <v>370</v>
      </c>
      <c r="F86" s="5" t="s">
        <v>6</v>
      </c>
      <c r="G86" s="5">
        <v>15</v>
      </c>
      <c r="H86" s="5">
        <v>40</v>
      </c>
      <c r="I86" s="6">
        <v>700</v>
      </c>
      <c r="J86" s="6">
        <v>1100</v>
      </c>
      <c r="K86" s="6">
        <f t="shared" si="2"/>
        <v>400</v>
      </c>
      <c r="L86" s="7">
        <f t="shared" si="3"/>
        <v>0.36363636363636365</v>
      </c>
      <c r="M86" s="5" t="s">
        <v>367</v>
      </c>
      <c r="N86" s="5" t="s">
        <v>367</v>
      </c>
      <c r="O86" s="5" t="s">
        <v>23</v>
      </c>
    </row>
    <row r="87" spans="1:15" x14ac:dyDescent="0.3">
      <c r="A87" s="2" t="s">
        <v>371</v>
      </c>
      <c r="B87" s="2" t="s">
        <v>330</v>
      </c>
      <c r="C87" s="2" t="s">
        <v>372</v>
      </c>
      <c r="D87" s="2" t="s">
        <v>373</v>
      </c>
      <c r="E87" s="2" t="s">
        <v>374</v>
      </c>
      <c r="F87" s="2" t="s">
        <v>6</v>
      </c>
      <c r="G87" s="2">
        <v>10</v>
      </c>
      <c r="H87" s="2">
        <v>25</v>
      </c>
      <c r="I87" s="3">
        <v>1800</v>
      </c>
      <c r="J87" s="3">
        <v>2800</v>
      </c>
      <c r="K87" s="3">
        <f t="shared" si="2"/>
        <v>1000</v>
      </c>
      <c r="L87" s="4">
        <f t="shared" si="3"/>
        <v>0.35714285714285715</v>
      </c>
      <c r="M87" s="2" t="s">
        <v>334</v>
      </c>
      <c r="N87" s="2" t="s">
        <v>334</v>
      </c>
      <c r="O87" s="2" t="s">
        <v>23</v>
      </c>
    </row>
    <row r="88" spans="1:15" x14ac:dyDescent="0.3">
      <c r="A88" s="5" t="s">
        <v>375</v>
      </c>
      <c r="B88" s="5" t="s">
        <v>330</v>
      </c>
      <c r="C88" s="5" t="s">
        <v>372</v>
      </c>
      <c r="D88" s="5" t="s">
        <v>376</v>
      </c>
      <c r="E88" s="5" t="s">
        <v>377</v>
      </c>
      <c r="F88" s="5" t="s">
        <v>6</v>
      </c>
      <c r="G88" s="5">
        <v>5</v>
      </c>
      <c r="H88" s="5">
        <v>15</v>
      </c>
      <c r="I88" s="6">
        <v>4500</v>
      </c>
      <c r="J88" s="6">
        <v>6800</v>
      </c>
      <c r="K88" s="6">
        <f t="shared" si="2"/>
        <v>2300</v>
      </c>
      <c r="L88" s="7">
        <f t="shared" si="3"/>
        <v>0.33823529411764708</v>
      </c>
      <c r="M88" s="5" t="s">
        <v>363</v>
      </c>
      <c r="N88" s="5" t="s">
        <v>363</v>
      </c>
      <c r="O88" s="5" t="s">
        <v>23</v>
      </c>
    </row>
    <row r="89" spans="1:15" x14ac:dyDescent="0.3">
      <c r="A89" s="2" t="s">
        <v>378</v>
      </c>
      <c r="B89" s="2" t="s">
        <v>330</v>
      </c>
      <c r="C89" s="2" t="s">
        <v>372</v>
      </c>
      <c r="D89" s="2" t="s">
        <v>379</v>
      </c>
      <c r="E89" s="2" t="s">
        <v>380</v>
      </c>
      <c r="F89" s="2" t="s">
        <v>6</v>
      </c>
      <c r="G89" s="2">
        <v>8</v>
      </c>
      <c r="H89" s="2">
        <v>20</v>
      </c>
      <c r="I89" s="3">
        <v>2200</v>
      </c>
      <c r="J89" s="3">
        <v>3400</v>
      </c>
      <c r="K89" s="3">
        <f t="shared" si="2"/>
        <v>1200</v>
      </c>
      <c r="L89" s="4">
        <f t="shared" si="3"/>
        <v>0.35294117647058826</v>
      </c>
      <c r="M89" s="2" t="s">
        <v>342</v>
      </c>
      <c r="N89" s="2" t="s">
        <v>342</v>
      </c>
      <c r="O89" s="2" t="s">
        <v>23</v>
      </c>
    </row>
    <row r="90" spans="1:15" x14ac:dyDescent="0.3">
      <c r="A90" s="5" t="s">
        <v>381</v>
      </c>
      <c r="B90" s="5" t="s">
        <v>330</v>
      </c>
      <c r="C90" s="5" t="s">
        <v>372</v>
      </c>
      <c r="D90" s="5" t="s">
        <v>382</v>
      </c>
      <c r="E90" s="5" t="s">
        <v>383</v>
      </c>
      <c r="F90" s="5" t="s">
        <v>6</v>
      </c>
      <c r="G90" s="5">
        <v>8</v>
      </c>
      <c r="H90" s="5">
        <v>20</v>
      </c>
      <c r="I90" s="6">
        <v>3200</v>
      </c>
      <c r="J90" s="6">
        <v>5000</v>
      </c>
      <c r="K90" s="6">
        <f t="shared" si="2"/>
        <v>1800</v>
      </c>
      <c r="L90" s="7">
        <f t="shared" si="3"/>
        <v>0.36</v>
      </c>
      <c r="M90" s="5" t="s">
        <v>384</v>
      </c>
      <c r="N90" s="5" t="s">
        <v>384</v>
      </c>
      <c r="O90" s="5" t="s">
        <v>23</v>
      </c>
    </row>
    <row r="91" spans="1:15" x14ac:dyDescent="0.3">
      <c r="A91" s="2" t="s">
        <v>385</v>
      </c>
      <c r="B91" s="2" t="s">
        <v>330</v>
      </c>
      <c r="C91" s="2" t="s">
        <v>372</v>
      </c>
      <c r="D91" s="2" t="s">
        <v>386</v>
      </c>
      <c r="E91" s="2" t="s">
        <v>387</v>
      </c>
      <c r="F91" s="2" t="s">
        <v>6</v>
      </c>
      <c r="G91" s="2">
        <v>8</v>
      </c>
      <c r="H91" s="2">
        <v>20</v>
      </c>
      <c r="I91" s="3">
        <v>2800</v>
      </c>
      <c r="J91" s="3">
        <v>4200</v>
      </c>
      <c r="K91" s="3">
        <f t="shared" si="2"/>
        <v>1400</v>
      </c>
      <c r="L91" s="4">
        <f t="shared" si="3"/>
        <v>0.33333333333333331</v>
      </c>
      <c r="M91" s="2" t="s">
        <v>388</v>
      </c>
      <c r="N91" s="2" t="s">
        <v>389</v>
      </c>
      <c r="O91" s="2" t="s">
        <v>23</v>
      </c>
    </row>
    <row r="92" spans="1:15" x14ac:dyDescent="0.3">
      <c r="A92" s="5" t="s">
        <v>390</v>
      </c>
      <c r="B92" s="5" t="s">
        <v>330</v>
      </c>
      <c r="C92" s="5" t="s">
        <v>372</v>
      </c>
      <c r="D92" s="5" t="s">
        <v>391</v>
      </c>
      <c r="E92" s="5" t="s">
        <v>392</v>
      </c>
      <c r="F92" s="5" t="s">
        <v>6</v>
      </c>
      <c r="G92" s="5">
        <v>10</v>
      </c>
      <c r="H92" s="5">
        <v>25</v>
      </c>
      <c r="I92" s="6">
        <v>1500</v>
      </c>
      <c r="J92" s="6">
        <v>2300</v>
      </c>
      <c r="K92" s="6">
        <f t="shared" si="2"/>
        <v>800</v>
      </c>
      <c r="L92" s="7">
        <f t="shared" si="3"/>
        <v>0.34782608695652173</v>
      </c>
      <c r="M92" s="5" t="s">
        <v>393</v>
      </c>
      <c r="N92" s="5" t="s">
        <v>393</v>
      </c>
      <c r="O92" s="5" t="s">
        <v>23</v>
      </c>
    </row>
    <row r="93" spans="1:15" x14ac:dyDescent="0.3">
      <c r="A93" s="2" t="s">
        <v>394</v>
      </c>
      <c r="B93" s="2" t="s">
        <v>330</v>
      </c>
      <c r="C93" s="2" t="s">
        <v>372</v>
      </c>
      <c r="D93" s="2" t="s">
        <v>395</v>
      </c>
      <c r="E93" s="2" t="s">
        <v>396</v>
      </c>
      <c r="F93" s="2" t="s">
        <v>6</v>
      </c>
      <c r="G93" s="2">
        <v>15</v>
      </c>
      <c r="H93" s="2">
        <v>40</v>
      </c>
      <c r="I93" s="3">
        <v>800</v>
      </c>
      <c r="J93" s="3">
        <v>1250</v>
      </c>
      <c r="K93" s="3">
        <f t="shared" si="2"/>
        <v>450</v>
      </c>
      <c r="L93" s="4">
        <f t="shared" si="3"/>
        <v>0.36</v>
      </c>
      <c r="M93" s="2" t="s">
        <v>397</v>
      </c>
      <c r="N93" s="2" t="s">
        <v>397</v>
      </c>
      <c r="O93" s="2" t="s">
        <v>23</v>
      </c>
    </row>
    <row r="94" spans="1:15" x14ac:dyDescent="0.3">
      <c r="A94" s="5" t="s">
        <v>398</v>
      </c>
      <c r="B94" s="5" t="s">
        <v>330</v>
      </c>
      <c r="C94" s="5" t="s">
        <v>372</v>
      </c>
      <c r="D94" s="5" t="s">
        <v>399</v>
      </c>
      <c r="E94" s="5" t="s">
        <v>400</v>
      </c>
      <c r="F94" s="5" t="s">
        <v>6</v>
      </c>
      <c r="G94" s="5">
        <v>10</v>
      </c>
      <c r="H94" s="5">
        <v>25</v>
      </c>
      <c r="I94" s="6">
        <v>1500</v>
      </c>
      <c r="J94" s="6">
        <v>2400</v>
      </c>
      <c r="K94" s="6">
        <f t="shared" si="2"/>
        <v>900</v>
      </c>
      <c r="L94" s="7">
        <f t="shared" si="3"/>
        <v>0.375</v>
      </c>
      <c r="M94" s="5" t="s">
        <v>351</v>
      </c>
      <c r="N94" s="5" t="s">
        <v>352</v>
      </c>
      <c r="O94" s="5" t="s">
        <v>23</v>
      </c>
    </row>
    <row r="95" spans="1:15" x14ac:dyDescent="0.3">
      <c r="A95" s="2" t="s">
        <v>401</v>
      </c>
      <c r="B95" s="2" t="s">
        <v>330</v>
      </c>
      <c r="C95" s="2" t="s">
        <v>372</v>
      </c>
      <c r="D95" s="2" t="s">
        <v>402</v>
      </c>
      <c r="E95" s="2" t="s">
        <v>403</v>
      </c>
      <c r="F95" s="2" t="s">
        <v>6</v>
      </c>
      <c r="G95" s="2">
        <v>8</v>
      </c>
      <c r="H95" s="2">
        <v>20</v>
      </c>
      <c r="I95" s="3">
        <v>1800</v>
      </c>
      <c r="J95" s="3">
        <v>2700</v>
      </c>
      <c r="K95" s="3">
        <f t="shared" si="2"/>
        <v>900</v>
      </c>
      <c r="L95" s="4">
        <f t="shared" si="3"/>
        <v>0.33333333333333331</v>
      </c>
      <c r="M95" s="2" t="s">
        <v>404</v>
      </c>
      <c r="N95" s="2" t="s">
        <v>404</v>
      </c>
      <c r="O95" s="2" t="s">
        <v>23</v>
      </c>
    </row>
    <row r="96" spans="1:15" x14ac:dyDescent="0.3">
      <c r="A96" s="5" t="s">
        <v>405</v>
      </c>
      <c r="B96" s="5" t="s">
        <v>330</v>
      </c>
      <c r="C96" s="5" t="s">
        <v>372</v>
      </c>
      <c r="D96" s="5" t="s">
        <v>406</v>
      </c>
      <c r="E96" s="5" t="s">
        <v>407</v>
      </c>
      <c r="F96" s="5" t="s">
        <v>6</v>
      </c>
      <c r="G96" s="5">
        <v>20</v>
      </c>
      <c r="H96" s="5">
        <v>60</v>
      </c>
      <c r="I96" s="6">
        <v>500</v>
      </c>
      <c r="J96" s="6">
        <v>800</v>
      </c>
      <c r="K96" s="6">
        <f t="shared" si="2"/>
        <v>300</v>
      </c>
      <c r="L96" s="7">
        <f t="shared" si="3"/>
        <v>0.375</v>
      </c>
      <c r="M96" s="5" t="s">
        <v>334</v>
      </c>
      <c r="N96" s="5" t="s">
        <v>334</v>
      </c>
      <c r="O96" s="5" t="s">
        <v>23</v>
      </c>
    </row>
    <row r="97" spans="1:15" x14ac:dyDescent="0.3">
      <c r="A97" s="2" t="s">
        <v>408</v>
      </c>
      <c r="B97" s="2" t="s">
        <v>330</v>
      </c>
      <c r="C97" s="2" t="s">
        <v>409</v>
      </c>
      <c r="D97" s="2" t="s">
        <v>410</v>
      </c>
      <c r="E97" s="2" t="s">
        <v>411</v>
      </c>
      <c r="F97" s="2" t="s">
        <v>6</v>
      </c>
      <c r="G97" s="2">
        <v>5</v>
      </c>
      <c r="H97" s="2">
        <v>15</v>
      </c>
      <c r="I97" s="3">
        <v>3500</v>
      </c>
      <c r="J97" s="3">
        <v>5200</v>
      </c>
      <c r="K97" s="3">
        <f t="shared" si="2"/>
        <v>1700</v>
      </c>
      <c r="L97" s="4">
        <f t="shared" si="3"/>
        <v>0.32692307692307693</v>
      </c>
      <c r="M97" s="2" t="s">
        <v>412</v>
      </c>
      <c r="N97" s="2" t="s">
        <v>413</v>
      </c>
      <c r="O97" s="2" t="s">
        <v>23</v>
      </c>
    </row>
    <row r="98" spans="1:15" x14ac:dyDescent="0.3">
      <c r="A98" s="5" t="s">
        <v>414</v>
      </c>
      <c r="B98" s="5" t="s">
        <v>330</v>
      </c>
      <c r="C98" s="5" t="s">
        <v>409</v>
      </c>
      <c r="D98" s="5" t="s">
        <v>415</v>
      </c>
      <c r="E98" s="5" t="s">
        <v>416</v>
      </c>
      <c r="F98" s="5" t="s">
        <v>6</v>
      </c>
      <c r="G98" s="5">
        <v>5</v>
      </c>
      <c r="H98" s="5">
        <v>15</v>
      </c>
      <c r="I98" s="6">
        <v>2800</v>
      </c>
      <c r="J98" s="6">
        <v>4200</v>
      </c>
      <c r="K98" s="6">
        <f t="shared" si="2"/>
        <v>1400</v>
      </c>
      <c r="L98" s="7">
        <f t="shared" si="3"/>
        <v>0.33333333333333331</v>
      </c>
      <c r="M98" s="5" t="s">
        <v>412</v>
      </c>
      <c r="N98" s="5" t="s">
        <v>413</v>
      </c>
      <c r="O98" s="5" t="s">
        <v>23</v>
      </c>
    </row>
    <row r="99" spans="1:15" x14ac:dyDescent="0.3">
      <c r="A99" s="2" t="s">
        <v>417</v>
      </c>
      <c r="B99" s="2" t="s">
        <v>330</v>
      </c>
      <c r="C99" s="2" t="s">
        <v>409</v>
      </c>
      <c r="D99" s="2" t="s">
        <v>418</v>
      </c>
      <c r="E99" s="2" t="s">
        <v>419</v>
      </c>
      <c r="F99" s="2" t="s">
        <v>6</v>
      </c>
      <c r="G99" s="2">
        <v>10</v>
      </c>
      <c r="H99" s="2">
        <v>20</v>
      </c>
      <c r="I99" s="3">
        <v>1200</v>
      </c>
      <c r="J99" s="3">
        <v>1900</v>
      </c>
      <c r="K99" s="3">
        <f t="shared" si="2"/>
        <v>700</v>
      </c>
      <c r="L99" s="4">
        <f t="shared" si="3"/>
        <v>0.36842105263157893</v>
      </c>
      <c r="M99" s="2" t="s">
        <v>420</v>
      </c>
      <c r="N99" s="2" t="s">
        <v>420</v>
      </c>
      <c r="O99" s="2" t="s">
        <v>23</v>
      </c>
    </row>
    <row r="100" spans="1:15" x14ac:dyDescent="0.3">
      <c r="A100" s="5" t="s">
        <v>421</v>
      </c>
      <c r="B100" s="5" t="s">
        <v>330</v>
      </c>
      <c r="C100" s="5" t="s">
        <v>409</v>
      </c>
      <c r="D100" s="5" t="s">
        <v>422</v>
      </c>
      <c r="E100" s="5" t="s">
        <v>423</v>
      </c>
      <c r="F100" s="5" t="s">
        <v>6</v>
      </c>
      <c r="G100" s="5">
        <v>8</v>
      </c>
      <c r="H100" s="5">
        <v>20</v>
      </c>
      <c r="I100" s="6">
        <v>1500</v>
      </c>
      <c r="J100" s="6">
        <v>2300</v>
      </c>
      <c r="K100" s="6">
        <f t="shared" si="2"/>
        <v>800</v>
      </c>
      <c r="L100" s="7">
        <f t="shared" si="3"/>
        <v>0.34782608695652173</v>
      </c>
      <c r="M100" s="5" t="s">
        <v>420</v>
      </c>
      <c r="N100" s="5" t="s">
        <v>420</v>
      </c>
      <c r="O100" s="5" t="s">
        <v>23</v>
      </c>
    </row>
    <row r="101" spans="1:15" x14ac:dyDescent="0.3">
      <c r="A101" s="2" t="s">
        <v>424</v>
      </c>
      <c r="B101" s="2" t="s">
        <v>330</v>
      </c>
      <c r="C101" s="2" t="s">
        <v>409</v>
      </c>
      <c r="D101" s="2" t="s">
        <v>425</v>
      </c>
      <c r="E101" s="2" t="s">
        <v>426</v>
      </c>
      <c r="F101" s="2" t="s">
        <v>6</v>
      </c>
      <c r="G101" s="2">
        <v>5</v>
      </c>
      <c r="H101" s="2">
        <v>10</v>
      </c>
      <c r="I101" s="3">
        <v>3800</v>
      </c>
      <c r="J101" s="3">
        <v>6000</v>
      </c>
      <c r="K101" s="3">
        <f t="shared" si="2"/>
        <v>2200</v>
      </c>
      <c r="L101" s="4">
        <f t="shared" si="3"/>
        <v>0.36666666666666664</v>
      </c>
      <c r="M101" s="2" t="s">
        <v>427</v>
      </c>
      <c r="N101" s="2" t="s">
        <v>428</v>
      </c>
      <c r="O101" s="2" t="s">
        <v>23</v>
      </c>
    </row>
    <row r="102" spans="1:15" x14ac:dyDescent="0.3">
      <c r="A102" s="5" t="s">
        <v>429</v>
      </c>
      <c r="B102" s="5" t="s">
        <v>330</v>
      </c>
      <c r="C102" s="5" t="s">
        <v>409</v>
      </c>
      <c r="D102" s="5" t="s">
        <v>430</v>
      </c>
      <c r="E102" s="5" t="s">
        <v>431</v>
      </c>
      <c r="F102" s="5" t="s">
        <v>6</v>
      </c>
      <c r="G102" s="5">
        <v>5</v>
      </c>
      <c r="H102" s="5">
        <v>15</v>
      </c>
      <c r="I102" s="6">
        <v>2200</v>
      </c>
      <c r="J102" s="6">
        <v>3400</v>
      </c>
      <c r="K102" s="6">
        <f t="shared" si="2"/>
        <v>1200</v>
      </c>
      <c r="L102" s="7">
        <f t="shared" si="3"/>
        <v>0.35294117647058826</v>
      </c>
      <c r="M102" s="5" t="s">
        <v>432</v>
      </c>
      <c r="N102" s="5" t="s">
        <v>432</v>
      </c>
      <c r="O102" s="5" t="s">
        <v>23</v>
      </c>
    </row>
    <row r="103" spans="1:15" x14ac:dyDescent="0.3">
      <c r="A103" s="2" t="s">
        <v>433</v>
      </c>
      <c r="B103" s="2" t="s">
        <v>330</v>
      </c>
      <c r="C103" s="2" t="s">
        <v>409</v>
      </c>
      <c r="D103" s="2" t="s">
        <v>434</v>
      </c>
      <c r="E103" s="2" t="s">
        <v>435</v>
      </c>
      <c r="F103" s="2" t="s">
        <v>6</v>
      </c>
      <c r="G103" s="2">
        <v>8</v>
      </c>
      <c r="H103" s="2">
        <v>20</v>
      </c>
      <c r="I103" s="3">
        <v>1800</v>
      </c>
      <c r="J103" s="3">
        <v>2800</v>
      </c>
      <c r="K103" s="3">
        <f t="shared" si="2"/>
        <v>1000</v>
      </c>
      <c r="L103" s="4">
        <f t="shared" si="3"/>
        <v>0.35714285714285715</v>
      </c>
      <c r="M103" s="2" t="s">
        <v>436</v>
      </c>
      <c r="N103" s="2" t="s">
        <v>437</v>
      </c>
      <c r="O103" s="2" t="s">
        <v>23</v>
      </c>
    </row>
    <row r="104" spans="1:15" x14ac:dyDescent="0.3">
      <c r="A104" s="5" t="s">
        <v>438</v>
      </c>
      <c r="B104" s="5" t="s">
        <v>330</v>
      </c>
      <c r="C104" s="5" t="s">
        <v>409</v>
      </c>
      <c r="D104" s="5" t="s">
        <v>439</v>
      </c>
      <c r="E104" s="5" t="s">
        <v>440</v>
      </c>
      <c r="F104" s="5" t="s">
        <v>6</v>
      </c>
      <c r="G104" s="5">
        <v>5</v>
      </c>
      <c r="H104" s="5">
        <v>10</v>
      </c>
      <c r="I104" s="6">
        <v>4200</v>
      </c>
      <c r="J104" s="6">
        <v>6500</v>
      </c>
      <c r="K104" s="6">
        <f t="shared" si="2"/>
        <v>2300</v>
      </c>
      <c r="L104" s="7">
        <f t="shared" si="3"/>
        <v>0.35384615384615387</v>
      </c>
      <c r="M104" s="5" t="s">
        <v>441</v>
      </c>
      <c r="N104" s="5" t="s">
        <v>441</v>
      </c>
      <c r="O104" s="5" t="s">
        <v>23</v>
      </c>
    </row>
    <row r="105" spans="1:15" x14ac:dyDescent="0.3">
      <c r="A105" s="2" t="s">
        <v>442</v>
      </c>
      <c r="B105" s="2" t="s">
        <v>330</v>
      </c>
      <c r="C105" s="2" t="s">
        <v>443</v>
      </c>
      <c r="D105" s="2" t="s">
        <v>444</v>
      </c>
      <c r="E105" s="2" t="s">
        <v>445</v>
      </c>
      <c r="F105" s="2" t="s">
        <v>6</v>
      </c>
      <c r="G105" s="2">
        <v>20</v>
      </c>
      <c r="H105" s="2">
        <v>100</v>
      </c>
      <c r="I105" s="3">
        <v>250</v>
      </c>
      <c r="J105" s="3">
        <v>380</v>
      </c>
      <c r="K105" s="3">
        <f t="shared" si="2"/>
        <v>130</v>
      </c>
      <c r="L105" s="4">
        <f t="shared" si="3"/>
        <v>0.34210526315789475</v>
      </c>
      <c r="M105" s="2" t="s">
        <v>334</v>
      </c>
      <c r="N105" s="2" t="s">
        <v>334</v>
      </c>
      <c r="O105" s="2" t="s">
        <v>23</v>
      </c>
    </row>
    <row r="106" spans="1:15" x14ac:dyDescent="0.3">
      <c r="A106" s="5" t="s">
        <v>446</v>
      </c>
      <c r="B106" s="5" t="s">
        <v>330</v>
      </c>
      <c r="C106" s="5" t="s">
        <v>443</v>
      </c>
      <c r="D106" s="5" t="s">
        <v>447</v>
      </c>
      <c r="E106" s="5" t="s">
        <v>448</v>
      </c>
      <c r="F106" s="5" t="s">
        <v>6</v>
      </c>
      <c r="G106" s="5">
        <v>20</v>
      </c>
      <c r="H106" s="5">
        <v>100</v>
      </c>
      <c r="I106" s="6">
        <v>350</v>
      </c>
      <c r="J106" s="6">
        <v>520</v>
      </c>
      <c r="K106" s="6">
        <f t="shared" si="2"/>
        <v>170</v>
      </c>
      <c r="L106" s="7">
        <f t="shared" si="3"/>
        <v>0.32692307692307693</v>
      </c>
      <c r="M106" s="5" t="s">
        <v>389</v>
      </c>
      <c r="N106" s="5" t="s">
        <v>389</v>
      </c>
      <c r="O106" s="5" t="s">
        <v>23</v>
      </c>
    </row>
    <row r="107" spans="1:15" x14ac:dyDescent="0.3">
      <c r="A107" s="2" t="s">
        <v>449</v>
      </c>
      <c r="B107" s="2" t="s">
        <v>330</v>
      </c>
      <c r="C107" s="2" t="s">
        <v>443</v>
      </c>
      <c r="D107" s="2" t="s">
        <v>450</v>
      </c>
      <c r="E107" s="2" t="s">
        <v>451</v>
      </c>
      <c r="F107" s="2" t="s">
        <v>6</v>
      </c>
      <c r="G107" s="2">
        <v>20</v>
      </c>
      <c r="H107" s="2">
        <v>100</v>
      </c>
      <c r="I107" s="3">
        <v>200</v>
      </c>
      <c r="J107" s="3">
        <v>310</v>
      </c>
      <c r="K107" s="3">
        <f t="shared" si="2"/>
        <v>110</v>
      </c>
      <c r="L107" s="4">
        <f t="shared" si="3"/>
        <v>0.35483870967741937</v>
      </c>
      <c r="M107" s="2" t="s">
        <v>404</v>
      </c>
      <c r="N107" s="2" t="s">
        <v>404</v>
      </c>
      <c r="O107" s="2" t="s">
        <v>23</v>
      </c>
    </row>
    <row r="108" spans="1:15" x14ac:dyDescent="0.3">
      <c r="A108" s="5" t="s">
        <v>452</v>
      </c>
      <c r="B108" s="5" t="s">
        <v>330</v>
      </c>
      <c r="C108" s="5" t="s">
        <v>443</v>
      </c>
      <c r="D108" s="5" t="s">
        <v>453</v>
      </c>
      <c r="E108" s="5" t="s">
        <v>454</v>
      </c>
      <c r="F108" s="5" t="s">
        <v>6</v>
      </c>
      <c r="G108" s="5">
        <v>10</v>
      </c>
      <c r="H108" s="5">
        <v>40</v>
      </c>
      <c r="I108" s="6">
        <v>700</v>
      </c>
      <c r="J108" s="6">
        <v>1050</v>
      </c>
      <c r="K108" s="6">
        <f t="shared" si="2"/>
        <v>350</v>
      </c>
      <c r="L108" s="7">
        <f t="shared" si="3"/>
        <v>0.33333333333333331</v>
      </c>
      <c r="M108" s="5" t="s">
        <v>342</v>
      </c>
      <c r="N108" s="5" t="s">
        <v>342</v>
      </c>
      <c r="O108" s="5" t="s">
        <v>23</v>
      </c>
    </row>
    <row r="109" spans="1:15" x14ac:dyDescent="0.3">
      <c r="A109" s="2" t="s">
        <v>455</v>
      </c>
      <c r="B109" s="2" t="s">
        <v>330</v>
      </c>
      <c r="C109" s="2" t="s">
        <v>443</v>
      </c>
      <c r="D109" s="2" t="s">
        <v>456</v>
      </c>
      <c r="E109" s="2" t="s">
        <v>457</v>
      </c>
      <c r="F109" s="2" t="s">
        <v>6</v>
      </c>
      <c r="G109" s="2">
        <v>5</v>
      </c>
      <c r="H109" s="2">
        <v>15</v>
      </c>
      <c r="I109" s="3">
        <v>1200</v>
      </c>
      <c r="J109" s="3">
        <v>1900</v>
      </c>
      <c r="K109" s="3">
        <f t="shared" si="2"/>
        <v>700</v>
      </c>
      <c r="L109" s="4">
        <f t="shared" si="3"/>
        <v>0.36842105263157893</v>
      </c>
      <c r="M109" s="2" t="s">
        <v>458</v>
      </c>
      <c r="N109" s="2" t="s">
        <v>458</v>
      </c>
      <c r="O109" s="2" t="s">
        <v>23</v>
      </c>
    </row>
    <row r="110" spans="1:15" x14ac:dyDescent="0.3">
      <c r="A110" s="5" t="s">
        <v>459</v>
      </c>
      <c r="B110" s="5" t="s">
        <v>330</v>
      </c>
      <c r="C110" s="5" t="s">
        <v>443</v>
      </c>
      <c r="D110" s="5" t="s">
        <v>460</v>
      </c>
      <c r="E110" s="5" t="s">
        <v>461</v>
      </c>
      <c r="F110" s="5" t="s">
        <v>6</v>
      </c>
      <c r="G110" s="5">
        <v>10</v>
      </c>
      <c r="H110" s="5">
        <v>30</v>
      </c>
      <c r="I110" s="6">
        <v>600</v>
      </c>
      <c r="J110" s="6">
        <v>950</v>
      </c>
      <c r="K110" s="6">
        <f t="shared" si="2"/>
        <v>350</v>
      </c>
      <c r="L110" s="7">
        <f t="shared" si="3"/>
        <v>0.36842105263157893</v>
      </c>
      <c r="M110" s="5" t="s">
        <v>412</v>
      </c>
      <c r="N110" s="5" t="s">
        <v>413</v>
      </c>
      <c r="O110" s="5" t="s">
        <v>23</v>
      </c>
    </row>
    <row r="111" spans="1:15" x14ac:dyDescent="0.3">
      <c r="A111" s="2" t="s">
        <v>462</v>
      </c>
      <c r="B111" s="2" t="s">
        <v>330</v>
      </c>
      <c r="C111" s="2" t="s">
        <v>443</v>
      </c>
      <c r="D111" s="2" t="s">
        <v>463</v>
      </c>
      <c r="E111" s="2" t="s">
        <v>464</v>
      </c>
      <c r="F111" s="2" t="s">
        <v>6</v>
      </c>
      <c r="G111" s="2">
        <v>20</v>
      </c>
      <c r="H111" s="2">
        <v>60</v>
      </c>
      <c r="I111" s="3">
        <v>400</v>
      </c>
      <c r="J111" s="3">
        <v>650</v>
      </c>
      <c r="K111" s="3">
        <f t="shared" si="2"/>
        <v>250</v>
      </c>
      <c r="L111" s="4">
        <f t="shared" si="3"/>
        <v>0.38461538461538464</v>
      </c>
      <c r="M111" s="2" t="s">
        <v>311</v>
      </c>
      <c r="N111" s="2" t="s">
        <v>311</v>
      </c>
      <c r="O111" s="2" t="s">
        <v>23</v>
      </c>
    </row>
    <row r="112" spans="1:15" x14ac:dyDescent="0.3">
      <c r="A112" s="5" t="s">
        <v>465</v>
      </c>
      <c r="B112" s="5" t="s">
        <v>330</v>
      </c>
      <c r="C112" s="5" t="s">
        <v>443</v>
      </c>
      <c r="D112" s="5" t="s">
        <v>466</v>
      </c>
      <c r="E112" s="5" t="s">
        <v>467</v>
      </c>
      <c r="F112" s="5" t="s">
        <v>6</v>
      </c>
      <c r="G112" s="5">
        <v>10</v>
      </c>
      <c r="H112" s="5">
        <v>30</v>
      </c>
      <c r="I112" s="6">
        <v>550</v>
      </c>
      <c r="J112" s="6">
        <v>900</v>
      </c>
      <c r="K112" s="6">
        <f t="shared" si="2"/>
        <v>350</v>
      </c>
      <c r="L112" s="7">
        <f t="shared" si="3"/>
        <v>0.3888888888888889</v>
      </c>
      <c r="M112" s="5" t="s">
        <v>338</v>
      </c>
      <c r="N112" s="5" t="s">
        <v>338</v>
      </c>
      <c r="O112" s="5" t="s">
        <v>23</v>
      </c>
    </row>
    <row r="113" spans="1:15" x14ac:dyDescent="0.3">
      <c r="A113" s="2" t="s">
        <v>468</v>
      </c>
      <c r="B113" s="2" t="s">
        <v>469</v>
      </c>
      <c r="C113" s="2" t="s">
        <v>470</v>
      </c>
      <c r="D113" s="2" t="s">
        <v>471</v>
      </c>
      <c r="E113" s="2" t="s">
        <v>472</v>
      </c>
      <c r="F113" s="2" t="s">
        <v>6</v>
      </c>
      <c r="G113" s="2">
        <v>50</v>
      </c>
      <c r="H113" s="2">
        <v>200</v>
      </c>
      <c r="I113" s="3">
        <v>850</v>
      </c>
      <c r="J113" s="3">
        <v>1050</v>
      </c>
      <c r="K113" s="3">
        <f t="shared" si="2"/>
        <v>200</v>
      </c>
      <c r="L113" s="4">
        <f t="shared" si="3"/>
        <v>0.19047619047619047</v>
      </c>
      <c r="M113" s="2" t="s">
        <v>473</v>
      </c>
      <c r="N113" s="2" t="s">
        <v>474</v>
      </c>
      <c r="O113" s="2" t="s">
        <v>23</v>
      </c>
    </row>
    <row r="114" spans="1:15" x14ac:dyDescent="0.3">
      <c r="A114" s="5" t="s">
        <v>475</v>
      </c>
      <c r="B114" s="5" t="s">
        <v>469</v>
      </c>
      <c r="C114" s="5" t="s">
        <v>470</v>
      </c>
      <c r="D114" s="5" t="s">
        <v>476</v>
      </c>
      <c r="E114" s="5" t="s">
        <v>477</v>
      </c>
      <c r="F114" s="5" t="s">
        <v>6</v>
      </c>
      <c r="G114" s="5">
        <v>50</v>
      </c>
      <c r="H114" s="5">
        <v>200</v>
      </c>
      <c r="I114" s="6">
        <v>840</v>
      </c>
      <c r="J114" s="6">
        <v>1040</v>
      </c>
      <c r="K114" s="6">
        <f t="shared" si="2"/>
        <v>200</v>
      </c>
      <c r="L114" s="7">
        <f t="shared" si="3"/>
        <v>0.19230769230769232</v>
      </c>
      <c r="M114" s="5" t="s">
        <v>478</v>
      </c>
      <c r="N114" s="5" t="s">
        <v>479</v>
      </c>
      <c r="O114" s="5" t="s">
        <v>23</v>
      </c>
    </row>
    <row r="115" spans="1:15" x14ac:dyDescent="0.3">
      <c r="A115" s="2" t="s">
        <v>480</v>
      </c>
      <c r="B115" s="2" t="s">
        <v>469</v>
      </c>
      <c r="C115" s="2" t="s">
        <v>470</v>
      </c>
      <c r="D115" s="2" t="s">
        <v>481</v>
      </c>
      <c r="E115" s="2" t="s">
        <v>482</v>
      </c>
      <c r="F115" s="2" t="s">
        <v>6</v>
      </c>
      <c r="G115" s="2">
        <v>50</v>
      </c>
      <c r="H115" s="2">
        <v>200</v>
      </c>
      <c r="I115" s="3">
        <v>845</v>
      </c>
      <c r="J115" s="3">
        <v>1045</v>
      </c>
      <c r="K115" s="3">
        <f t="shared" si="2"/>
        <v>200</v>
      </c>
      <c r="L115" s="4">
        <f t="shared" si="3"/>
        <v>0.19138755980861244</v>
      </c>
      <c r="M115" s="2" t="s">
        <v>483</v>
      </c>
      <c r="N115" s="2" t="s">
        <v>483</v>
      </c>
      <c r="O115" s="2" t="s">
        <v>23</v>
      </c>
    </row>
    <row r="116" spans="1:15" x14ac:dyDescent="0.3">
      <c r="A116" s="5" t="s">
        <v>484</v>
      </c>
      <c r="B116" s="5" t="s">
        <v>469</v>
      </c>
      <c r="C116" s="5" t="s">
        <v>470</v>
      </c>
      <c r="D116" s="5" t="s">
        <v>485</v>
      </c>
      <c r="E116" s="5" t="s">
        <v>486</v>
      </c>
      <c r="F116" s="5" t="s">
        <v>6</v>
      </c>
      <c r="G116" s="5">
        <v>10</v>
      </c>
      <c r="H116" s="5">
        <v>50</v>
      </c>
      <c r="I116" s="6">
        <v>14000</v>
      </c>
      <c r="J116" s="6">
        <v>18000</v>
      </c>
      <c r="K116" s="6">
        <f t="shared" si="2"/>
        <v>4000</v>
      </c>
      <c r="L116" s="7">
        <f t="shared" si="3"/>
        <v>0.22222222222222221</v>
      </c>
      <c r="M116" s="5" t="s">
        <v>487</v>
      </c>
      <c r="N116" s="5" t="s">
        <v>488</v>
      </c>
      <c r="O116" s="5" t="s">
        <v>23</v>
      </c>
    </row>
    <row r="117" spans="1:15" x14ac:dyDescent="0.3">
      <c r="A117" s="2" t="s">
        <v>489</v>
      </c>
      <c r="B117" s="2" t="s">
        <v>469</v>
      </c>
      <c r="C117" s="2" t="s">
        <v>470</v>
      </c>
      <c r="D117" s="2" t="s">
        <v>490</v>
      </c>
      <c r="E117" s="2" t="s">
        <v>491</v>
      </c>
      <c r="F117" s="2" t="s">
        <v>6</v>
      </c>
      <c r="G117" s="2">
        <v>20</v>
      </c>
      <c r="H117" s="2">
        <v>100</v>
      </c>
      <c r="I117" s="3">
        <v>55</v>
      </c>
      <c r="J117" s="3">
        <v>80</v>
      </c>
      <c r="K117" s="3">
        <f t="shared" si="2"/>
        <v>25</v>
      </c>
      <c r="L117" s="4">
        <f t="shared" si="3"/>
        <v>0.3125</v>
      </c>
      <c r="M117" s="2" t="s">
        <v>492</v>
      </c>
      <c r="N117" s="2" t="s">
        <v>488</v>
      </c>
      <c r="O117" s="2" t="s">
        <v>23</v>
      </c>
    </row>
    <row r="118" spans="1:15" x14ac:dyDescent="0.3">
      <c r="A118" s="5" t="s">
        <v>493</v>
      </c>
      <c r="B118" s="5" t="s">
        <v>469</v>
      </c>
      <c r="C118" s="5" t="s">
        <v>470</v>
      </c>
      <c r="D118" s="5" t="s">
        <v>494</v>
      </c>
      <c r="E118" s="5" t="s">
        <v>495</v>
      </c>
      <c r="F118" s="5" t="s">
        <v>6</v>
      </c>
      <c r="G118" s="5">
        <v>20</v>
      </c>
      <c r="H118" s="5">
        <v>100</v>
      </c>
      <c r="I118" s="6">
        <v>180</v>
      </c>
      <c r="J118" s="6">
        <v>250</v>
      </c>
      <c r="K118" s="6">
        <f t="shared" si="2"/>
        <v>70</v>
      </c>
      <c r="L118" s="7">
        <f t="shared" si="3"/>
        <v>0.28000000000000003</v>
      </c>
      <c r="M118" s="5" t="s">
        <v>496</v>
      </c>
      <c r="N118" s="5" t="s">
        <v>488</v>
      </c>
      <c r="O118" s="5" t="s">
        <v>23</v>
      </c>
    </row>
    <row r="119" spans="1:15" x14ac:dyDescent="0.3">
      <c r="A119" s="2" t="s">
        <v>497</v>
      </c>
      <c r="B119" s="2" t="s">
        <v>469</v>
      </c>
      <c r="C119" s="2" t="s">
        <v>470</v>
      </c>
      <c r="D119" s="2" t="s">
        <v>498</v>
      </c>
      <c r="E119" s="2" t="s">
        <v>499</v>
      </c>
      <c r="F119" s="2" t="s">
        <v>6</v>
      </c>
      <c r="G119" s="2">
        <v>20</v>
      </c>
      <c r="H119" s="2">
        <v>100</v>
      </c>
      <c r="I119" s="3">
        <v>200</v>
      </c>
      <c r="J119" s="3">
        <v>280</v>
      </c>
      <c r="K119" s="3">
        <f t="shared" si="2"/>
        <v>80</v>
      </c>
      <c r="L119" s="4">
        <f t="shared" si="3"/>
        <v>0.2857142857142857</v>
      </c>
      <c r="M119" s="2" t="s">
        <v>496</v>
      </c>
      <c r="N119" s="2" t="s">
        <v>488</v>
      </c>
      <c r="O119" s="2" t="s">
        <v>23</v>
      </c>
    </row>
    <row r="120" spans="1:15" x14ac:dyDescent="0.3">
      <c r="A120" s="5" t="s">
        <v>500</v>
      </c>
      <c r="B120" s="5" t="s">
        <v>469</v>
      </c>
      <c r="C120" s="5" t="s">
        <v>470</v>
      </c>
      <c r="D120" s="5" t="s">
        <v>501</v>
      </c>
      <c r="E120" s="5" t="s">
        <v>502</v>
      </c>
      <c r="F120" s="5" t="s">
        <v>6</v>
      </c>
      <c r="G120" s="5">
        <v>100</v>
      </c>
      <c r="H120" s="5">
        <v>500</v>
      </c>
      <c r="I120" s="6">
        <v>260</v>
      </c>
      <c r="J120" s="6">
        <v>320</v>
      </c>
      <c r="K120" s="6">
        <f t="shared" si="2"/>
        <v>60</v>
      </c>
      <c r="L120" s="7">
        <f t="shared" si="3"/>
        <v>0.1875</v>
      </c>
      <c r="M120" s="5" t="s">
        <v>503</v>
      </c>
      <c r="N120" s="5" t="s">
        <v>504</v>
      </c>
      <c r="O120" s="5" t="s">
        <v>23</v>
      </c>
    </row>
    <row r="121" spans="1:15" x14ac:dyDescent="0.3">
      <c r="A121" s="2" t="s">
        <v>505</v>
      </c>
      <c r="B121" s="2" t="s">
        <v>469</v>
      </c>
      <c r="C121" s="2" t="s">
        <v>506</v>
      </c>
      <c r="D121" s="2" t="s">
        <v>507</v>
      </c>
      <c r="E121" s="2" t="s">
        <v>508</v>
      </c>
      <c r="F121" s="2" t="s">
        <v>6</v>
      </c>
      <c r="G121" s="2">
        <v>5</v>
      </c>
      <c r="H121" s="2">
        <v>20</v>
      </c>
      <c r="I121" s="3">
        <v>3800</v>
      </c>
      <c r="J121" s="3">
        <v>5000</v>
      </c>
      <c r="K121" s="3">
        <f t="shared" si="2"/>
        <v>1200</v>
      </c>
      <c r="L121" s="4">
        <f t="shared" si="3"/>
        <v>0.24</v>
      </c>
      <c r="M121" s="2" t="s">
        <v>509</v>
      </c>
      <c r="N121" s="2" t="s">
        <v>510</v>
      </c>
      <c r="O121" s="2" t="s">
        <v>23</v>
      </c>
    </row>
    <row r="122" spans="1:15" x14ac:dyDescent="0.3">
      <c r="A122" s="5" t="s">
        <v>511</v>
      </c>
      <c r="B122" s="5" t="s">
        <v>469</v>
      </c>
      <c r="C122" s="5" t="s">
        <v>506</v>
      </c>
      <c r="D122" s="5" t="s">
        <v>512</v>
      </c>
      <c r="E122" s="5" t="s">
        <v>513</v>
      </c>
      <c r="F122" s="5" t="s">
        <v>6</v>
      </c>
      <c r="G122" s="5">
        <v>5</v>
      </c>
      <c r="H122" s="5">
        <v>20</v>
      </c>
      <c r="I122" s="6">
        <v>2800</v>
      </c>
      <c r="J122" s="6">
        <v>3800</v>
      </c>
      <c r="K122" s="6">
        <f t="shared" si="2"/>
        <v>1000</v>
      </c>
      <c r="L122" s="7">
        <f t="shared" si="3"/>
        <v>0.26315789473684209</v>
      </c>
      <c r="M122" s="5" t="s">
        <v>509</v>
      </c>
      <c r="N122" s="5" t="s">
        <v>510</v>
      </c>
      <c r="O122" s="5" t="s">
        <v>23</v>
      </c>
    </row>
    <row r="123" spans="1:15" x14ac:dyDescent="0.3">
      <c r="A123" s="2" t="s">
        <v>514</v>
      </c>
      <c r="B123" s="2" t="s">
        <v>469</v>
      </c>
      <c r="C123" s="2" t="s">
        <v>506</v>
      </c>
      <c r="D123" s="2" t="s">
        <v>515</v>
      </c>
      <c r="E123" s="2" t="s">
        <v>516</v>
      </c>
      <c r="F123" s="2" t="s">
        <v>6</v>
      </c>
      <c r="G123" s="2">
        <v>5</v>
      </c>
      <c r="H123" s="2">
        <v>20</v>
      </c>
      <c r="I123" s="3">
        <v>3600</v>
      </c>
      <c r="J123" s="3">
        <v>4800</v>
      </c>
      <c r="K123" s="3">
        <f t="shared" si="2"/>
        <v>1200</v>
      </c>
      <c r="L123" s="4">
        <f t="shared" si="3"/>
        <v>0.25</v>
      </c>
      <c r="M123" s="2" t="s">
        <v>517</v>
      </c>
      <c r="N123" s="2" t="s">
        <v>518</v>
      </c>
      <c r="O123" s="2" t="s">
        <v>23</v>
      </c>
    </row>
    <row r="124" spans="1:15" x14ac:dyDescent="0.3">
      <c r="A124" s="5" t="s">
        <v>519</v>
      </c>
      <c r="B124" s="5" t="s">
        <v>469</v>
      </c>
      <c r="C124" s="5" t="s">
        <v>506</v>
      </c>
      <c r="D124" s="5" t="s">
        <v>520</v>
      </c>
      <c r="E124" s="5" t="s">
        <v>521</v>
      </c>
      <c r="F124" s="5" t="s">
        <v>6</v>
      </c>
      <c r="G124" s="5">
        <v>5</v>
      </c>
      <c r="H124" s="5">
        <v>20</v>
      </c>
      <c r="I124" s="6">
        <v>3200</v>
      </c>
      <c r="J124" s="6">
        <v>4400</v>
      </c>
      <c r="K124" s="6">
        <f t="shared" si="2"/>
        <v>1200</v>
      </c>
      <c r="L124" s="7">
        <f t="shared" si="3"/>
        <v>0.27272727272727271</v>
      </c>
      <c r="M124" s="5" t="s">
        <v>522</v>
      </c>
      <c r="N124" s="5" t="s">
        <v>523</v>
      </c>
      <c r="O124" s="5" t="s">
        <v>23</v>
      </c>
    </row>
    <row r="125" spans="1:15" x14ac:dyDescent="0.3">
      <c r="A125" s="2" t="s">
        <v>524</v>
      </c>
      <c r="B125" s="2" t="s">
        <v>469</v>
      </c>
      <c r="C125" s="2" t="s">
        <v>506</v>
      </c>
      <c r="D125" s="2" t="s">
        <v>525</v>
      </c>
      <c r="E125" s="2" t="s">
        <v>526</v>
      </c>
      <c r="F125" s="2" t="s">
        <v>6</v>
      </c>
      <c r="G125" s="2">
        <v>10</v>
      </c>
      <c r="H125" s="2">
        <v>40</v>
      </c>
      <c r="I125" s="3">
        <v>1200</v>
      </c>
      <c r="J125" s="3">
        <v>1600</v>
      </c>
      <c r="K125" s="3">
        <f t="shared" si="2"/>
        <v>400</v>
      </c>
      <c r="L125" s="4">
        <f t="shared" si="3"/>
        <v>0.25</v>
      </c>
      <c r="M125" s="2" t="s">
        <v>527</v>
      </c>
      <c r="N125" s="2" t="s">
        <v>528</v>
      </c>
      <c r="O125" s="2" t="s">
        <v>23</v>
      </c>
    </row>
    <row r="126" spans="1:15" x14ac:dyDescent="0.3">
      <c r="A126" s="5" t="s">
        <v>529</v>
      </c>
      <c r="B126" s="5" t="s">
        <v>469</v>
      </c>
      <c r="C126" s="5" t="s">
        <v>506</v>
      </c>
      <c r="D126" s="5" t="s">
        <v>530</v>
      </c>
      <c r="E126" s="5" t="s">
        <v>531</v>
      </c>
      <c r="F126" s="5" t="s">
        <v>6</v>
      </c>
      <c r="G126" s="5">
        <v>8</v>
      </c>
      <c r="H126" s="5">
        <v>30</v>
      </c>
      <c r="I126" s="6">
        <v>1500</v>
      </c>
      <c r="J126" s="6">
        <v>2100</v>
      </c>
      <c r="K126" s="6">
        <f t="shared" si="2"/>
        <v>600</v>
      </c>
      <c r="L126" s="7">
        <f t="shared" si="3"/>
        <v>0.2857142857142857</v>
      </c>
      <c r="M126" s="5" t="s">
        <v>509</v>
      </c>
      <c r="N126" s="5" t="s">
        <v>532</v>
      </c>
      <c r="O126" s="5" t="s">
        <v>23</v>
      </c>
    </row>
    <row r="127" spans="1:15" x14ac:dyDescent="0.3">
      <c r="A127" s="2" t="s">
        <v>533</v>
      </c>
      <c r="B127" s="2" t="s">
        <v>469</v>
      </c>
      <c r="C127" s="2" t="s">
        <v>506</v>
      </c>
      <c r="D127" s="2" t="s">
        <v>534</v>
      </c>
      <c r="E127" s="2" t="s">
        <v>535</v>
      </c>
      <c r="F127" s="2" t="s">
        <v>6</v>
      </c>
      <c r="G127" s="2">
        <v>10</v>
      </c>
      <c r="H127" s="2">
        <v>40</v>
      </c>
      <c r="I127" s="3">
        <v>750</v>
      </c>
      <c r="J127" s="3">
        <v>1050</v>
      </c>
      <c r="K127" s="3">
        <f t="shared" si="2"/>
        <v>300</v>
      </c>
      <c r="L127" s="4">
        <f t="shared" si="3"/>
        <v>0.2857142857142857</v>
      </c>
      <c r="M127" s="2" t="s">
        <v>517</v>
      </c>
      <c r="N127" s="2" t="s">
        <v>518</v>
      </c>
      <c r="O127" s="2" t="s">
        <v>23</v>
      </c>
    </row>
    <row r="128" spans="1:15" x14ac:dyDescent="0.3">
      <c r="A128" s="5" t="s">
        <v>536</v>
      </c>
      <c r="B128" s="5" t="s">
        <v>469</v>
      </c>
      <c r="C128" s="5" t="s">
        <v>537</v>
      </c>
      <c r="D128" s="5" t="s">
        <v>538</v>
      </c>
      <c r="E128" s="5" t="s">
        <v>539</v>
      </c>
      <c r="F128" s="5" t="s">
        <v>6</v>
      </c>
      <c r="G128" s="5">
        <v>20</v>
      </c>
      <c r="H128" s="5">
        <v>100</v>
      </c>
      <c r="I128" s="6">
        <v>180</v>
      </c>
      <c r="J128" s="6">
        <v>250</v>
      </c>
      <c r="K128" s="6">
        <f t="shared" si="2"/>
        <v>70</v>
      </c>
      <c r="L128" s="7">
        <f t="shared" si="3"/>
        <v>0.28000000000000003</v>
      </c>
      <c r="M128" s="5" t="s">
        <v>540</v>
      </c>
      <c r="N128" s="5" t="s">
        <v>541</v>
      </c>
      <c r="O128" s="5" t="s">
        <v>23</v>
      </c>
    </row>
    <row r="129" spans="1:15" x14ac:dyDescent="0.3">
      <c r="A129" s="2" t="s">
        <v>542</v>
      </c>
      <c r="B129" s="2" t="s">
        <v>469</v>
      </c>
      <c r="C129" s="2" t="s">
        <v>537</v>
      </c>
      <c r="D129" s="2" t="s">
        <v>543</v>
      </c>
      <c r="E129" s="2" t="s">
        <v>544</v>
      </c>
      <c r="F129" s="2" t="s">
        <v>6</v>
      </c>
      <c r="G129" s="2">
        <v>20</v>
      </c>
      <c r="H129" s="2">
        <v>100</v>
      </c>
      <c r="I129" s="3">
        <v>250</v>
      </c>
      <c r="J129" s="3">
        <v>340</v>
      </c>
      <c r="K129" s="3">
        <f t="shared" si="2"/>
        <v>90</v>
      </c>
      <c r="L129" s="4">
        <f t="shared" si="3"/>
        <v>0.26470588235294118</v>
      </c>
      <c r="M129" s="2" t="s">
        <v>540</v>
      </c>
      <c r="N129" s="2" t="s">
        <v>541</v>
      </c>
      <c r="O129" s="2" t="s">
        <v>23</v>
      </c>
    </row>
    <row r="130" spans="1:15" x14ac:dyDescent="0.3">
      <c r="A130" s="5" t="s">
        <v>545</v>
      </c>
      <c r="B130" s="5" t="s">
        <v>469</v>
      </c>
      <c r="C130" s="5" t="s">
        <v>537</v>
      </c>
      <c r="D130" s="5" t="s">
        <v>546</v>
      </c>
      <c r="E130" s="5" t="s">
        <v>547</v>
      </c>
      <c r="F130" s="5" t="s">
        <v>6</v>
      </c>
      <c r="G130" s="5">
        <v>20</v>
      </c>
      <c r="H130" s="5">
        <v>80</v>
      </c>
      <c r="I130" s="6">
        <v>220</v>
      </c>
      <c r="J130" s="6">
        <v>320</v>
      </c>
      <c r="K130" s="6">
        <f t="shared" si="2"/>
        <v>100</v>
      </c>
      <c r="L130" s="7">
        <f t="shared" si="3"/>
        <v>0.3125</v>
      </c>
      <c r="M130" s="5" t="s">
        <v>492</v>
      </c>
      <c r="N130" s="5" t="s">
        <v>488</v>
      </c>
      <c r="O130" s="5" t="s">
        <v>23</v>
      </c>
    </row>
    <row r="131" spans="1:15" x14ac:dyDescent="0.3">
      <c r="A131" s="2" t="s">
        <v>548</v>
      </c>
      <c r="B131" s="2" t="s">
        <v>469</v>
      </c>
      <c r="C131" s="2" t="s">
        <v>537</v>
      </c>
      <c r="D131" s="2" t="s">
        <v>549</v>
      </c>
      <c r="E131" s="2" t="s">
        <v>550</v>
      </c>
      <c r="F131" s="2" t="s">
        <v>6</v>
      </c>
      <c r="G131" s="2">
        <v>3</v>
      </c>
      <c r="H131" s="2">
        <v>10</v>
      </c>
      <c r="I131" s="3">
        <v>12000</v>
      </c>
      <c r="J131" s="3">
        <v>16000</v>
      </c>
      <c r="K131" s="3">
        <f t="shared" ref="K131:K194" si="4">J131-I131</f>
        <v>4000</v>
      </c>
      <c r="L131" s="4">
        <f t="shared" ref="L131:L194" si="5">IF(J131&gt;0,(J131-I131)/J131,0)</f>
        <v>0.25</v>
      </c>
      <c r="M131" s="2" t="s">
        <v>551</v>
      </c>
      <c r="N131" s="2" t="s">
        <v>552</v>
      </c>
      <c r="O131" s="2" t="s">
        <v>23</v>
      </c>
    </row>
    <row r="132" spans="1:15" x14ac:dyDescent="0.3">
      <c r="A132" s="5" t="s">
        <v>553</v>
      </c>
      <c r="B132" s="5" t="s">
        <v>469</v>
      </c>
      <c r="C132" s="5" t="s">
        <v>537</v>
      </c>
      <c r="D132" s="5" t="s">
        <v>554</v>
      </c>
      <c r="E132" s="5" t="s">
        <v>555</v>
      </c>
      <c r="F132" s="5" t="s">
        <v>6</v>
      </c>
      <c r="G132" s="5">
        <v>50</v>
      </c>
      <c r="H132" s="5">
        <v>200</v>
      </c>
      <c r="I132" s="6">
        <v>45</v>
      </c>
      <c r="J132" s="6">
        <v>65</v>
      </c>
      <c r="K132" s="6">
        <f t="shared" si="4"/>
        <v>20</v>
      </c>
      <c r="L132" s="7">
        <f t="shared" si="5"/>
        <v>0.30769230769230771</v>
      </c>
      <c r="M132" s="5" t="s">
        <v>556</v>
      </c>
      <c r="N132" s="5" t="s">
        <v>557</v>
      </c>
      <c r="O132" s="5" t="s">
        <v>23</v>
      </c>
    </row>
    <row r="133" spans="1:15" x14ac:dyDescent="0.3">
      <c r="A133" s="2" t="s">
        <v>558</v>
      </c>
      <c r="B133" s="2" t="s">
        <v>469</v>
      </c>
      <c r="C133" s="2" t="s">
        <v>537</v>
      </c>
      <c r="D133" s="2" t="s">
        <v>559</v>
      </c>
      <c r="E133" s="2" t="s">
        <v>560</v>
      </c>
      <c r="F133" s="2" t="s">
        <v>6</v>
      </c>
      <c r="G133" s="2">
        <v>50</v>
      </c>
      <c r="H133" s="2">
        <v>200</v>
      </c>
      <c r="I133" s="3">
        <v>65</v>
      </c>
      <c r="J133" s="3">
        <v>95</v>
      </c>
      <c r="K133" s="3">
        <f t="shared" si="4"/>
        <v>30</v>
      </c>
      <c r="L133" s="4">
        <f t="shared" si="5"/>
        <v>0.31578947368421051</v>
      </c>
      <c r="M133" s="2" t="s">
        <v>556</v>
      </c>
      <c r="N133" s="2" t="s">
        <v>557</v>
      </c>
      <c r="O133" s="2" t="s">
        <v>23</v>
      </c>
    </row>
    <row r="134" spans="1:15" x14ac:dyDescent="0.3">
      <c r="A134" s="5" t="s">
        <v>561</v>
      </c>
      <c r="B134" s="5" t="s">
        <v>469</v>
      </c>
      <c r="C134" s="5" t="s">
        <v>537</v>
      </c>
      <c r="D134" s="5" t="s">
        <v>562</v>
      </c>
      <c r="E134" s="5" t="s">
        <v>563</v>
      </c>
      <c r="F134" s="5" t="s">
        <v>6</v>
      </c>
      <c r="G134" s="5">
        <v>20</v>
      </c>
      <c r="H134" s="5">
        <v>80</v>
      </c>
      <c r="I134" s="6">
        <v>450</v>
      </c>
      <c r="J134" s="6">
        <v>650</v>
      </c>
      <c r="K134" s="6">
        <f t="shared" si="4"/>
        <v>200</v>
      </c>
      <c r="L134" s="7">
        <f t="shared" si="5"/>
        <v>0.30769230769230771</v>
      </c>
      <c r="M134" s="5" t="s">
        <v>551</v>
      </c>
      <c r="N134" s="5" t="s">
        <v>552</v>
      </c>
      <c r="O134" s="5" t="s">
        <v>23</v>
      </c>
    </row>
    <row r="135" spans="1:15" x14ac:dyDescent="0.3">
      <c r="A135" s="2" t="s">
        <v>564</v>
      </c>
      <c r="B135" s="2" t="s">
        <v>469</v>
      </c>
      <c r="C135" s="2" t="s">
        <v>537</v>
      </c>
      <c r="D135" s="2" t="s">
        <v>565</v>
      </c>
      <c r="E135" s="2" t="s">
        <v>566</v>
      </c>
      <c r="F135" s="2" t="s">
        <v>6</v>
      </c>
      <c r="G135" s="2">
        <v>20</v>
      </c>
      <c r="H135" s="2">
        <v>100</v>
      </c>
      <c r="I135" s="3">
        <v>180</v>
      </c>
      <c r="J135" s="3">
        <v>280</v>
      </c>
      <c r="K135" s="3">
        <f t="shared" si="4"/>
        <v>100</v>
      </c>
      <c r="L135" s="4">
        <f t="shared" si="5"/>
        <v>0.35714285714285715</v>
      </c>
      <c r="M135" s="2" t="s">
        <v>567</v>
      </c>
      <c r="N135" s="2" t="s">
        <v>568</v>
      </c>
      <c r="O135" s="2" t="s">
        <v>23</v>
      </c>
    </row>
    <row r="136" spans="1:15" x14ac:dyDescent="0.3">
      <c r="A136" s="5" t="s">
        <v>569</v>
      </c>
      <c r="B136" s="5" t="s">
        <v>469</v>
      </c>
      <c r="C136" s="5" t="s">
        <v>537</v>
      </c>
      <c r="D136" s="5" t="s">
        <v>570</v>
      </c>
      <c r="E136" s="5" t="s">
        <v>571</v>
      </c>
      <c r="F136" s="5" t="s">
        <v>6</v>
      </c>
      <c r="G136" s="5">
        <v>30</v>
      </c>
      <c r="H136" s="5">
        <v>150</v>
      </c>
      <c r="I136" s="6">
        <v>120</v>
      </c>
      <c r="J136" s="6">
        <v>190</v>
      </c>
      <c r="K136" s="6">
        <f t="shared" si="4"/>
        <v>70</v>
      </c>
      <c r="L136" s="7">
        <f t="shared" si="5"/>
        <v>0.36842105263157893</v>
      </c>
      <c r="M136" s="5" t="s">
        <v>567</v>
      </c>
      <c r="N136" s="5" t="s">
        <v>568</v>
      </c>
      <c r="O136" s="5" t="s">
        <v>23</v>
      </c>
    </row>
    <row r="137" spans="1:15" x14ac:dyDescent="0.3">
      <c r="A137" s="2" t="s">
        <v>572</v>
      </c>
      <c r="B137" s="2" t="s">
        <v>469</v>
      </c>
      <c r="C137" s="2" t="s">
        <v>537</v>
      </c>
      <c r="D137" s="2" t="s">
        <v>573</v>
      </c>
      <c r="E137" s="2" t="s">
        <v>574</v>
      </c>
      <c r="F137" s="2" t="s">
        <v>6</v>
      </c>
      <c r="G137" s="2">
        <v>5</v>
      </c>
      <c r="H137" s="2">
        <v>20</v>
      </c>
      <c r="I137" s="3">
        <v>3200</v>
      </c>
      <c r="J137" s="3">
        <v>4500</v>
      </c>
      <c r="K137" s="3">
        <f t="shared" si="4"/>
        <v>1300</v>
      </c>
      <c r="L137" s="4">
        <f t="shared" si="5"/>
        <v>0.28888888888888886</v>
      </c>
      <c r="M137" s="2" t="s">
        <v>575</v>
      </c>
      <c r="N137" s="2" t="s">
        <v>576</v>
      </c>
      <c r="O137" s="2" t="s">
        <v>23</v>
      </c>
    </row>
    <row r="138" spans="1:15" x14ac:dyDescent="0.3">
      <c r="A138" s="5" t="s">
        <v>577</v>
      </c>
      <c r="B138" s="5" t="s">
        <v>469</v>
      </c>
      <c r="C138" s="5" t="s">
        <v>578</v>
      </c>
      <c r="D138" s="5" t="s">
        <v>579</v>
      </c>
      <c r="E138" s="5" t="s">
        <v>580</v>
      </c>
      <c r="F138" s="5" t="s">
        <v>6</v>
      </c>
      <c r="G138" s="5">
        <v>5</v>
      </c>
      <c r="H138" s="5">
        <v>20</v>
      </c>
      <c r="I138" s="6">
        <v>850</v>
      </c>
      <c r="J138" s="6">
        <v>1200</v>
      </c>
      <c r="K138" s="6">
        <f t="shared" si="4"/>
        <v>350</v>
      </c>
      <c r="L138" s="7">
        <f t="shared" si="5"/>
        <v>0.29166666666666669</v>
      </c>
      <c r="M138" s="5" t="s">
        <v>581</v>
      </c>
      <c r="N138" s="5" t="s">
        <v>582</v>
      </c>
      <c r="O138" s="5" t="s">
        <v>23</v>
      </c>
    </row>
    <row r="139" spans="1:15" x14ac:dyDescent="0.3">
      <c r="A139" s="2" t="s">
        <v>583</v>
      </c>
      <c r="B139" s="2" t="s">
        <v>469</v>
      </c>
      <c r="C139" s="2" t="s">
        <v>578</v>
      </c>
      <c r="D139" s="2" t="s">
        <v>584</v>
      </c>
      <c r="E139" s="2" t="s">
        <v>585</v>
      </c>
      <c r="F139" s="2" t="s">
        <v>6</v>
      </c>
      <c r="G139" s="2">
        <v>3</v>
      </c>
      <c r="H139" s="2">
        <v>10</v>
      </c>
      <c r="I139" s="3">
        <v>4500</v>
      </c>
      <c r="J139" s="3">
        <v>6200</v>
      </c>
      <c r="K139" s="3">
        <f t="shared" si="4"/>
        <v>1700</v>
      </c>
      <c r="L139" s="4">
        <f t="shared" si="5"/>
        <v>0.27419354838709675</v>
      </c>
      <c r="M139" s="2" t="s">
        <v>586</v>
      </c>
      <c r="N139" s="2" t="s">
        <v>587</v>
      </c>
      <c r="O139" s="2" t="s">
        <v>23</v>
      </c>
    </row>
    <row r="140" spans="1:15" x14ac:dyDescent="0.3">
      <c r="A140" s="5" t="s">
        <v>588</v>
      </c>
      <c r="B140" s="5" t="s">
        <v>469</v>
      </c>
      <c r="C140" s="5" t="s">
        <v>578</v>
      </c>
      <c r="D140" s="5" t="s">
        <v>589</v>
      </c>
      <c r="E140" s="5" t="s">
        <v>590</v>
      </c>
      <c r="F140" s="5" t="s">
        <v>6</v>
      </c>
      <c r="G140" s="5">
        <v>10</v>
      </c>
      <c r="H140" s="5">
        <v>40</v>
      </c>
      <c r="I140" s="6">
        <v>350</v>
      </c>
      <c r="J140" s="6">
        <v>520</v>
      </c>
      <c r="K140" s="6">
        <f t="shared" si="4"/>
        <v>170</v>
      </c>
      <c r="L140" s="7">
        <f t="shared" si="5"/>
        <v>0.32692307692307693</v>
      </c>
      <c r="M140" s="5" t="s">
        <v>581</v>
      </c>
      <c r="N140" s="5" t="s">
        <v>582</v>
      </c>
      <c r="O140" s="5" t="s">
        <v>23</v>
      </c>
    </row>
    <row r="141" spans="1:15" x14ac:dyDescent="0.3">
      <c r="A141" s="2" t="s">
        <v>591</v>
      </c>
      <c r="B141" s="2" t="s">
        <v>469</v>
      </c>
      <c r="C141" s="2" t="s">
        <v>578</v>
      </c>
      <c r="D141" s="2" t="s">
        <v>592</v>
      </c>
      <c r="E141" s="2" t="s">
        <v>593</v>
      </c>
      <c r="F141" s="2" t="s">
        <v>6</v>
      </c>
      <c r="G141" s="2">
        <v>10</v>
      </c>
      <c r="H141" s="2">
        <v>40</v>
      </c>
      <c r="I141" s="3">
        <v>450</v>
      </c>
      <c r="J141" s="3">
        <v>680</v>
      </c>
      <c r="K141" s="3">
        <f t="shared" si="4"/>
        <v>230</v>
      </c>
      <c r="L141" s="4">
        <f t="shared" si="5"/>
        <v>0.33823529411764708</v>
      </c>
      <c r="M141" s="2" t="s">
        <v>492</v>
      </c>
      <c r="N141" s="2" t="s">
        <v>488</v>
      </c>
      <c r="O141" s="2" t="s">
        <v>23</v>
      </c>
    </row>
    <row r="142" spans="1:15" x14ac:dyDescent="0.3">
      <c r="A142" s="5" t="s">
        <v>594</v>
      </c>
      <c r="B142" s="5" t="s">
        <v>469</v>
      </c>
      <c r="C142" s="5" t="s">
        <v>578</v>
      </c>
      <c r="D142" s="5" t="s">
        <v>595</v>
      </c>
      <c r="E142" s="5" t="s">
        <v>596</v>
      </c>
      <c r="F142" s="5" t="s">
        <v>6</v>
      </c>
      <c r="G142" s="5">
        <v>5</v>
      </c>
      <c r="H142" s="5">
        <v>20</v>
      </c>
      <c r="I142" s="6">
        <v>1800</v>
      </c>
      <c r="J142" s="6">
        <v>2600</v>
      </c>
      <c r="K142" s="6">
        <f t="shared" si="4"/>
        <v>800</v>
      </c>
      <c r="L142" s="7">
        <f t="shared" si="5"/>
        <v>0.30769230769230771</v>
      </c>
      <c r="M142" s="5" t="s">
        <v>581</v>
      </c>
      <c r="N142" s="5" t="s">
        <v>582</v>
      </c>
      <c r="O142" s="5" t="s">
        <v>23</v>
      </c>
    </row>
    <row r="143" spans="1:15" x14ac:dyDescent="0.3">
      <c r="A143" s="2" t="s">
        <v>597</v>
      </c>
      <c r="B143" s="2" t="s">
        <v>469</v>
      </c>
      <c r="C143" s="2" t="s">
        <v>578</v>
      </c>
      <c r="D143" s="2" t="s">
        <v>598</v>
      </c>
      <c r="E143" s="2" t="s">
        <v>599</v>
      </c>
      <c r="F143" s="2" t="s">
        <v>6</v>
      </c>
      <c r="G143" s="2">
        <v>10</v>
      </c>
      <c r="H143" s="2">
        <v>40</v>
      </c>
      <c r="I143" s="3">
        <v>600</v>
      </c>
      <c r="J143" s="3">
        <v>900</v>
      </c>
      <c r="K143" s="3">
        <f t="shared" si="4"/>
        <v>300</v>
      </c>
      <c r="L143" s="4">
        <f t="shared" si="5"/>
        <v>0.33333333333333331</v>
      </c>
      <c r="M143" s="2" t="s">
        <v>517</v>
      </c>
      <c r="N143" s="2" t="s">
        <v>518</v>
      </c>
      <c r="O143" s="2" t="s">
        <v>23</v>
      </c>
    </row>
    <row r="144" spans="1:15" x14ac:dyDescent="0.3">
      <c r="A144" s="5" t="s">
        <v>600</v>
      </c>
      <c r="B144" s="5" t="s">
        <v>469</v>
      </c>
      <c r="C144" s="5" t="s">
        <v>578</v>
      </c>
      <c r="D144" s="5" t="s">
        <v>601</v>
      </c>
      <c r="E144" s="5" t="s">
        <v>602</v>
      </c>
      <c r="F144" s="5" t="s">
        <v>6</v>
      </c>
      <c r="G144" s="5">
        <v>10</v>
      </c>
      <c r="H144" s="5">
        <v>50</v>
      </c>
      <c r="I144" s="6">
        <v>280</v>
      </c>
      <c r="J144" s="6">
        <v>420</v>
      </c>
      <c r="K144" s="6">
        <f t="shared" si="4"/>
        <v>140</v>
      </c>
      <c r="L144" s="7">
        <f t="shared" si="5"/>
        <v>0.33333333333333331</v>
      </c>
      <c r="M144" s="5" t="s">
        <v>603</v>
      </c>
      <c r="N144" s="5" t="s">
        <v>604</v>
      </c>
      <c r="O144" s="5" t="s">
        <v>23</v>
      </c>
    </row>
    <row r="145" spans="1:15" x14ac:dyDescent="0.3">
      <c r="A145" s="2" t="s">
        <v>605</v>
      </c>
      <c r="B145" s="2" t="s">
        <v>469</v>
      </c>
      <c r="C145" s="2" t="s">
        <v>578</v>
      </c>
      <c r="D145" s="2" t="s">
        <v>606</v>
      </c>
      <c r="E145" s="2" t="s">
        <v>607</v>
      </c>
      <c r="F145" s="2" t="s">
        <v>6</v>
      </c>
      <c r="G145" s="2">
        <v>10</v>
      </c>
      <c r="H145" s="2">
        <v>40</v>
      </c>
      <c r="I145" s="3">
        <v>450</v>
      </c>
      <c r="J145" s="3">
        <v>680</v>
      </c>
      <c r="K145" s="3">
        <f t="shared" si="4"/>
        <v>230</v>
      </c>
      <c r="L145" s="4">
        <f t="shared" si="5"/>
        <v>0.33823529411764708</v>
      </c>
      <c r="M145" s="2" t="s">
        <v>603</v>
      </c>
      <c r="N145" s="2" t="s">
        <v>604</v>
      </c>
      <c r="O145" s="2" t="s">
        <v>23</v>
      </c>
    </row>
    <row r="146" spans="1:15" x14ac:dyDescent="0.3">
      <c r="A146" s="5" t="s">
        <v>608</v>
      </c>
      <c r="B146" s="5" t="s">
        <v>609</v>
      </c>
      <c r="C146" s="5" t="s">
        <v>610</v>
      </c>
      <c r="D146" s="5" t="s">
        <v>611</v>
      </c>
      <c r="E146" s="5" t="s">
        <v>612</v>
      </c>
      <c r="F146" s="5" t="s">
        <v>6</v>
      </c>
      <c r="G146" s="5">
        <v>30</v>
      </c>
      <c r="H146" s="5">
        <v>150</v>
      </c>
      <c r="I146" s="6">
        <v>85</v>
      </c>
      <c r="J146" s="6">
        <v>120</v>
      </c>
      <c r="K146" s="6">
        <f t="shared" si="4"/>
        <v>35</v>
      </c>
      <c r="L146" s="7">
        <f t="shared" si="5"/>
        <v>0.29166666666666669</v>
      </c>
      <c r="M146" s="5" t="s">
        <v>613</v>
      </c>
      <c r="N146" s="5" t="s">
        <v>614</v>
      </c>
      <c r="O146" s="5" t="s">
        <v>23</v>
      </c>
    </row>
    <row r="147" spans="1:15" x14ac:dyDescent="0.3">
      <c r="A147" s="2" t="s">
        <v>615</v>
      </c>
      <c r="B147" s="2" t="s">
        <v>609</v>
      </c>
      <c r="C147" s="2" t="s">
        <v>610</v>
      </c>
      <c r="D147" s="2" t="s">
        <v>616</v>
      </c>
      <c r="E147" s="2" t="s">
        <v>617</v>
      </c>
      <c r="F147" s="2" t="s">
        <v>6</v>
      </c>
      <c r="G147" s="2">
        <v>30</v>
      </c>
      <c r="H147" s="2">
        <v>150</v>
      </c>
      <c r="I147" s="3">
        <v>70</v>
      </c>
      <c r="J147" s="3">
        <v>100</v>
      </c>
      <c r="K147" s="3">
        <f t="shared" si="4"/>
        <v>30</v>
      </c>
      <c r="L147" s="4">
        <f t="shared" si="5"/>
        <v>0.3</v>
      </c>
      <c r="M147" s="2" t="s">
        <v>613</v>
      </c>
      <c r="N147" s="2" t="s">
        <v>614</v>
      </c>
      <c r="O147" s="2" t="s">
        <v>23</v>
      </c>
    </row>
    <row r="148" spans="1:15" x14ac:dyDescent="0.3">
      <c r="A148" s="5" t="s">
        <v>618</v>
      </c>
      <c r="B148" s="5" t="s">
        <v>609</v>
      </c>
      <c r="C148" s="5" t="s">
        <v>610</v>
      </c>
      <c r="D148" s="5" t="s">
        <v>619</v>
      </c>
      <c r="E148" s="5" t="s">
        <v>620</v>
      </c>
      <c r="F148" s="5" t="s">
        <v>6</v>
      </c>
      <c r="G148" s="5">
        <v>30</v>
      </c>
      <c r="H148" s="5">
        <v>150</v>
      </c>
      <c r="I148" s="6">
        <v>95</v>
      </c>
      <c r="J148" s="6">
        <v>135</v>
      </c>
      <c r="K148" s="6">
        <f t="shared" si="4"/>
        <v>40</v>
      </c>
      <c r="L148" s="7">
        <f t="shared" si="5"/>
        <v>0.29629629629629628</v>
      </c>
      <c r="M148" s="5" t="s">
        <v>621</v>
      </c>
      <c r="N148" s="5" t="s">
        <v>622</v>
      </c>
      <c r="O148" s="5" t="s">
        <v>23</v>
      </c>
    </row>
    <row r="149" spans="1:15" x14ac:dyDescent="0.3">
      <c r="A149" s="2" t="s">
        <v>623</v>
      </c>
      <c r="B149" s="2" t="s">
        <v>609</v>
      </c>
      <c r="C149" s="2" t="s">
        <v>610</v>
      </c>
      <c r="D149" s="2" t="s">
        <v>624</v>
      </c>
      <c r="E149" s="2" t="s">
        <v>625</v>
      </c>
      <c r="F149" s="2" t="s">
        <v>6</v>
      </c>
      <c r="G149" s="2">
        <v>30</v>
      </c>
      <c r="H149" s="2">
        <v>150</v>
      </c>
      <c r="I149" s="3">
        <v>45</v>
      </c>
      <c r="J149" s="3">
        <v>70</v>
      </c>
      <c r="K149" s="3">
        <f t="shared" si="4"/>
        <v>25</v>
      </c>
      <c r="L149" s="4">
        <f t="shared" si="5"/>
        <v>0.35714285714285715</v>
      </c>
      <c r="M149" s="2" t="s">
        <v>626</v>
      </c>
      <c r="N149" s="2" t="s">
        <v>627</v>
      </c>
      <c r="O149" s="2" t="s">
        <v>23</v>
      </c>
    </row>
    <row r="150" spans="1:15" x14ac:dyDescent="0.3">
      <c r="A150" s="5" t="s">
        <v>628</v>
      </c>
      <c r="B150" s="5" t="s">
        <v>609</v>
      </c>
      <c r="C150" s="5" t="s">
        <v>610</v>
      </c>
      <c r="D150" s="5" t="s">
        <v>629</v>
      </c>
      <c r="E150" s="5" t="s">
        <v>630</v>
      </c>
      <c r="F150" s="5" t="s">
        <v>6</v>
      </c>
      <c r="G150" s="5">
        <v>30</v>
      </c>
      <c r="H150" s="5">
        <v>150</v>
      </c>
      <c r="I150" s="6">
        <v>120</v>
      </c>
      <c r="J150" s="6">
        <v>175</v>
      </c>
      <c r="K150" s="6">
        <f t="shared" si="4"/>
        <v>55</v>
      </c>
      <c r="L150" s="7">
        <f t="shared" si="5"/>
        <v>0.31428571428571428</v>
      </c>
      <c r="M150" s="5" t="s">
        <v>631</v>
      </c>
      <c r="N150" s="5" t="s">
        <v>632</v>
      </c>
      <c r="O150" s="5" t="s">
        <v>23</v>
      </c>
    </row>
    <row r="151" spans="1:15" x14ac:dyDescent="0.3">
      <c r="A151" s="2" t="s">
        <v>633</v>
      </c>
      <c r="B151" s="2" t="s">
        <v>609</v>
      </c>
      <c r="C151" s="2" t="s">
        <v>610</v>
      </c>
      <c r="D151" s="2" t="s">
        <v>634</v>
      </c>
      <c r="E151" s="2" t="s">
        <v>635</v>
      </c>
      <c r="F151" s="2" t="s">
        <v>6</v>
      </c>
      <c r="G151" s="2">
        <v>15</v>
      </c>
      <c r="H151" s="2">
        <v>60</v>
      </c>
      <c r="I151" s="3">
        <v>350</v>
      </c>
      <c r="J151" s="3">
        <v>520</v>
      </c>
      <c r="K151" s="3">
        <f t="shared" si="4"/>
        <v>170</v>
      </c>
      <c r="L151" s="4">
        <f t="shared" si="5"/>
        <v>0.32692307692307693</v>
      </c>
      <c r="M151" s="2" t="s">
        <v>636</v>
      </c>
      <c r="N151" s="2" t="s">
        <v>636</v>
      </c>
      <c r="O151" s="2" t="s">
        <v>23</v>
      </c>
    </row>
    <row r="152" spans="1:15" x14ac:dyDescent="0.3">
      <c r="A152" s="5" t="s">
        <v>637</v>
      </c>
      <c r="B152" s="5" t="s">
        <v>609</v>
      </c>
      <c r="C152" s="5" t="s">
        <v>610</v>
      </c>
      <c r="D152" s="5" t="s">
        <v>638</v>
      </c>
      <c r="E152" s="5" t="s">
        <v>639</v>
      </c>
      <c r="F152" s="5" t="s">
        <v>6</v>
      </c>
      <c r="G152" s="5">
        <v>20</v>
      </c>
      <c r="H152" s="5">
        <v>80</v>
      </c>
      <c r="I152" s="6">
        <v>180</v>
      </c>
      <c r="J152" s="6">
        <v>260</v>
      </c>
      <c r="K152" s="6">
        <f t="shared" si="4"/>
        <v>80</v>
      </c>
      <c r="L152" s="7">
        <f t="shared" si="5"/>
        <v>0.30769230769230771</v>
      </c>
      <c r="M152" s="5" t="s">
        <v>640</v>
      </c>
      <c r="N152" s="5" t="s">
        <v>641</v>
      </c>
      <c r="O152" s="5" t="s">
        <v>23</v>
      </c>
    </row>
    <row r="153" spans="1:15" x14ac:dyDescent="0.3">
      <c r="A153" s="2" t="s">
        <v>642</v>
      </c>
      <c r="B153" s="2" t="s">
        <v>609</v>
      </c>
      <c r="C153" s="2" t="s">
        <v>610</v>
      </c>
      <c r="D153" s="2" t="s">
        <v>643</v>
      </c>
      <c r="E153" s="2" t="s">
        <v>644</v>
      </c>
      <c r="F153" s="2" t="s">
        <v>6</v>
      </c>
      <c r="G153" s="2">
        <v>20</v>
      </c>
      <c r="H153" s="2">
        <v>80</v>
      </c>
      <c r="I153" s="3">
        <v>145</v>
      </c>
      <c r="J153" s="3">
        <v>210</v>
      </c>
      <c r="K153" s="3">
        <f t="shared" si="4"/>
        <v>65</v>
      </c>
      <c r="L153" s="4">
        <f t="shared" si="5"/>
        <v>0.30952380952380953</v>
      </c>
      <c r="M153" s="2" t="s">
        <v>645</v>
      </c>
      <c r="N153" s="2" t="s">
        <v>645</v>
      </c>
      <c r="O153" s="2" t="s">
        <v>23</v>
      </c>
    </row>
    <row r="154" spans="1:15" x14ac:dyDescent="0.3">
      <c r="A154" s="5" t="s">
        <v>646</v>
      </c>
      <c r="B154" s="5" t="s">
        <v>609</v>
      </c>
      <c r="C154" s="5" t="s">
        <v>610</v>
      </c>
      <c r="D154" s="5" t="s">
        <v>647</v>
      </c>
      <c r="E154" s="5" t="s">
        <v>648</v>
      </c>
      <c r="F154" s="5" t="s">
        <v>6</v>
      </c>
      <c r="G154" s="5">
        <v>20</v>
      </c>
      <c r="H154" s="5">
        <v>80</v>
      </c>
      <c r="I154" s="6">
        <v>165</v>
      </c>
      <c r="J154" s="6">
        <v>240</v>
      </c>
      <c r="K154" s="6">
        <f t="shared" si="4"/>
        <v>75</v>
      </c>
      <c r="L154" s="7">
        <f t="shared" si="5"/>
        <v>0.3125</v>
      </c>
      <c r="M154" s="5" t="s">
        <v>613</v>
      </c>
      <c r="N154" s="5" t="s">
        <v>649</v>
      </c>
      <c r="O154" s="5" t="s">
        <v>23</v>
      </c>
    </row>
    <row r="155" spans="1:15" x14ac:dyDescent="0.3">
      <c r="A155" s="2" t="s">
        <v>650</v>
      </c>
      <c r="B155" s="2" t="s">
        <v>609</v>
      </c>
      <c r="C155" s="2" t="s">
        <v>610</v>
      </c>
      <c r="D155" s="2" t="s">
        <v>651</v>
      </c>
      <c r="E155" s="2" t="s">
        <v>652</v>
      </c>
      <c r="F155" s="2" t="s">
        <v>6</v>
      </c>
      <c r="G155" s="2">
        <v>20</v>
      </c>
      <c r="H155" s="2">
        <v>80</v>
      </c>
      <c r="I155" s="3">
        <v>145</v>
      </c>
      <c r="J155" s="3">
        <v>215</v>
      </c>
      <c r="K155" s="3">
        <f t="shared" si="4"/>
        <v>70</v>
      </c>
      <c r="L155" s="4">
        <f t="shared" si="5"/>
        <v>0.32558139534883723</v>
      </c>
      <c r="M155" s="2" t="s">
        <v>653</v>
      </c>
      <c r="N155" s="2" t="s">
        <v>654</v>
      </c>
      <c r="O155" s="2" t="s">
        <v>23</v>
      </c>
    </row>
    <row r="156" spans="1:15" x14ac:dyDescent="0.3">
      <c r="A156" s="5" t="s">
        <v>655</v>
      </c>
      <c r="B156" s="5" t="s">
        <v>609</v>
      </c>
      <c r="C156" s="5" t="s">
        <v>656</v>
      </c>
      <c r="D156" s="5" t="s">
        <v>657</v>
      </c>
      <c r="E156" s="5" t="s">
        <v>658</v>
      </c>
      <c r="F156" s="5" t="s">
        <v>6</v>
      </c>
      <c r="G156" s="5">
        <v>10</v>
      </c>
      <c r="H156" s="5">
        <v>50</v>
      </c>
      <c r="I156" s="6">
        <v>380</v>
      </c>
      <c r="J156" s="6">
        <v>580</v>
      </c>
      <c r="K156" s="6">
        <f t="shared" si="4"/>
        <v>200</v>
      </c>
      <c r="L156" s="7">
        <f t="shared" si="5"/>
        <v>0.34482758620689657</v>
      </c>
      <c r="M156" s="5" t="s">
        <v>492</v>
      </c>
      <c r="N156" s="5" t="s">
        <v>488</v>
      </c>
      <c r="O156" s="5" t="s">
        <v>23</v>
      </c>
    </row>
    <row r="157" spans="1:15" x14ac:dyDescent="0.3">
      <c r="A157" s="2" t="s">
        <v>659</v>
      </c>
      <c r="B157" s="2" t="s">
        <v>609</v>
      </c>
      <c r="C157" s="2" t="s">
        <v>656</v>
      </c>
      <c r="D157" s="2" t="s">
        <v>660</v>
      </c>
      <c r="E157" s="2" t="s">
        <v>661</v>
      </c>
      <c r="F157" s="2" t="s">
        <v>6</v>
      </c>
      <c r="G157" s="2">
        <v>10</v>
      </c>
      <c r="H157" s="2">
        <v>50</v>
      </c>
      <c r="I157" s="3">
        <v>550</v>
      </c>
      <c r="J157" s="3">
        <v>820</v>
      </c>
      <c r="K157" s="3">
        <f t="shared" si="4"/>
        <v>270</v>
      </c>
      <c r="L157" s="4">
        <f t="shared" si="5"/>
        <v>0.32926829268292684</v>
      </c>
      <c r="M157" s="2" t="s">
        <v>662</v>
      </c>
      <c r="N157" s="2" t="s">
        <v>662</v>
      </c>
      <c r="O157" s="2" t="s">
        <v>23</v>
      </c>
    </row>
    <row r="158" spans="1:15" x14ac:dyDescent="0.3">
      <c r="A158" s="5" t="s">
        <v>663</v>
      </c>
      <c r="B158" s="5" t="s">
        <v>609</v>
      </c>
      <c r="C158" s="5" t="s">
        <v>656</v>
      </c>
      <c r="D158" s="5" t="s">
        <v>664</v>
      </c>
      <c r="E158" s="5" t="s">
        <v>665</v>
      </c>
      <c r="F158" s="5" t="s">
        <v>6</v>
      </c>
      <c r="G158" s="5">
        <v>20</v>
      </c>
      <c r="H158" s="5">
        <v>80</v>
      </c>
      <c r="I158" s="6">
        <v>85</v>
      </c>
      <c r="J158" s="6">
        <v>130</v>
      </c>
      <c r="K158" s="6">
        <f t="shared" si="4"/>
        <v>45</v>
      </c>
      <c r="L158" s="7">
        <f t="shared" si="5"/>
        <v>0.34615384615384615</v>
      </c>
      <c r="M158" s="5" t="s">
        <v>666</v>
      </c>
      <c r="N158" s="5" t="s">
        <v>667</v>
      </c>
      <c r="O158" s="5" t="s">
        <v>23</v>
      </c>
    </row>
    <row r="159" spans="1:15" x14ac:dyDescent="0.3">
      <c r="A159" s="2" t="s">
        <v>668</v>
      </c>
      <c r="B159" s="2" t="s">
        <v>609</v>
      </c>
      <c r="C159" s="2" t="s">
        <v>656</v>
      </c>
      <c r="D159" s="2" t="s">
        <v>669</v>
      </c>
      <c r="E159" s="2" t="s">
        <v>670</v>
      </c>
      <c r="F159" s="2" t="s">
        <v>6</v>
      </c>
      <c r="G159" s="2">
        <v>10</v>
      </c>
      <c r="H159" s="2">
        <v>40</v>
      </c>
      <c r="I159" s="3">
        <v>380</v>
      </c>
      <c r="J159" s="3">
        <v>550</v>
      </c>
      <c r="K159" s="3">
        <f t="shared" si="4"/>
        <v>170</v>
      </c>
      <c r="L159" s="4">
        <f t="shared" si="5"/>
        <v>0.30909090909090908</v>
      </c>
      <c r="M159" s="2" t="s">
        <v>626</v>
      </c>
      <c r="N159" s="2" t="s">
        <v>671</v>
      </c>
      <c r="O159" s="2" t="s">
        <v>23</v>
      </c>
    </row>
    <row r="160" spans="1:15" x14ac:dyDescent="0.3">
      <c r="A160" s="5" t="s">
        <v>672</v>
      </c>
      <c r="B160" s="5" t="s">
        <v>609</v>
      </c>
      <c r="C160" s="5" t="s">
        <v>656</v>
      </c>
      <c r="D160" s="5" t="s">
        <v>673</v>
      </c>
      <c r="E160" s="5" t="s">
        <v>674</v>
      </c>
      <c r="F160" s="5" t="s">
        <v>6</v>
      </c>
      <c r="G160" s="5">
        <v>20</v>
      </c>
      <c r="H160" s="5">
        <v>80</v>
      </c>
      <c r="I160" s="6">
        <v>120</v>
      </c>
      <c r="J160" s="6">
        <v>180</v>
      </c>
      <c r="K160" s="6">
        <f t="shared" si="4"/>
        <v>60</v>
      </c>
      <c r="L160" s="7">
        <f t="shared" si="5"/>
        <v>0.33333333333333331</v>
      </c>
      <c r="M160" s="5" t="s">
        <v>492</v>
      </c>
      <c r="N160" s="5" t="s">
        <v>488</v>
      </c>
      <c r="O160" s="5" t="s">
        <v>23</v>
      </c>
    </row>
    <row r="161" spans="1:15" x14ac:dyDescent="0.3">
      <c r="A161" s="2" t="s">
        <v>675</v>
      </c>
      <c r="B161" s="2" t="s">
        <v>609</v>
      </c>
      <c r="C161" s="2" t="s">
        <v>656</v>
      </c>
      <c r="D161" s="2" t="s">
        <v>676</v>
      </c>
      <c r="E161" s="2" t="s">
        <v>677</v>
      </c>
      <c r="F161" s="2" t="s">
        <v>6</v>
      </c>
      <c r="G161" s="2">
        <v>3</v>
      </c>
      <c r="H161" s="2">
        <v>10</v>
      </c>
      <c r="I161" s="3">
        <v>2800</v>
      </c>
      <c r="J161" s="3">
        <v>4200</v>
      </c>
      <c r="K161" s="3">
        <f t="shared" si="4"/>
        <v>1400</v>
      </c>
      <c r="L161" s="4">
        <f t="shared" si="5"/>
        <v>0.33333333333333331</v>
      </c>
      <c r="M161" s="2" t="s">
        <v>678</v>
      </c>
      <c r="N161" s="2" t="s">
        <v>678</v>
      </c>
      <c r="O161" s="2" t="s">
        <v>23</v>
      </c>
    </row>
    <row r="162" spans="1:15" x14ac:dyDescent="0.3">
      <c r="A162" s="5" t="s">
        <v>679</v>
      </c>
      <c r="B162" s="5" t="s">
        <v>609</v>
      </c>
      <c r="C162" s="5" t="s">
        <v>656</v>
      </c>
      <c r="D162" s="5" t="s">
        <v>680</v>
      </c>
      <c r="E162" s="5" t="s">
        <v>681</v>
      </c>
      <c r="F162" s="5" t="s">
        <v>6</v>
      </c>
      <c r="G162" s="5">
        <v>5</v>
      </c>
      <c r="H162" s="5">
        <v>20</v>
      </c>
      <c r="I162" s="6">
        <v>650</v>
      </c>
      <c r="J162" s="6">
        <v>1000</v>
      </c>
      <c r="K162" s="6">
        <f t="shared" si="4"/>
        <v>350</v>
      </c>
      <c r="L162" s="7">
        <f t="shared" si="5"/>
        <v>0.35</v>
      </c>
      <c r="M162" s="5" t="s">
        <v>678</v>
      </c>
      <c r="N162" s="5" t="s">
        <v>678</v>
      </c>
      <c r="O162" s="5" t="s">
        <v>23</v>
      </c>
    </row>
    <row r="163" spans="1:15" x14ac:dyDescent="0.3">
      <c r="A163" s="2" t="s">
        <v>682</v>
      </c>
      <c r="B163" s="2" t="s">
        <v>609</v>
      </c>
      <c r="C163" s="2" t="s">
        <v>656</v>
      </c>
      <c r="D163" s="2" t="s">
        <v>683</v>
      </c>
      <c r="E163" s="2" t="s">
        <v>684</v>
      </c>
      <c r="F163" s="2" t="s">
        <v>6</v>
      </c>
      <c r="G163" s="2">
        <v>3</v>
      </c>
      <c r="H163" s="2">
        <v>10</v>
      </c>
      <c r="I163" s="3">
        <v>3500</v>
      </c>
      <c r="J163" s="3">
        <v>5200</v>
      </c>
      <c r="K163" s="3">
        <f t="shared" si="4"/>
        <v>1700</v>
      </c>
      <c r="L163" s="4">
        <f t="shared" si="5"/>
        <v>0.32692307692307693</v>
      </c>
      <c r="M163" s="2" t="s">
        <v>685</v>
      </c>
      <c r="N163" s="2" t="s">
        <v>686</v>
      </c>
      <c r="O163" s="2" t="s">
        <v>23</v>
      </c>
    </row>
    <row r="164" spans="1:15" x14ac:dyDescent="0.3">
      <c r="A164" s="5" t="s">
        <v>687</v>
      </c>
      <c r="B164" s="5" t="s">
        <v>609</v>
      </c>
      <c r="C164" s="5" t="s">
        <v>688</v>
      </c>
      <c r="D164" s="5" t="s">
        <v>689</v>
      </c>
      <c r="E164" s="5" t="s">
        <v>690</v>
      </c>
      <c r="F164" s="5" t="s">
        <v>6</v>
      </c>
      <c r="G164" s="5">
        <v>10</v>
      </c>
      <c r="H164" s="5">
        <v>40</v>
      </c>
      <c r="I164" s="6">
        <v>750</v>
      </c>
      <c r="J164" s="6">
        <v>1050</v>
      </c>
      <c r="K164" s="6">
        <f t="shared" si="4"/>
        <v>300</v>
      </c>
      <c r="L164" s="7">
        <f t="shared" si="5"/>
        <v>0.2857142857142857</v>
      </c>
      <c r="M164" s="5" t="s">
        <v>691</v>
      </c>
      <c r="N164" s="5" t="s">
        <v>692</v>
      </c>
      <c r="O164" s="5" t="s">
        <v>23</v>
      </c>
    </row>
    <row r="165" spans="1:15" x14ac:dyDescent="0.3">
      <c r="A165" s="2" t="s">
        <v>693</v>
      </c>
      <c r="B165" s="2" t="s">
        <v>609</v>
      </c>
      <c r="C165" s="2" t="s">
        <v>688</v>
      </c>
      <c r="D165" s="2" t="s">
        <v>694</v>
      </c>
      <c r="E165" s="2" t="s">
        <v>695</v>
      </c>
      <c r="F165" s="2" t="s">
        <v>6</v>
      </c>
      <c r="G165" s="2">
        <v>10</v>
      </c>
      <c r="H165" s="2">
        <v>40</v>
      </c>
      <c r="I165" s="3">
        <v>680</v>
      </c>
      <c r="J165" s="3">
        <v>950</v>
      </c>
      <c r="K165" s="3">
        <f t="shared" si="4"/>
        <v>270</v>
      </c>
      <c r="L165" s="4">
        <f t="shared" si="5"/>
        <v>0.28421052631578947</v>
      </c>
      <c r="M165" s="2" t="s">
        <v>691</v>
      </c>
      <c r="N165" s="2" t="s">
        <v>696</v>
      </c>
      <c r="O165" s="2" t="s">
        <v>23</v>
      </c>
    </row>
    <row r="166" spans="1:15" x14ac:dyDescent="0.3">
      <c r="A166" s="5" t="s">
        <v>697</v>
      </c>
      <c r="B166" s="5" t="s">
        <v>609</v>
      </c>
      <c r="C166" s="5" t="s">
        <v>688</v>
      </c>
      <c r="D166" s="5" t="s">
        <v>698</v>
      </c>
      <c r="E166" s="5" t="s">
        <v>699</v>
      </c>
      <c r="F166" s="5" t="s">
        <v>6</v>
      </c>
      <c r="G166" s="5">
        <v>20</v>
      </c>
      <c r="H166" s="5">
        <v>80</v>
      </c>
      <c r="I166" s="6">
        <v>120</v>
      </c>
      <c r="J166" s="6">
        <v>175</v>
      </c>
      <c r="K166" s="6">
        <f t="shared" si="4"/>
        <v>55</v>
      </c>
      <c r="L166" s="7">
        <f t="shared" si="5"/>
        <v>0.31428571428571428</v>
      </c>
      <c r="M166" s="5" t="s">
        <v>691</v>
      </c>
      <c r="N166" s="5" t="s">
        <v>700</v>
      </c>
      <c r="O166" s="5" t="s">
        <v>23</v>
      </c>
    </row>
    <row r="167" spans="1:15" x14ac:dyDescent="0.3">
      <c r="A167" s="2" t="s">
        <v>701</v>
      </c>
      <c r="B167" s="2" t="s">
        <v>609</v>
      </c>
      <c r="C167" s="2" t="s">
        <v>688</v>
      </c>
      <c r="D167" s="2" t="s">
        <v>702</v>
      </c>
      <c r="E167" s="2" t="s">
        <v>703</v>
      </c>
      <c r="F167" s="2" t="s">
        <v>6</v>
      </c>
      <c r="G167" s="2">
        <v>8</v>
      </c>
      <c r="H167" s="2">
        <v>30</v>
      </c>
      <c r="I167" s="3">
        <v>680</v>
      </c>
      <c r="J167" s="3">
        <v>980</v>
      </c>
      <c r="K167" s="3">
        <f t="shared" si="4"/>
        <v>300</v>
      </c>
      <c r="L167" s="4">
        <f t="shared" si="5"/>
        <v>0.30612244897959184</v>
      </c>
      <c r="M167" s="2" t="s">
        <v>260</v>
      </c>
      <c r="N167" s="2" t="s">
        <v>704</v>
      </c>
      <c r="O167" s="2" t="s">
        <v>23</v>
      </c>
    </row>
    <row r="168" spans="1:15" x14ac:dyDescent="0.3">
      <c r="A168" s="5" t="s">
        <v>705</v>
      </c>
      <c r="B168" s="5" t="s">
        <v>609</v>
      </c>
      <c r="C168" s="5" t="s">
        <v>688</v>
      </c>
      <c r="D168" s="5" t="s">
        <v>706</v>
      </c>
      <c r="E168" s="5" t="s">
        <v>707</v>
      </c>
      <c r="F168" s="5" t="s">
        <v>6</v>
      </c>
      <c r="G168" s="5">
        <v>20</v>
      </c>
      <c r="H168" s="5">
        <v>80</v>
      </c>
      <c r="I168" s="6">
        <v>220</v>
      </c>
      <c r="J168" s="6">
        <v>310</v>
      </c>
      <c r="K168" s="6">
        <f t="shared" si="4"/>
        <v>90</v>
      </c>
      <c r="L168" s="7">
        <f t="shared" si="5"/>
        <v>0.29032258064516131</v>
      </c>
      <c r="M168" s="5" t="s">
        <v>708</v>
      </c>
      <c r="N168" s="5" t="s">
        <v>709</v>
      </c>
      <c r="O168" s="5" t="s">
        <v>23</v>
      </c>
    </row>
    <row r="169" spans="1:15" x14ac:dyDescent="0.3">
      <c r="A169" s="2" t="s">
        <v>710</v>
      </c>
      <c r="B169" s="2" t="s">
        <v>609</v>
      </c>
      <c r="C169" s="2" t="s">
        <v>688</v>
      </c>
      <c r="D169" s="2" t="s">
        <v>711</v>
      </c>
      <c r="E169" s="2" t="s">
        <v>712</v>
      </c>
      <c r="F169" s="2" t="s">
        <v>6</v>
      </c>
      <c r="G169" s="2">
        <v>20</v>
      </c>
      <c r="H169" s="2">
        <v>80</v>
      </c>
      <c r="I169" s="3">
        <v>200</v>
      </c>
      <c r="J169" s="3">
        <v>290</v>
      </c>
      <c r="K169" s="3">
        <f t="shared" si="4"/>
        <v>90</v>
      </c>
      <c r="L169" s="4">
        <f t="shared" si="5"/>
        <v>0.31034482758620691</v>
      </c>
      <c r="M169" s="2" t="s">
        <v>260</v>
      </c>
      <c r="N169" s="2" t="s">
        <v>713</v>
      </c>
      <c r="O169" s="2" t="s">
        <v>23</v>
      </c>
    </row>
    <row r="170" spans="1:15" x14ac:dyDescent="0.3">
      <c r="A170" s="5" t="s">
        <v>714</v>
      </c>
      <c r="B170" s="5" t="s">
        <v>609</v>
      </c>
      <c r="C170" s="5" t="s">
        <v>688</v>
      </c>
      <c r="D170" s="5" t="s">
        <v>715</v>
      </c>
      <c r="E170" s="5" t="s">
        <v>716</v>
      </c>
      <c r="F170" s="5" t="s">
        <v>6</v>
      </c>
      <c r="G170" s="5">
        <v>10</v>
      </c>
      <c r="H170" s="5">
        <v>40</v>
      </c>
      <c r="I170" s="6">
        <v>750</v>
      </c>
      <c r="J170" s="6">
        <v>1100</v>
      </c>
      <c r="K170" s="6">
        <f t="shared" si="4"/>
        <v>350</v>
      </c>
      <c r="L170" s="7">
        <f t="shared" si="5"/>
        <v>0.31818181818181818</v>
      </c>
      <c r="M170" s="5" t="s">
        <v>691</v>
      </c>
      <c r="N170" s="5" t="s">
        <v>717</v>
      </c>
      <c r="O170" s="5" t="s">
        <v>23</v>
      </c>
    </row>
    <row r="171" spans="1:15" x14ac:dyDescent="0.3">
      <c r="A171" s="2" t="s">
        <v>718</v>
      </c>
      <c r="B171" s="2" t="s">
        <v>609</v>
      </c>
      <c r="C171" s="2" t="s">
        <v>688</v>
      </c>
      <c r="D171" s="2" t="s">
        <v>719</v>
      </c>
      <c r="E171" s="2" t="s">
        <v>720</v>
      </c>
      <c r="F171" s="2" t="s">
        <v>6</v>
      </c>
      <c r="G171" s="2">
        <v>15</v>
      </c>
      <c r="H171" s="2">
        <v>60</v>
      </c>
      <c r="I171" s="3">
        <v>380</v>
      </c>
      <c r="J171" s="3">
        <v>540</v>
      </c>
      <c r="K171" s="3">
        <f t="shared" si="4"/>
        <v>160</v>
      </c>
      <c r="L171" s="4">
        <f t="shared" si="5"/>
        <v>0.29629629629629628</v>
      </c>
      <c r="M171" s="2" t="s">
        <v>260</v>
      </c>
      <c r="N171" s="2" t="s">
        <v>721</v>
      </c>
      <c r="O171" s="2" t="s">
        <v>23</v>
      </c>
    </row>
    <row r="172" spans="1:15" x14ac:dyDescent="0.3">
      <c r="A172" s="5" t="s">
        <v>722</v>
      </c>
      <c r="B172" s="5" t="s">
        <v>609</v>
      </c>
      <c r="C172" s="5" t="s">
        <v>688</v>
      </c>
      <c r="D172" s="5" t="s">
        <v>723</v>
      </c>
      <c r="E172" s="5" t="s">
        <v>724</v>
      </c>
      <c r="F172" s="5" t="s">
        <v>6</v>
      </c>
      <c r="G172" s="5">
        <v>15</v>
      </c>
      <c r="H172" s="5">
        <v>60</v>
      </c>
      <c r="I172" s="6">
        <v>320</v>
      </c>
      <c r="J172" s="6">
        <v>470</v>
      </c>
      <c r="K172" s="6">
        <f t="shared" si="4"/>
        <v>150</v>
      </c>
      <c r="L172" s="7">
        <f t="shared" si="5"/>
        <v>0.31914893617021278</v>
      </c>
      <c r="M172" s="5" t="s">
        <v>626</v>
      </c>
      <c r="N172" s="5" t="s">
        <v>671</v>
      </c>
      <c r="O172" s="5" t="s">
        <v>23</v>
      </c>
    </row>
    <row r="173" spans="1:15" x14ac:dyDescent="0.3">
      <c r="A173" s="2" t="s">
        <v>725</v>
      </c>
      <c r="B173" s="2" t="s">
        <v>609</v>
      </c>
      <c r="C173" s="2" t="s">
        <v>688</v>
      </c>
      <c r="D173" s="2" t="s">
        <v>726</v>
      </c>
      <c r="E173" s="2" t="s">
        <v>727</v>
      </c>
      <c r="F173" s="2" t="s">
        <v>6</v>
      </c>
      <c r="G173" s="2">
        <v>10</v>
      </c>
      <c r="H173" s="2">
        <v>40</v>
      </c>
      <c r="I173" s="3">
        <v>550</v>
      </c>
      <c r="J173" s="3">
        <v>800</v>
      </c>
      <c r="K173" s="3">
        <f t="shared" si="4"/>
        <v>250</v>
      </c>
      <c r="L173" s="4">
        <f t="shared" si="5"/>
        <v>0.3125</v>
      </c>
      <c r="M173" s="2" t="s">
        <v>728</v>
      </c>
      <c r="N173" s="2" t="s">
        <v>729</v>
      </c>
      <c r="O173" s="2" t="s">
        <v>23</v>
      </c>
    </row>
    <row r="174" spans="1:15" x14ac:dyDescent="0.3">
      <c r="A174" s="5" t="s">
        <v>730</v>
      </c>
      <c r="B174" s="5" t="s">
        <v>731</v>
      </c>
      <c r="C174" s="5" t="s">
        <v>732</v>
      </c>
      <c r="D174" s="5" t="s">
        <v>733</v>
      </c>
      <c r="E174" s="5" t="s">
        <v>734</v>
      </c>
      <c r="F174" s="5" t="s">
        <v>6</v>
      </c>
      <c r="G174" s="5">
        <v>10</v>
      </c>
      <c r="H174" s="5">
        <v>50</v>
      </c>
      <c r="I174" s="6">
        <v>1100</v>
      </c>
      <c r="J174" s="6">
        <v>1550</v>
      </c>
      <c r="K174" s="6">
        <f t="shared" si="4"/>
        <v>450</v>
      </c>
      <c r="L174" s="7">
        <f t="shared" si="5"/>
        <v>0.29032258064516131</v>
      </c>
      <c r="M174" s="5" t="s">
        <v>735</v>
      </c>
      <c r="N174" s="5" t="s">
        <v>736</v>
      </c>
      <c r="O174" s="5" t="s">
        <v>23</v>
      </c>
    </row>
    <row r="175" spans="1:15" x14ac:dyDescent="0.3">
      <c r="A175" s="2" t="s">
        <v>737</v>
      </c>
      <c r="B175" s="2" t="s">
        <v>731</v>
      </c>
      <c r="C175" s="2" t="s">
        <v>732</v>
      </c>
      <c r="D175" s="2" t="s">
        <v>738</v>
      </c>
      <c r="E175" s="2" t="s">
        <v>739</v>
      </c>
      <c r="F175" s="2" t="s">
        <v>6</v>
      </c>
      <c r="G175" s="2">
        <v>20</v>
      </c>
      <c r="H175" s="2">
        <v>100</v>
      </c>
      <c r="I175" s="3">
        <v>180</v>
      </c>
      <c r="J175" s="3">
        <v>270</v>
      </c>
      <c r="K175" s="3">
        <f t="shared" si="4"/>
        <v>90</v>
      </c>
      <c r="L175" s="4">
        <f t="shared" si="5"/>
        <v>0.33333333333333331</v>
      </c>
      <c r="M175" s="2" t="s">
        <v>740</v>
      </c>
      <c r="N175" s="2" t="s">
        <v>741</v>
      </c>
      <c r="O175" s="2" t="s">
        <v>23</v>
      </c>
    </row>
    <row r="176" spans="1:15" x14ac:dyDescent="0.3">
      <c r="A176" s="5" t="s">
        <v>742</v>
      </c>
      <c r="B176" s="5" t="s">
        <v>731</v>
      </c>
      <c r="C176" s="5" t="s">
        <v>732</v>
      </c>
      <c r="D176" s="5" t="s">
        <v>743</v>
      </c>
      <c r="E176" s="5" t="s">
        <v>744</v>
      </c>
      <c r="F176" s="5" t="s">
        <v>6</v>
      </c>
      <c r="G176" s="5">
        <v>15</v>
      </c>
      <c r="H176" s="5">
        <v>60</v>
      </c>
      <c r="I176" s="6">
        <v>150</v>
      </c>
      <c r="J176" s="6">
        <v>225</v>
      </c>
      <c r="K176" s="6">
        <f t="shared" si="4"/>
        <v>75</v>
      </c>
      <c r="L176" s="7">
        <f t="shared" si="5"/>
        <v>0.33333333333333331</v>
      </c>
      <c r="M176" s="5" t="s">
        <v>740</v>
      </c>
      <c r="N176" s="5" t="s">
        <v>741</v>
      </c>
      <c r="O176" s="5" t="s">
        <v>23</v>
      </c>
    </row>
    <row r="177" spans="1:15" x14ac:dyDescent="0.3">
      <c r="A177" s="2" t="s">
        <v>745</v>
      </c>
      <c r="B177" s="2" t="s">
        <v>731</v>
      </c>
      <c r="C177" s="2" t="s">
        <v>732</v>
      </c>
      <c r="D177" s="2" t="s">
        <v>746</v>
      </c>
      <c r="E177" s="2" t="s">
        <v>747</v>
      </c>
      <c r="F177" s="2" t="s">
        <v>6</v>
      </c>
      <c r="G177" s="2">
        <v>15</v>
      </c>
      <c r="H177" s="2">
        <v>60</v>
      </c>
      <c r="I177" s="3">
        <v>180</v>
      </c>
      <c r="J177" s="3">
        <v>270</v>
      </c>
      <c r="K177" s="3">
        <f t="shared" si="4"/>
        <v>90</v>
      </c>
      <c r="L177" s="4">
        <f t="shared" si="5"/>
        <v>0.33333333333333331</v>
      </c>
      <c r="M177" s="2" t="s">
        <v>740</v>
      </c>
      <c r="N177" s="2" t="s">
        <v>741</v>
      </c>
      <c r="O177" s="2" t="s">
        <v>23</v>
      </c>
    </row>
    <row r="178" spans="1:15" x14ac:dyDescent="0.3">
      <c r="A178" s="5" t="s">
        <v>748</v>
      </c>
      <c r="B178" s="5" t="s">
        <v>731</v>
      </c>
      <c r="C178" s="5" t="s">
        <v>732</v>
      </c>
      <c r="D178" s="5" t="s">
        <v>749</v>
      </c>
      <c r="E178" s="5" t="s">
        <v>750</v>
      </c>
      <c r="F178" s="5" t="s">
        <v>6</v>
      </c>
      <c r="G178" s="5">
        <v>10</v>
      </c>
      <c r="H178" s="5">
        <v>40</v>
      </c>
      <c r="I178" s="6">
        <v>380</v>
      </c>
      <c r="J178" s="6">
        <v>550</v>
      </c>
      <c r="K178" s="6">
        <f t="shared" si="4"/>
        <v>170</v>
      </c>
      <c r="L178" s="7">
        <f t="shared" si="5"/>
        <v>0.30909090909090908</v>
      </c>
      <c r="M178" s="5" t="s">
        <v>740</v>
      </c>
      <c r="N178" s="5" t="s">
        <v>741</v>
      </c>
      <c r="O178" s="5" t="s">
        <v>23</v>
      </c>
    </row>
    <row r="179" spans="1:15" x14ac:dyDescent="0.3">
      <c r="A179" s="2" t="s">
        <v>751</v>
      </c>
      <c r="B179" s="2" t="s">
        <v>731</v>
      </c>
      <c r="C179" s="2" t="s">
        <v>732</v>
      </c>
      <c r="D179" s="2" t="s">
        <v>752</v>
      </c>
      <c r="E179" s="2" t="s">
        <v>753</v>
      </c>
      <c r="F179" s="2" t="s">
        <v>6</v>
      </c>
      <c r="G179" s="2">
        <v>20</v>
      </c>
      <c r="H179" s="2">
        <v>80</v>
      </c>
      <c r="I179" s="3">
        <v>120</v>
      </c>
      <c r="J179" s="3">
        <v>185</v>
      </c>
      <c r="K179" s="3">
        <f t="shared" si="4"/>
        <v>65</v>
      </c>
      <c r="L179" s="4">
        <f t="shared" si="5"/>
        <v>0.35135135135135137</v>
      </c>
      <c r="M179" s="2" t="s">
        <v>603</v>
      </c>
      <c r="N179" s="2" t="s">
        <v>604</v>
      </c>
      <c r="O179" s="2" t="s">
        <v>23</v>
      </c>
    </row>
    <row r="180" spans="1:15" x14ac:dyDescent="0.3">
      <c r="A180" s="5" t="s">
        <v>754</v>
      </c>
      <c r="B180" s="5" t="s">
        <v>731</v>
      </c>
      <c r="C180" s="5" t="s">
        <v>732</v>
      </c>
      <c r="D180" s="5" t="s">
        <v>755</v>
      </c>
      <c r="E180" s="5" t="s">
        <v>756</v>
      </c>
      <c r="F180" s="5" t="s">
        <v>6</v>
      </c>
      <c r="G180" s="5">
        <v>10</v>
      </c>
      <c r="H180" s="5">
        <v>40</v>
      </c>
      <c r="I180" s="6">
        <v>320</v>
      </c>
      <c r="J180" s="6">
        <v>480</v>
      </c>
      <c r="K180" s="6">
        <f t="shared" si="4"/>
        <v>160</v>
      </c>
      <c r="L180" s="7">
        <f t="shared" si="5"/>
        <v>0.33333333333333331</v>
      </c>
      <c r="M180" s="5" t="s">
        <v>740</v>
      </c>
      <c r="N180" s="5" t="s">
        <v>741</v>
      </c>
      <c r="O180" s="5" t="s">
        <v>23</v>
      </c>
    </row>
    <row r="181" spans="1:15" x14ac:dyDescent="0.3">
      <c r="A181" s="2" t="s">
        <v>757</v>
      </c>
      <c r="B181" s="2" t="s">
        <v>731</v>
      </c>
      <c r="C181" s="2" t="s">
        <v>758</v>
      </c>
      <c r="D181" s="2" t="s">
        <v>759</v>
      </c>
      <c r="E181" s="2" t="s">
        <v>760</v>
      </c>
      <c r="F181" s="2" t="s">
        <v>6</v>
      </c>
      <c r="G181" s="2">
        <v>10</v>
      </c>
      <c r="H181" s="2">
        <v>50</v>
      </c>
      <c r="I181" s="3">
        <v>120</v>
      </c>
      <c r="J181" s="3">
        <v>185</v>
      </c>
      <c r="K181" s="3">
        <f t="shared" si="4"/>
        <v>65</v>
      </c>
      <c r="L181" s="4">
        <f t="shared" si="5"/>
        <v>0.35135135135135137</v>
      </c>
      <c r="M181" s="2" t="s">
        <v>761</v>
      </c>
      <c r="N181" s="2" t="s">
        <v>761</v>
      </c>
      <c r="O181" s="2" t="s">
        <v>23</v>
      </c>
    </row>
    <row r="182" spans="1:15" x14ac:dyDescent="0.3">
      <c r="A182" s="5" t="s">
        <v>762</v>
      </c>
      <c r="B182" s="5" t="s">
        <v>731</v>
      </c>
      <c r="C182" s="5" t="s">
        <v>758</v>
      </c>
      <c r="D182" s="5" t="s">
        <v>763</v>
      </c>
      <c r="E182" s="5" t="s">
        <v>764</v>
      </c>
      <c r="F182" s="5" t="s">
        <v>6</v>
      </c>
      <c r="G182" s="5">
        <v>20</v>
      </c>
      <c r="H182" s="5">
        <v>100</v>
      </c>
      <c r="I182" s="6">
        <v>45</v>
      </c>
      <c r="J182" s="6">
        <v>72</v>
      </c>
      <c r="K182" s="6">
        <f t="shared" si="4"/>
        <v>27</v>
      </c>
      <c r="L182" s="7">
        <f t="shared" si="5"/>
        <v>0.375</v>
      </c>
      <c r="M182" s="5" t="s">
        <v>765</v>
      </c>
      <c r="N182" s="5" t="s">
        <v>765</v>
      </c>
      <c r="O182" s="5" t="s">
        <v>23</v>
      </c>
    </row>
    <row r="183" spans="1:15" x14ac:dyDescent="0.3">
      <c r="A183" s="2" t="s">
        <v>766</v>
      </c>
      <c r="B183" s="2" t="s">
        <v>731</v>
      </c>
      <c r="C183" s="2" t="s">
        <v>758</v>
      </c>
      <c r="D183" s="2" t="s">
        <v>767</v>
      </c>
      <c r="E183" s="2" t="s">
        <v>768</v>
      </c>
      <c r="F183" s="2" t="s">
        <v>6</v>
      </c>
      <c r="G183" s="2">
        <v>5</v>
      </c>
      <c r="H183" s="2">
        <v>20</v>
      </c>
      <c r="I183" s="3">
        <v>1500</v>
      </c>
      <c r="J183" s="3">
        <v>2400</v>
      </c>
      <c r="K183" s="3">
        <f t="shared" si="4"/>
        <v>900</v>
      </c>
      <c r="L183" s="4">
        <f t="shared" si="5"/>
        <v>0.375</v>
      </c>
      <c r="M183" s="2" t="s">
        <v>769</v>
      </c>
      <c r="N183" s="2" t="s">
        <v>769</v>
      </c>
      <c r="O183" s="2" t="s">
        <v>23</v>
      </c>
    </row>
    <row r="184" spans="1:15" x14ac:dyDescent="0.3">
      <c r="A184" s="5" t="s">
        <v>770</v>
      </c>
      <c r="B184" s="5" t="s">
        <v>731</v>
      </c>
      <c r="C184" s="5" t="s">
        <v>758</v>
      </c>
      <c r="D184" s="5" t="s">
        <v>771</v>
      </c>
      <c r="E184" s="5" t="s">
        <v>772</v>
      </c>
      <c r="F184" s="5" t="s">
        <v>6</v>
      </c>
      <c r="G184" s="5">
        <v>10</v>
      </c>
      <c r="H184" s="5">
        <v>40</v>
      </c>
      <c r="I184" s="6">
        <v>350</v>
      </c>
      <c r="J184" s="6">
        <v>540</v>
      </c>
      <c r="K184" s="6">
        <f t="shared" si="4"/>
        <v>190</v>
      </c>
      <c r="L184" s="7">
        <f t="shared" si="5"/>
        <v>0.35185185185185186</v>
      </c>
      <c r="M184" s="5" t="s">
        <v>765</v>
      </c>
      <c r="N184" s="5" t="s">
        <v>765</v>
      </c>
      <c r="O184" s="5" t="s">
        <v>23</v>
      </c>
    </row>
    <row r="185" spans="1:15" x14ac:dyDescent="0.3">
      <c r="A185" s="2" t="s">
        <v>773</v>
      </c>
      <c r="B185" s="2" t="s">
        <v>731</v>
      </c>
      <c r="C185" s="2" t="s">
        <v>758</v>
      </c>
      <c r="D185" s="2" t="s">
        <v>774</v>
      </c>
      <c r="E185" s="2" t="s">
        <v>775</v>
      </c>
      <c r="F185" s="2" t="s">
        <v>6</v>
      </c>
      <c r="G185" s="2">
        <v>15</v>
      </c>
      <c r="H185" s="2">
        <v>60</v>
      </c>
      <c r="I185" s="3">
        <v>280</v>
      </c>
      <c r="J185" s="3">
        <v>430</v>
      </c>
      <c r="K185" s="3">
        <f t="shared" si="4"/>
        <v>150</v>
      </c>
      <c r="L185" s="4">
        <f t="shared" si="5"/>
        <v>0.34883720930232559</v>
      </c>
      <c r="M185" s="2" t="s">
        <v>776</v>
      </c>
      <c r="N185" s="2" t="s">
        <v>776</v>
      </c>
      <c r="O185" s="2" t="s">
        <v>23</v>
      </c>
    </row>
    <row r="186" spans="1:15" x14ac:dyDescent="0.3">
      <c r="A186" s="5" t="s">
        <v>777</v>
      </c>
      <c r="B186" s="5" t="s">
        <v>731</v>
      </c>
      <c r="C186" s="5" t="s">
        <v>758</v>
      </c>
      <c r="D186" s="5" t="s">
        <v>778</v>
      </c>
      <c r="E186" s="5" t="s">
        <v>779</v>
      </c>
      <c r="F186" s="5" t="s">
        <v>6</v>
      </c>
      <c r="G186" s="5">
        <v>20</v>
      </c>
      <c r="H186" s="5">
        <v>80</v>
      </c>
      <c r="I186" s="6">
        <v>180</v>
      </c>
      <c r="J186" s="6">
        <v>280</v>
      </c>
      <c r="K186" s="6">
        <f t="shared" si="4"/>
        <v>100</v>
      </c>
      <c r="L186" s="7">
        <f t="shared" si="5"/>
        <v>0.35714285714285715</v>
      </c>
      <c r="M186" s="5" t="s">
        <v>780</v>
      </c>
      <c r="N186" s="5" t="s">
        <v>776</v>
      </c>
      <c r="O186" s="5" t="s">
        <v>23</v>
      </c>
    </row>
    <row r="187" spans="1:15" x14ac:dyDescent="0.3">
      <c r="A187" s="2" t="s">
        <v>781</v>
      </c>
      <c r="B187" s="2" t="s">
        <v>731</v>
      </c>
      <c r="C187" s="2" t="s">
        <v>758</v>
      </c>
      <c r="D187" s="2" t="s">
        <v>782</v>
      </c>
      <c r="E187" s="2" t="s">
        <v>783</v>
      </c>
      <c r="F187" s="2" t="s">
        <v>6</v>
      </c>
      <c r="G187" s="2">
        <v>30</v>
      </c>
      <c r="H187" s="2">
        <v>100</v>
      </c>
      <c r="I187" s="3">
        <v>50</v>
      </c>
      <c r="J187" s="3">
        <v>80</v>
      </c>
      <c r="K187" s="3">
        <f t="shared" si="4"/>
        <v>30</v>
      </c>
      <c r="L187" s="4">
        <f t="shared" si="5"/>
        <v>0.375</v>
      </c>
      <c r="M187" s="2" t="s">
        <v>776</v>
      </c>
      <c r="N187" s="2" t="s">
        <v>776</v>
      </c>
      <c r="O187" s="2" t="s">
        <v>23</v>
      </c>
    </row>
    <row r="188" spans="1:15" x14ac:dyDescent="0.3">
      <c r="A188" s="5" t="s">
        <v>784</v>
      </c>
      <c r="B188" s="5" t="s">
        <v>731</v>
      </c>
      <c r="C188" s="5" t="s">
        <v>785</v>
      </c>
      <c r="D188" s="5" t="s">
        <v>786</v>
      </c>
      <c r="E188" s="5" t="s">
        <v>787</v>
      </c>
      <c r="F188" s="5" t="s">
        <v>6</v>
      </c>
      <c r="G188" s="5">
        <v>5</v>
      </c>
      <c r="H188" s="5">
        <v>20</v>
      </c>
      <c r="I188" s="6">
        <v>650</v>
      </c>
      <c r="J188" s="6">
        <v>980</v>
      </c>
      <c r="K188" s="6">
        <f t="shared" si="4"/>
        <v>330</v>
      </c>
      <c r="L188" s="7">
        <f t="shared" si="5"/>
        <v>0.33673469387755101</v>
      </c>
      <c r="M188" s="5" t="s">
        <v>788</v>
      </c>
      <c r="N188" s="5" t="s">
        <v>788</v>
      </c>
      <c r="O188" s="5" t="s">
        <v>23</v>
      </c>
    </row>
    <row r="189" spans="1:15" x14ac:dyDescent="0.3">
      <c r="A189" s="2" t="s">
        <v>789</v>
      </c>
      <c r="B189" s="2" t="s">
        <v>731</v>
      </c>
      <c r="C189" s="2" t="s">
        <v>785</v>
      </c>
      <c r="D189" s="2" t="s">
        <v>790</v>
      </c>
      <c r="E189" s="2" t="s">
        <v>791</v>
      </c>
      <c r="F189" s="2" t="s">
        <v>6</v>
      </c>
      <c r="G189" s="2">
        <v>10</v>
      </c>
      <c r="H189" s="2">
        <v>50</v>
      </c>
      <c r="I189" s="3">
        <v>120</v>
      </c>
      <c r="J189" s="3">
        <v>190</v>
      </c>
      <c r="K189" s="3">
        <f t="shared" si="4"/>
        <v>70</v>
      </c>
      <c r="L189" s="4">
        <f t="shared" si="5"/>
        <v>0.36842105263157893</v>
      </c>
      <c r="M189" s="2" t="s">
        <v>788</v>
      </c>
      <c r="N189" s="2" t="s">
        <v>788</v>
      </c>
      <c r="O189" s="2" t="s">
        <v>23</v>
      </c>
    </row>
    <row r="190" spans="1:15" x14ac:dyDescent="0.3">
      <c r="A190" s="5" t="s">
        <v>792</v>
      </c>
      <c r="B190" s="5" t="s">
        <v>731</v>
      </c>
      <c r="C190" s="5" t="s">
        <v>785</v>
      </c>
      <c r="D190" s="5" t="s">
        <v>793</v>
      </c>
      <c r="E190" s="5" t="s">
        <v>794</v>
      </c>
      <c r="F190" s="5" t="s">
        <v>6</v>
      </c>
      <c r="G190" s="5">
        <v>5</v>
      </c>
      <c r="H190" s="5">
        <v>20</v>
      </c>
      <c r="I190" s="6">
        <v>550</v>
      </c>
      <c r="J190" s="6">
        <v>830</v>
      </c>
      <c r="K190" s="6">
        <f t="shared" si="4"/>
        <v>280</v>
      </c>
      <c r="L190" s="7">
        <f t="shared" si="5"/>
        <v>0.33734939759036142</v>
      </c>
      <c r="M190" s="5" t="s">
        <v>788</v>
      </c>
      <c r="N190" s="5" t="s">
        <v>788</v>
      </c>
      <c r="O190" s="5" t="s">
        <v>23</v>
      </c>
    </row>
    <row r="191" spans="1:15" x14ac:dyDescent="0.3">
      <c r="A191" s="2" t="s">
        <v>795</v>
      </c>
      <c r="B191" s="2" t="s">
        <v>731</v>
      </c>
      <c r="C191" s="2" t="s">
        <v>785</v>
      </c>
      <c r="D191" s="2" t="s">
        <v>796</v>
      </c>
      <c r="E191" s="2" t="s">
        <v>797</v>
      </c>
      <c r="F191" s="2" t="s">
        <v>6</v>
      </c>
      <c r="G191" s="2">
        <v>10</v>
      </c>
      <c r="H191" s="2">
        <v>40</v>
      </c>
      <c r="I191" s="3">
        <v>280</v>
      </c>
      <c r="J191" s="3">
        <v>430</v>
      </c>
      <c r="K191" s="3">
        <f t="shared" si="4"/>
        <v>150</v>
      </c>
      <c r="L191" s="4">
        <f t="shared" si="5"/>
        <v>0.34883720930232559</v>
      </c>
      <c r="M191" s="2" t="s">
        <v>798</v>
      </c>
      <c r="N191" s="2" t="s">
        <v>798</v>
      </c>
      <c r="O191" s="2" t="s">
        <v>23</v>
      </c>
    </row>
    <row r="192" spans="1:15" x14ac:dyDescent="0.3">
      <c r="A192" s="5" t="s">
        <v>799</v>
      </c>
      <c r="B192" s="5" t="s">
        <v>731</v>
      </c>
      <c r="C192" s="5" t="s">
        <v>785</v>
      </c>
      <c r="D192" s="5" t="s">
        <v>800</v>
      </c>
      <c r="E192" s="5" t="s">
        <v>801</v>
      </c>
      <c r="F192" s="5" t="s">
        <v>6</v>
      </c>
      <c r="G192" s="5">
        <v>10</v>
      </c>
      <c r="H192" s="5">
        <v>40</v>
      </c>
      <c r="I192" s="6">
        <v>380</v>
      </c>
      <c r="J192" s="6">
        <v>580</v>
      </c>
      <c r="K192" s="6">
        <f t="shared" si="4"/>
        <v>200</v>
      </c>
      <c r="L192" s="7">
        <f t="shared" si="5"/>
        <v>0.34482758620689657</v>
      </c>
      <c r="M192" s="5" t="s">
        <v>603</v>
      </c>
      <c r="N192" s="5" t="s">
        <v>604</v>
      </c>
      <c r="O192" s="5" t="s">
        <v>23</v>
      </c>
    </row>
    <row r="193" spans="1:15" x14ac:dyDescent="0.3">
      <c r="A193" s="2" t="s">
        <v>802</v>
      </c>
      <c r="B193" s="2" t="s">
        <v>731</v>
      </c>
      <c r="C193" s="2" t="s">
        <v>785</v>
      </c>
      <c r="D193" s="2" t="s">
        <v>803</v>
      </c>
      <c r="E193" s="2" t="s">
        <v>804</v>
      </c>
      <c r="F193" s="2" t="s">
        <v>6</v>
      </c>
      <c r="G193" s="2">
        <v>20</v>
      </c>
      <c r="H193" s="2">
        <v>100</v>
      </c>
      <c r="I193" s="3">
        <v>85</v>
      </c>
      <c r="J193" s="3">
        <v>135</v>
      </c>
      <c r="K193" s="3">
        <f t="shared" si="4"/>
        <v>50</v>
      </c>
      <c r="L193" s="4">
        <f t="shared" si="5"/>
        <v>0.37037037037037035</v>
      </c>
      <c r="M193" s="2" t="s">
        <v>740</v>
      </c>
      <c r="N193" s="2" t="s">
        <v>741</v>
      </c>
      <c r="O193" s="2" t="s">
        <v>23</v>
      </c>
    </row>
    <row r="194" spans="1:15" x14ac:dyDescent="0.3">
      <c r="A194" s="5" t="s">
        <v>805</v>
      </c>
      <c r="B194" s="5" t="s">
        <v>731</v>
      </c>
      <c r="C194" s="5" t="s">
        <v>785</v>
      </c>
      <c r="D194" s="5" t="s">
        <v>806</v>
      </c>
      <c r="E194" s="5" t="s">
        <v>807</v>
      </c>
      <c r="F194" s="5" t="s">
        <v>6</v>
      </c>
      <c r="G194" s="5">
        <v>10</v>
      </c>
      <c r="H194" s="5">
        <v>50</v>
      </c>
      <c r="I194" s="6">
        <v>120</v>
      </c>
      <c r="J194" s="6">
        <v>185</v>
      </c>
      <c r="K194" s="6">
        <f t="shared" si="4"/>
        <v>65</v>
      </c>
      <c r="L194" s="7">
        <f t="shared" si="5"/>
        <v>0.35135135135135137</v>
      </c>
      <c r="M194" s="5" t="s">
        <v>488</v>
      </c>
      <c r="N194" s="5" t="s">
        <v>488</v>
      </c>
      <c r="O194" s="5" t="s">
        <v>23</v>
      </c>
    </row>
    <row r="195" spans="1:15" x14ac:dyDescent="0.3">
      <c r="A195" s="2" t="s">
        <v>808</v>
      </c>
      <c r="B195" s="2" t="s">
        <v>731</v>
      </c>
      <c r="C195" s="2" t="s">
        <v>785</v>
      </c>
      <c r="D195" s="2" t="s">
        <v>809</v>
      </c>
      <c r="E195" s="2" t="s">
        <v>810</v>
      </c>
      <c r="F195" s="2" t="s">
        <v>6</v>
      </c>
      <c r="G195" s="2">
        <v>15</v>
      </c>
      <c r="H195" s="2">
        <v>60</v>
      </c>
      <c r="I195" s="3">
        <v>250</v>
      </c>
      <c r="J195" s="3">
        <v>390</v>
      </c>
      <c r="K195" s="3">
        <f t="shared" ref="K195:K216" si="6">J195-I195</f>
        <v>140</v>
      </c>
      <c r="L195" s="4">
        <f t="shared" ref="L195:L216" si="7">IF(J195&gt;0,(J195-I195)/J195,0)</f>
        <v>0.35897435897435898</v>
      </c>
      <c r="M195" s="2" t="s">
        <v>765</v>
      </c>
      <c r="N195" s="2" t="s">
        <v>765</v>
      </c>
      <c r="O195" s="2" t="s">
        <v>23</v>
      </c>
    </row>
    <row r="196" spans="1:15" x14ac:dyDescent="0.3">
      <c r="A196" s="5" t="s">
        <v>811</v>
      </c>
      <c r="B196" s="5" t="s">
        <v>731</v>
      </c>
      <c r="C196" s="5" t="s">
        <v>785</v>
      </c>
      <c r="D196" s="5" t="s">
        <v>812</v>
      </c>
      <c r="E196" s="5" t="s">
        <v>813</v>
      </c>
      <c r="F196" s="5" t="s">
        <v>6</v>
      </c>
      <c r="G196" s="5">
        <v>5</v>
      </c>
      <c r="H196" s="5">
        <v>20</v>
      </c>
      <c r="I196" s="6">
        <v>1800</v>
      </c>
      <c r="J196" s="6">
        <v>2700</v>
      </c>
      <c r="K196" s="6">
        <f t="shared" si="6"/>
        <v>900</v>
      </c>
      <c r="L196" s="7">
        <f t="shared" si="7"/>
        <v>0.33333333333333331</v>
      </c>
      <c r="M196" s="5" t="s">
        <v>814</v>
      </c>
      <c r="N196" s="5" t="s">
        <v>814</v>
      </c>
      <c r="O196" s="5" t="s">
        <v>23</v>
      </c>
    </row>
    <row r="197" spans="1:15" x14ac:dyDescent="0.3">
      <c r="A197" s="2" t="s">
        <v>815</v>
      </c>
      <c r="B197" s="2" t="s">
        <v>816</v>
      </c>
      <c r="C197" s="2" t="s">
        <v>817</v>
      </c>
      <c r="D197" s="2" t="s">
        <v>818</v>
      </c>
      <c r="E197" s="2" t="s">
        <v>819</v>
      </c>
      <c r="F197" s="2" t="s">
        <v>6</v>
      </c>
      <c r="G197" s="2">
        <v>5</v>
      </c>
      <c r="H197" s="2">
        <v>20</v>
      </c>
      <c r="I197" s="3">
        <v>3500</v>
      </c>
      <c r="J197" s="3">
        <v>4800</v>
      </c>
      <c r="K197" s="3">
        <f t="shared" si="6"/>
        <v>1300</v>
      </c>
      <c r="L197" s="4">
        <f t="shared" si="7"/>
        <v>0.27083333333333331</v>
      </c>
      <c r="M197" s="2" t="s">
        <v>820</v>
      </c>
      <c r="N197" s="2" t="s">
        <v>821</v>
      </c>
      <c r="O197" s="2" t="s">
        <v>23</v>
      </c>
    </row>
    <row r="198" spans="1:15" x14ac:dyDescent="0.3">
      <c r="A198" s="5" t="s">
        <v>822</v>
      </c>
      <c r="B198" s="5" t="s">
        <v>816</v>
      </c>
      <c r="C198" s="5" t="s">
        <v>817</v>
      </c>
      <c r="D198" s="5" t="s">
        <v>823</v>
      </c>
      <c r="E198" s="5" t="s">
        <v>824</v>
      </c>
      <c r="F198" s="5" t="s">
        <v>6</v>
      </c>
      <c r="G198" s="5">
        <v>5</v>
      </c>
      <c r="H198" s="5">
        <v>20</v>
      </c>
      <c r="I198" s="6">
        <v>3200</v>
      </c>
      <c r="J198" s="6">
        <v>4500</v>
      </c>
      <c r="K198" s="6">
        <f t="shared" si="6"/>
        <v>1300</v>
      </c>
      <c r="L198" s="7">
        <f t="shared" si="7"/>
        <v>0.28888888888888886</v>
      </c>
      <c r="M198" s="5" t="s">
        <v>825</v>
      </c>
      <c r="N198" s="5" t="s">
        <v>826</v>
      </c>
      <c r="O198" s="5" t="s">
        <v>23</v>
      </c>
    </row>
    <row r="199" spans="1:15" x14ac:dyDescent="0.3">
      <c r="A199" s="2" t="s">
        <v>827</v>
      </c>
      <c r="B199" s="2" t="s">
        <v>816</v>
      </c>
      <c r="C199" s="2" t="s">
        <v>817</v>
      </c>
      <c r="D199" s="2" t="s">
        <v>828</v>
      </c>
      <c r="E199" s="2" t="s">
        <v>829</v>
      </c>
      <c r="F199" s="2" t="s">
        <v>6</v>
      </c>
      <c r="G199" s="2">
        <v>5</v>
      </c>
      <c r="H199" s="2">
        <v>20</v>
      </c>
      <c r="I199" s="3">
        <v>3300</v>
      </c>
      <c r="J199" s="3">
        <v>4600</v>
      </c>
      <c r="K199" s="3">
        <f t="shared" si="6"/>
        <v>1300</v>
      </c>
      <c r="L199" s="4">
        <f t="shared" si="7"/>
        <v>0.28260869565217389</v>
      </c>
      <c r="M199" s="2" t="s">
        <v>830</v>
      </c>
      <c r="N199" s="2" t="s">
        <v>831</v>
      </c>
      <c r="O199" s="2" t="s">
        <v>23</v>
      </c>
    </row>
    <row r="200" spans="1:15" x14ac:dyDescent="0.3">
      <c r="A200" s="5" t="s">
        <v>832</v>
      </c>
      <c r="B200" s="5" t="s">
        <v>816</v>
      </c>
      <c r="C200" s="5" t="s">
        <v>817</v>
      </c>
      <c r="D200" s="5" t="s">
        <v>833</v>
      </c>
      <c r="E200" s="5" t="s">
        <v>834</v>
      </c>
      <c r="F200" s="5" t="s">
        <v>6</v>
      </c>
      <c r="G200" s="5">
        <v>5</v>
      </c>
      <c r="H200" s="5">
        <v>20</v>
      </c>
      <c r="I200" s="6">
        <v>1200</v>
      </c>
      <c r="J200" s="6">
        <v>1750</v>
      </c>
      <c r="K200" s="6">
        <f t="shared" si="6"/>
        <v>550</v>
      </c>
      <c r="L200" s="7">
        <f t="shared" si="7"/>
        <v>0.31428571428571428</v>
      </c>
      <c r="M200" s="5" t="s">
        <v>835</v>
      </c>
      <c r="N200" s="5" t="s">
        <v>836</v>
      </c>
      <c r="O200" s="5" t="s">
        <v>23</v>
      </c>
    </row>
    <row r="201" spans="1:15" x14ac:dyDescent="0.3">
      <c r="A201" s="2" t="s">
        <v>837</v>
      </c>
      <c r="B201" s="2" t="s">
        <v>816</v>
      </c>
      <c r="C201" s="2" t="s">
        <v>817</v>
      </c>
      <c r="D201" s="2" t="s">
        <v>838</v>
      </c>
      <c r="E201" s="2" t="s">
        <v>839</v>
      </c>
      <c r="F201" s="2" t="s">
        <v>6</v>
      </c>
      <c r="G201" s="2">
        <v>10</v>
      </c>
      <c r="H201" s="2">
        <v>40</v>
      </c>
      <c r="I201" s="3">
        <v>550</v>
      </c>
      <c r="J201" s="3">
        <v>800</v>
      </c>
      <c r="K201" s="3">
        <f t="shared" si="6"/>
        <v>250</v>
      </c>
      <c r="L201" s="4">
        <f t="shared" si="7"/>
        <v>0.3125</v>
      </c>
      <c r="M201" s="2" t="s">
        <v>586</v>
      </c>
      <c r="N201" s="2" t="s">
        <v>587</v>
      </c>
      <c r="O201" s="2" t="s">
        <v>23</v>
      </c>
    </row>
    <row r="202" spans="1:15" x14ac:dyDescent="0.3">
      <c r="A202" s="5" t="s">
        <v>840</v>
      </c>
      <c r="B202" s="5" t="s">
        <v>816</v>
      </c>
      <c r="C202" s="5" t="s">
        <v>817</v>
      </c>
      <c r="D202" s="5" t="s">
        <v>841</v>
      </c>
      <c r="E202" s="5" t="s">
        <v>842</v>
      </c>
      <c r="F202" s="5" t="s">
        <v>6</v>
      </c>
      <c r="G202" s="5">
        <v>10</v>
      </c>
      <c r="H202" s="5">
        <v>40</v>
      </c>
      <c r="I202" s="6">
        <v>650</v>
      </c>
      <c r="J202" s="6">
        <v>950</v>
      </c>
      <c r="K202" s="6">
        <f t="shared" si="6"/>
        <v>300</v>
      </c>
      <c r="L202" s="7">
        <f t="shared" si="7"/>
        <v>0.31578947368421051</v>
      </c>
      <c r="M202" s="5" t="s">
        <v>843</v>
      </c>
      <c r="N202" s="5" t="s">
        <v>488</v>
      </c>
      <c r="O202" s="5" t="s">
        <v>23</v>
      </c>
    </row>
    <row r="203" spans="1:15" x14ac:dyDescent="0.3">
      <c r="A203" s="2" t="s">
        <v>844</v>
      </c>
      <c r="B203" s="2" t="s">
        <v>816</v>
      </c>
      <c r="C203" s="2" t="s">
        <v>817</v>
      </c>
      <c r="D203" s="2" t="s">
        <v>845</v>
      </c>
      <c r="E203" s="2" t="s">
        <v>846</v>
      </c>
      <c r="F203" s="2" t="s">
        <v>6</v>
      </c>
      <c r="G203" s="2">
        <v>10</v>
      </c>
      <c r="H203" s="2">
        <v>40</v>
      </c>
      <c r="I203" s="3">
        <v>380</v>
      </c>
      <c r="J203" s="3">
        <v>560</v>
      </c>
      <c r="K203" s="3">
        <f t="shared" si="6"/>
        <v>180</v>
      </c>
      <c r="L203" s="4">
        <f t="shared" si="7"/>
        <v>0.32142857142857145</v>
      </c>
      <c r="M203" s="2" t="s">
        <v>830</v>
      </c>
      <c r="N203" s="2" t="s">
        <v>831</v>
      </c>
      <c r="O203" s="2" t="s">
        <v>23</v>
      </c>
    </row>
    <row r="204" spans="1:15" x14ac:dyDescent="0.3">
      <c r="A204" s="5" t="s">
        <v>847</v>
      </c>
      <c r="B204" s="5" t="s">
        <v>816</v>
      </c>
      <c r="C204" s="5" t="s">
        <v>817</v>
      </c>
      <c r="D204" s="5" t="s">
        <v>848</v>
      </c>
      <c r="E204" s="5" t="s">
        <v>849</v>
      </c>
      <c r="F204" s="5" t="s">
        <v>6</v>
      </c>
      <c r="G204" s="5">
        <v>10</v>
      </c>
      <c r="H204" s="5">
        <v>40</v>
      </c>
      <c r="I204" s="6">
        <v>320</v>
      </c>
      <c r="J204" s="6">
        <v>480</v>
      </c>
      <c r="K204" s="6">
        <f t="shared" si="6"/>
        <v>160</v>
      </c>
      <c r="L204" s="7">
        <f t="shared" si="7"/>
        <v>0.33333333333333331</v>
      </c>
      <c r="M204" s="5" t="s">
        <v>825</v>
      </c>
      <c r="N204" s="5" t="s">
        <v>826</v>
      </c>
      <c r="O204" s="5" t="s">
        <v>23</v>
      </c>
    </row>
    <row r="205" spans="1:15" x14ac:dyDescent="0.3">
      <c r="A205" s="2" t="s">
        <v>850</v>
      </c>
      <c r="B205" s="2" t="s">
        <v>816</v>
      </c>
      <c r="C205" s="2" t="s">
        <v>851</v>
      </c>
      <c r="D205" s="2" t="s">
        <v>852</v>
      </c>
      <c r="E205" s="2" t="s">
        <v>853</v>
      </c>
      <c r="F205" s="2" t="s">
        <v>6</v>
      </c>
      <c r="G205" s="2">
        <v>5</v>
      </c>
      <c r="H205" s="2">
        <v>10</v>
      </c>
      <c r="I205" s="3">
        <v>12500</v>
      </c>
      <c r="J205" s="3">
        <v>16500</v>
      </c>
      <c r="K205" s="3">
        <f t="shared" si="6"/>
        <v>4000</v>
      </c>
      <c r="L205" s="4">
        <f t="shared" si="7"/>
        <v>0.24242424242424243</v>
      </c>
      <c r="M205" s="2" t="s">
        <v>854</v>
      </c>
      <c r="N205" s="2" t="s">
        <v>854</v>
      </c>
      <c r="O205" s="2" t="s">
        <v>23</v>
      </c>
    </row>
    <row r="206" spans="1:15" x14ac:dyDescent="0.3">
      <c r="A206" s="5" t="s">
        <v>855</v>
      </c>
      <c r="B206" s="5" t="s">
        <v>816</v>
      </c>
      <c r="C206" s="5" t="s">
        <v>851</v>
      </c>
      <c r="D206" s="5" t="s">
        <v>856</v>
      </c>
      <c r="E206" s="5" t="s">
        <v>857</v>
      </c>
      <c r="F206" s="5" t="s">
        <v>6</v>
      </c>
      <c r="G206" s="5">
        <v>4</v>
      </c>
      <c r="H206" s="5">
        <v>8</v>
      </c>
      <c r="I206" s="6">
        <v>16000</v>
      </c>
      <c r="J206" s="6">
        <v>21000</v>
      </c>
      <c r="K206" s="6">
        <f t="shared" si="6"/>
        <v>5000</v>
      </c>
      <c r="L206" s="7">
        <f t="shared" si="7"/>
        <v>0.23809523809523808</v>
      </c>
      <c r="M206" s="5" t="s">
        <v>858</v>
      </c>
      <c r="N206" s="5" t="s">
        <v>859</v>
      </c>
      <c r="O206" s="5" t="s">
        <v>23</v>
      </c>
    </row>
    <row r="207" spans="1:15" x14ac:dyDescent="0.3">
      <c r="A207" s="2" t="s">
        <v>860</v>
      </c>
      <c r="B207" s="2" t="s">
        <v>816</v>
      </c>
      <c r="C207" s="2" t="s">
        <v>851</v>
      </c>
      <c r="D207" s="2" t="s">
        <v>861</v>
      </c>
      <c r="E207" s="2" t="s">
        <v>862</v>
      </c>
      <c r="F207" s="2" t="s">
        <v>6</v>
      </c>
      <c r="G207" s="2">
        <v>3</v>
      </c>
      <c r="H207" s="2">
        <v>8</v>
      </c>
      <c r="I207" s="3">
        <v>14000</v>
      </c>
      <c r="J207" s="3">
        <v>18500</v>
      </c>
      <c r="K207" s="3">
        <f t="shared" si="6"/>
        <v>4500</v>
      </c>
      <c r="L207" s="4">
        <f t="shared" si="7"/>
        <v>0.24324324324324326</v>
      </c>
      <c r="M207" s="2" t="s">
        <v>863</v>
      </c>
      <c r="N207" s="2" t="s">
        <v>864</v>
      </c>
      <c r="O207" s="2" t="s">
        <v>23</v>
      </c>
    </row>
    <row r="208" spans="1:15" x14ac:dyDescent="0.3">
      <c r="A208" s="5" t="s">
        <v>865</v>
      </c>
      <c r="B208" s="5" t="s">
        <v>816</v>
      </c>
      <c r="C208" s="5" t="s">
        <v>851</v>
      </c>
      <c r="D208" s="5" t="s">
        <v>866</v>
      </c>
      <c r="E208" s="5" t="s">
        <v>867</v>
      </c>
      <c r="F208" s="5" t="s">
        <v>6</v>
      </c>
      <c r="G208" s="5">
        <v>3</v>
      </c>
      <c r="H208" s="5">
        <v>8</v>
      </c>
      <c r="I208" s="6">
        <v>16500</v>
      </c>
      <c r="J208" s="6">
        <v>21500</v>
      </c>
      <c r="K208" s="6">
        <f t="shared" si="6"/>
        <v>5000</v>
      </c>
      <c r="L208" s="7">
        <f t="shared" si="7"/>
        <v>0.23255813953488372</v>
      </c>
      <c r="M208" s="5" t="s">
        <v>863</v>
      </c>
      <c r="N208" s="5" t="s">
        <v>868</v>
      </c>
      <c r="O208" s="5" t="s">
        <v>23</v>
      </c>
    </row>
    <row r="209" spans="1:15" x14ac:dyDescent="0.3">
      <c r="A209" s="2" t="s">
        <v>869</v>
      </c>
      <c r="B209" s="2" t="s">
        <v>816</v>
      </c>
      <c r="C209" s="2" t="s">
        <v>851</v>
      </c>
      <c r="D209" s="2" t="s">
        <v>870</v>
      </c>
      <c r="E209" s="2" t="s">
        <v>871</v>
      </c>
      <c r="F209" s="2" t="s">
        <v>6</v>
      </c>
      <c r="G209" s="2">
        <v>3</v>
      </c>
      <c r="H209" s="2">
        <v>8</v>
      </c>
      <c r="I209" s="3">
        <v>10500</v>
      </c>
      <c r="J209" s="3">
        <v>14000</v>
      </c>
      <c r="K209" s="3">
        <f t="shared" si="6"/>
        <v>3500</v>
      </c>
      <c r="L209" s="4">
        <f t="shared" si="7"/>
        <v>0.25</v>
      </c>
      <c r="M209" s="2" t="s">
        <v>872</v>
      </c>
      <c r="N209" s="2" t="s">
        <v>873</v>
      </c>
      <c r="O209" s="2" t="s">
        <v>23</v>
      </c>
    </row>
    <row r="210" spans="1:15" x14ac:dyDescent="0.3">
      <c r="A210" s="5" t="s">
        <v>874</v>
      </c>
      <c r="B210" s="5" t="s">
        <v>816</v>
      </c>
      <c r="C210" s="5" t="s">
        <v>875</v>
      </c>
      <c r="D210" s="5" t="s">
        <v>876</v>
      </c>
      <c r="E210" s="5" t="s">
        <v>877</v>
      </c>
      <c r="F210" s="5" t="s">
        <v>6</v>
      </c>
      <c r="G210" s="5">
        <v>10</v>
      </c>
      <c r="H210" s="5">
        <v>30</v>
      </c>
      <c r="I210" s="6">
        <v>1800</v>
      </c>
      <c r="J210" s="6">
        <v>2700</v>
      </c>
      <c r="K210" s="6">
        <f t="shared" si="6"/>
        <v>900</v>
      </c>
      <c r="L210" s="7">
        <f t="shared" si="7"/>
        <v>0.33333333333333331</v>
      </c>
      <c r="M210" s="5" t="s">
        <v>878</v>
      </c>
      <c r="N210" s="5" t="s">
        <v>878</v>
      </c>
      <c r="O210" s="5" t="s">
        <v>23</v>
      </c>
    </row>
    <row r="211" spans="1:15" x14ac:dyDescent="0.3">
      <c r="A211" s="2" t="s">
        <v>879</v>
      </c>
      <c r="B211" s="2" t="s">
        <v>816</v>
      </c>
      <c r="C211" s="2" t="s">
        <v>875</v>
      </c>
      <c r="D211" s="2" t="s">
        <v>880</v>
      </c>
      <c r="E211" s="2" t="s">
        <v>881</v>
      </c>
      <c r="F211" s="2" t="s">
        <v>6</v>
      </c>
      <c r="G211" s="2">
        <v>5</v>
      </c>
      <c r="H211" s="2">
        <v>15</v>
      </c>
      <c r="I211" s="3">
        <v>2500</v>
      </c>
      <c r="J211" s="3">
        <v>3800</v>
      </c>
      <c r="K211" s="3">
        <f t="shared" si="6"/>
        <v>1300</v>
      </c>
      <c r="L211" s="4">
        <f t="shared" si="7"/>
        <v>0.34210526315789475</v>
      </c>
      <c r="M211" s="2" t="s">
        <v>878</v>
      </c>
      <c r="N211" s="2" t="s">
        <v>878</v>
      </c>
      <c r="O211" s="2" t="s">
        <v>23</v>
      </c>
    </row>
    <row r="212" spans="1:15" x14ac:dyDescent="0.3">
      <c r="A212" s="5" t="s">
        <v>882</v>
      </c>
      <c r="B212" s="5" t="s">
        <v>816</v>
      </c>
      <c r="C212" s="5" t="s">
        <v>875</v>
      </c>
      <c r="D212" s="5" t="s">
        <v>883</v>
      </c>
      <c r="E212" s="5" t="s">
        <v>884</v>
      </c>
      <c r="F212" s="5" t="s">
        <v>6</v>
      </c>
      <c r="G212" s="5">
        <v>15</v>
      </c>
      <c r="H212" s="5">
        <v>50</v>
      </c>
      <c r="I212" s="6">
        <v>380</v>
      </c>
      <c r="J212" s="6">
        <v>600</v>
      </c>
      <c r="K212" s="6">
        <f t="shared" si="6"/>
        <v>220</v>
      </c>
      <c r="L212" s="7">
        <f t="shared" si="7"/>
        <v>0.36666666666666664</v>
      </c>
      <c r="M212" s="5" t="s">
        <v>878</v>
      </c>
      <c r="N212" s="5" t="s">
        <v>878</v>
      </c>
      <c r="O212" s="5" t="s">
        <v>23</v>
      </c>
    </row>
    <row r="213" spans="1:15" x14ac:dyDescent="0.3">
      <c r="A213" s="2" t="s">
        <v>885</v>
      </c>
      <c r="B213" s="2" t="s">
        <v>816</v>
      </c>
      <c r="C213" s="2" t="s">
        <v>875</v>
      </c>
      <c r="D213" s="2" t="s">
        <v>886</v>
      </c>
      <c r="E213" s="2" t="s">
        <v>887</v>
      </c>
      <c r="F213" s="2" t="s">
        <v>6</v>
      </c>
      <c r="G213" s="2">
        <v>20</v>
      </c>
      <c r="H213" s="2">
        <v>80</v>
      </c>
      <c r="I213" s="3">
        <v>180</v>
      </c>
      <c r="J213" s="3">
        <v>290</v>
      </c>
      <c r="K213" s="3">
        <f t="shared" si="6"/>
        <v>110</v>
      </c>
      <c r="L213" s="4">
        <f t="shared" si="7"/>
        <v>0.37931034482758619</v>
      </c>
      <c r="M213" s="2" t="s">
        <v>888</v>
      </c>
      <c r="N213" s="2" t="s">
        <v>888</v>
      </c>
      <c r="O213" s="2" t="s">
        <v>23</v>
      </c>
    </row>
    <row r="214" spans="1:15" x14ac:dyDescent="0.3">
      <c r="A214" s="5" t="s">
        <v>889</v>
      </c>
      <c r="B214" s="5" t="s">
        <v>816</v>
      </c>
      <c r="C214" s="5" t="s">
        <v>875</v>
      </c>
      <c r="D214" s="5" t="s">
        <v>890</v>
      </c>
      <c r="E214" s="5" t="s">
        <v>891</v>
      </c>
      <c r="F214" s="5" t="s">
        <v>6</v>
      </c>
      <c r="G214" s="5">
        <v>10</v>
      </c>
      <c r="H214" s="5">
        <v>30</v>
      </c>
      <c r="I214" s="6">
        <v>550</v>
      </c>
      <c r="J214" s="6">
        <v>850</v>
      </c>
      <c r="K214" s="6">
        <f t="shared" si="6"/>
        <v>300</v>
      </c>
      <c r="L214" s="7">
        <f t="shared" si="7"/>
        <v>0.35294117647058826</v>
      </c>
      <c r="M214" s="5" t="s">
        <v>586</v>
      </c>
      <c r="N214" s="5" t="s">
        <v>587</v>
      </c>
      <c r="O214" s="5" t="s">
        <v>23</v>
      </c>
    </row>
    <row r="215" spans="1:15" x14ac:dyDescent="0.3">
      <c r="A215" s="2" t="s">
        <v>892</v>
      </c>
      <c r="B215" s="2" t="s">
        <v>816</v>
      </c>
      <c r="C215" s="2" t="s">
        <v>875</v>
      </c>
      <c r="D215" s="2" t="s">
        <v>893</v>
      </c>
      <c r="E215" s="2" t="s">
        <v>894</v>
      </c>
      <c r="F215" s="2" t="s">
        <v>6</v>
      </c>
      <c r="G215" s="2">
        <v>5</v>
      </c>
      <c r="H215" s="2">
        <v>15</v>
      </c>
      <c r="I215" s="3">
        <v>1800</v>
      </c>
      <c r="J215" s="3">
        <v>2800</v>
      </c>
      <c r="K215" s="3">
        <f t="shared" si="6"/>
        <v>1000</v>
      </c>
      <c r="L215" s="4">
        <f t="shared" si="7"/>
        <v>0.35714285714285715</v>
      </c>
      <c r="M215" s="2" t="s">
        <v>492</v>
      </c>
      <c r="N215" s="2" t="s">
        <v>488</v>
      </c>
      <c r="O215" s="2" t="s">
        <v>23</v>
      </c>
    </row>
    <row r="216" spans="1:15" x14ac:dyDescent="0.3">
      <c r="A216" s="5" t="s">
        <v>895</v>
      </c>
      <c r="B216" s="5" t="s">
        <v>816</v>
      </c>
      <c r="C216" s="5" t="s">
        <v>875</v>
      </c>
      <c r="D216" s="5" t="s">
        <v>896</v>
      </c>
      <c r="E216" s="5" t="s">
        <v>897</v>
      </c>
      <c r="F216" s="5" t="s">
        <v>6</v>
      </c>
      <c r="G216" s="5">
        <v>3</v>
      </c>
      <c r="H216" s="5">
        <v>10</v>
      </c>
      <c r="I216" s="6">
        <v>5500</v>
      </c>
      <c r="J216" s="6">
        <v>8000</v>
      </c>
      <c r="K216" s="6">
        <f t="shared" si="6"/>
        <v>2500</v>
      </c>
      <c r="L216" s="7">
        <f t="shared" si="7"/>
        <v>0.3125</v>
      </c>
      <c r="M216" s="5" t="s">
        <v>59</v>
      </c>
      <c r="N216" s="5" t="s">
        <v>60</v>
      </c>
      <c r="O216" s="5" t="s">
        <v>23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A426-9180-49E2-AFBD-3EE2053E539E}">
  <dimension ref="A1:AJ215"/>
  <sheetViews>
    <sheetView topLeftCell="N189" zoomScaleNormal="100" zoomScaleSheetLayoutView="40" workbookViewId="0">
      <selection sqref="A1:AJ215"/>
    </sheetView>
  </sheetViews>
  <sheetFormatPr defaultRowHeight="14.4" x14ac:dyDescent="0.3"/>
  <cols>
    <col min="2" max="2" width="24.21875" bestFit="1" customWidth="1"/>
    <col min="3" max="3" width="29.77734375" bestFit="1" customWidth="1"/>
    <col min="5" max="6" width="10.109375" bestFit="1" customWidth="1"/>
  </cols>
  <sheetData>
    <row r="1" spans="1:36" ht="41.4" x14ac:dyDescent="0.3">
      <c r="A1" s="1" t="s">
        <v>1</v>
      </c>
      <c r="B1" s="1" t="s">
        <v>2</v>
      </c>
      <c r="C1" s="1" t="s">
        <v>4</v>
      </c>
      <c r="D1" s="1" t="s">
        <v>2467</v>
      </c>
      <c r="E1" s="1" t="s">
        <v>9</v>
      </c>
      <c r="F1" s="1" t="s">
        <v>10</v>
      </c>
      <c r="G1" s="13">
        <v>46023</v>
      </c>
      <c r="H1" s="13">
        <v>46024</v>
      </c>
      <c r="I1" s="13">
        <v>46025</v>
      </c>
      <c r="J1" s="13">
        <v>46026</v>
      </c>
      <c r="K1" s="13">
        <v>46027</v>
      </c>
      <c r="L1" s="13">
        <v>46028</v>
      </c>
      <c r="M1" s="13">
        <v>46029</v>
      </c>
      <c r="N1" s="13">
        <v>46030</v>
      </c>
      <c r="O1" s="13">
        <v>46031</v>
      </c>
      <c r="P1" s="13">
        <v>46032</v>
      </c>
      <c r="Q1" s="13">
        <v>46033</v>
      </c>
      <c r="R1" s="13">
        <v>46034</v>
      </c>
      <c r="S1" s="13">
        <v>46035</v>
      </c>
      <c r="T1" s="13">
        <v>46036</v>
      </c>
      <c r="U1" s="13">
        <v>46037</v>
      </c>
      <c r="V1" s="13">
        <v>46038</v>
      </c>
      <c r="W1" s="13">
        <v>46039</v>
      </c>
      <c r="X1" s="13">
        <v>46040</v>
      </c>
      <c r="Y1" s="13">
        <v>46041</v>
      </c>
      <c r="Z1" s="13">
        <v>46042</v>
      </c>
      <c r="AA1" s="13">
        <v>46043</v>
      </c>
      <c r="AB1" s="13">
        <v>46044</v>
      </c>
      <c r="AC1" s="13">
        <v>46045</v>
      </c>
      <c r="AD1" s="13">
        <v>46046</v>
      </c>
      <c r="AE1" s="13">
        <v>46047</v>
      </c>
      <c r="AF1" s="13">
        <v>46048</v>
      </c>
      <c r="AG1" s="13">
        <v>46049</v>
      </c>
      <c r="AH1" s="13">
        <v>46050</v>
      </c>
      <c r="AI1" s="13">
        <v>46051</v>
      </c>
      <c r="AJ1" s="13">
        <v>46052</v>
      </c>
    </row>
    <row r="2" spans="1:36" x14ac:dyDescent="0.3">
      <c r="A2" s="2" t="s">
        <v>16</v>
      </c>
      <c r="B2" s="2" t="s">
        <v>17</v>
      </c>
      <c r="C2" s="2" t="s">
        <v>19</v>
      </c>
      <c r="D2" s="2">
        <v>138</v>
      </c>
      <c r="E2" s="3">
        <v>75000</v>
      </c>
      <c r="F2" s="3">
        <v>95000</v>
      </c>
    </row>
    <row r="3" spans="1:36" x14ac:dyDescent="0.3">
      <c r="A3" s="5" t="s">
        <v>24</v>
      </c>
      <c r="B3" s="5" t="s">
        <v>17</v>
      </c>
      <c r="C3" s="5" t="s">
        <v>25</v>
      </c>
      <c r="D3" s="5">
        <v>74</v>
      </c>
      <c r="E3" s="6">
        <v>55000</v>
      </c>
      <c r="F3" s="6">
        <v>68000</v>
      </c>
    </row>
    <row r="4" spans="1:36" x14ac:dyDescent="0.3">
      <c r="A4" s="2" t="s">
        <v>27</v>
      </c>
      <c r="B4" s="2" t="s">
        <v>17</v>
      </c>
      <c r="C4" s="2" t="s">
        <v>28</v>
      </c>
      <c r="D4" s="2">
        <v>7</v>
      </c>
      <c r="E4" s="3">
        <v>240000</v>
      </c>
      <c r="F4" s="3">
        <v>279000</v>
      </c>
    </row>
    <row r="5" spans="1:36" x14ac:dyDescent="0.3">
      <c r="A5" s="5" t="s">
        <v>32</v>
      </c>
      <c r="B5" s="5" t="s">
        <v>17</v>
      </c>
      <c r="C5" s="5" t="s">
        <v>33</v>
      </c>
      <c r="D5" s="5">
        <v>53</v>
      </c>
      <c r="E5" s="6">
        <v>185000</v>
      </c>
      <c r="F5" s="6">
        <v>215000</v>
      </c>
    </row>
    <row r="6" spans="1:36" x14ac:dyDescent="0.3">
      <c r="A6" s="2" t="s">
        <v>35</v>
      </c>
      <c r="B6" s="2" t="s">
        <v>17</v>
      </c>
      <c r="C6" s="2" t="s">
        <v>36</v>
      </c>
      <c r="D6" s="2">
        <v>65</v>
      </c>
      <c r="E6" s="3">
        <v>42000</v>
      </c>
      <c r="F6" s="3">
        <v>52000</v>
      </c>
    </row>
    <row r="7" spans="1:36" x14ac:dyDescent="0.3">
      <c r="A7" s="5" t="s">
        <v>40</v>
      </c>
      <c r="B7" s="5" t="s">
        <v>17</v>
      </c>
      <c r="C7" s="5" t="s">
        <v>41</v>
      </c>
      <c r="D7" s="5">
        <v>12</v>
      </c>
      <c r="E7" s="6">
        <v>65000</v>
      </c>
      <c r="F7" s="6">
        <v>80000</v>
      </c>
    </row>
    <row r="8" spans="1:36" x14ac:dyDescent="0.3">
      <c r="A8" s="2" t="s">
        <v>43</v>
      </c>
      <c r="B8" s="2" t="s">
        <v>17</v>
      </c>
      <c r="C8" s="2" t="s">
        <v>44</v>
      </c>
      <c r="D8" s="2">
        <v>101</v>
      </c>
      <c r="E8" s="3">
        <v>38000</v>
      </c>
      <c r="F8" s="3">
        <v>47000</v>
      </c>
    </row>
    <row r="9" spans="1:36" x14ac:dyDescent="0.3">
      <c r="A9" s="5" t="s">
        <v>48</v>
      </c>
      <c r="B9" s="5" t="s">
        <v>17</v>
      </c>
      <c r="C9" s="5" t="s">
        <v>49</v>
      </c>
      <c r="D9" s="5">
        <v>96</v>
      </c>
      <c r="E9" s="6">
        <v>82000</v>
      </c>
      <c r="F9" s="6">
        <v>99000</v>
      </c>
    </row>
    <row r="10" spans="1:36" x14ac:dyDescent="0.3">
      <c r="A10" s="2" t="s">
        <v>51</v>
      </c>
      <c r="B10" s="2" t="s">
        <v>17</v>
      </c>
      <c r="C10" s="2" t="s">
        <v>52</v>
      </c>
      <c r="D10" s="2">
        <v>34</v>
      </c>
      <c r="E10" s="3">
        <v>52000</v>
      </c>
      <c r="F10" s="3">
        <v>65000</v>
      </c>
    </row>
    <row r="11" spans="1:36" x14ac:dyDescent="0.3">
      <c r="A11" s="5" t="s">
        <v>56</v>
      </c>
      <c r="B11" s="5" t="s">
        <v>17</v>
      </c>
      <c r="C11" s="5" t="s">
        <v>57</v>
      </c>
      <c r="D11" s="5">
        <v>20</v>
      </c>
      <c r="E11" s="6">
        <v>34000</v>
      </c>
      <c r="F11" s="6">
        <v>42000</v>
      </c>
    </row>
    <row r="12" spans="1:36" x14ac:dyDescent="0.3">
      <c r="A12" s="2" t="s">
        <v>61</v>
      </c>
      <c r="B12" s="2" t="s">
        <v>17</v>
      </c>
      <c r="C12" s="2" t="s">
        <v>63</v>
      </c>
      <c r="D12" s="2">
        <v>118</v>
      </c>
      <c r="E12" s="3">
        <v>115000</v>
      </c>
      <c r="F12" s="3">
        <v>139000</v>
      </c>
    </row>
    <row r="13" spans="1:36" x14ac:dyDescent="0.3">
      <c r="A13" s="5" t="s">
        <v>67</v>
      </c>
      <c r="B13" s="5" t="s">
        <v>17</v>
      </c>
      <c r="C13" s="5" t="s">
        <v>68</v>
      </c>
      <c r="D13" s="5">
        <v>1</v>
      </c>
      <c r="E13" s="6">
        <v>108000</v>
      </c>
      <c r="F13" s="6">
        <v>130000</v>
      </c>
    </row>
    <row r="14" spans="1:36" x14ac:dyDescent="0.3">
      <c r="A14" s="2" t="s">
        <v>72</v>
      </c>
      <c r="B14" s="2" t="s">
        <v>17</v>
      </c>
      <c r="C14" s="2" t="s">
        <v>73</v>
      </c>
      <c r="D14" s="2">
        <v>133</v>
      </c>
      <c r="E14" s="3">
        <v>95000</v>
      </c>
      <c r="F14" s="3">
        <v>115000</v>
      </c>
    </row>
    <row r="15" spans="1:36" x14ac:dyDescent="0.3">
      <c r="A15" s="5" t="s">
        <v>77</v>
      </c>
      <c r="B15" s="5" t="s">
        <v>17</v>
      </c>
      <c r="C15" s="5" t="s">
        <v>78</v>
      </c>
      <c r="D15" s="5">
        <v>62</v>
      </c>
      <c r="E15" s="6">
        <v>105000</v>
      </c>
      <c r="F15" s="6">
        <v>128000</v>
      </c>
    </row>
    <row r="16" spans="1:36" x14ac:dyDescent="0.3">
      <c r="A16" s="2" t="s">
        <v>82</v>
      </c>
      <c r="B16" s="2" t="s">
        <v>17</v>
      </c>
      <c r="C16" s="2" t="s">
        <v>83</v>
      </c>
      <c r="D16" s="2">
        <v>6</v>
      </c>
      <c r="E16" s="3">
        <v>175000</v>
      </c>
      <c r="F16" s="3">
        <v>210000</v>
      </c>
    </row>
    <row r="17" spans="1:6" x14ac:dyDescent="0.3">
      <c r="A17" s="5" t="s">
        <v>85</v>
      </c>
      <c r="B17" s="5" t="s">
        <v>17</v>
      </c>
      <c r="C17" s="5" t="s">
        <v>86</v>
      </c>
      <c r="D17" s="5">
        <v>18</v>
      </c>
      <c r="E17" s="6">
        <v>155000</v>
      </c>
      <c r="F17" s="6">
        <v>185000</v>
      </c>
    </row>
    <row r="18" spans="1:6" x14ac:dyDescent="0.3">
      <c r="A18" s="2" t="s">
        <v>88</v>
      </c>
      <c r="B18" s="2" t="s">
        <v>17</v>
      </c>
      <c r="C18" s="2" t="s">
        <v>89</v>
      </c>
      <c r="D18" s="2">
        <v>40</v>
      </c>
      <c r="E18" s="3">
        <v>290000</v>
      </c>
      <c r="F18" s="3">
        <v>339000</v>
      </c>
    </row>
    <row r="19" spans="1:6" x14ac:dyDescent="0.3">
      <c r="A19" s="5" t="s">
        <v>91</v>
      </c>
      <c r="B19" s="5" t="s">
        <v>17</v>
      </c>
      <c r="C19" s="5" t="s">
        <v>92</v>
      </c>
      <c r="D19" s="5">
        <v>135</v>
      </c>
      <c r="E19" s="6">
        <v>120000</v>
      </c>
      <c r="F19" s="6">
        <v>145000</v>
      </c>
    </row>
    <row r="20" spans="1:6" x14ac:dyDescent="0.3">
      <c r="A20" s="2" t="s">
        <v>96</v>
      </c>
      <c r="B20" s="2" t="s">
        <v>17</v>
      </c>
      <c r="C20" s="2" t="s">
        <v>98</v>
      </c>
      <c r="D20" s="2">
        <v>102</v>
      </c>
      <c r="E20" s="3">
        <v>78000</v>
      </c>
      <c r="F20" s="3">
        <v>98000</v>
      </c>
    </row>
    <row r="21" spans="1:6" x14ac:dyDescent="0.3">
      <c r="A21" s="5" t="s">
        <v>100</v>
      </c>
      <c r="B21" s="5" t="s">
        <v>17</v>
      </c>
      <c r="C21" s="5" t="s">
        <v>101</v>
      </c>
      <c r="D21" s="5">
        <v>89</v>
      </c>
      <c r="E21" s="6">
        <v>150000</v>
      </c>
      <c r="F21" s="6">
        <v>185000</v>
      </c>
    </row>
    <row r="22" spans="1:6" x14ac:dyDescent="0.3">
      <c r="A22" s="2" t="s">
        <v>103</v>
      </c>
      <c r="B22" s="2" t="s">
        <v>17</v>
      </c>
      <c r="C22" s="2" t="s">
        <v>104</v>
      </c>
      <c r="D22" s="2">
        <v>137</v>
      </c>
      <c r="E22" s="3">
        <v>42000</v>
      </c>
      <c r="F22" s="3">
        <v>52000</v>
      </c>
    </row>
    <row r="23" spans="1:6" x14ac:dyDescent="0.3">
      <c r="A23" s="5" t="s">
        <v>108</v>
      </c>
      <c r="B23" s="5" t="s">
        <v>17</v>
      </c>
      <c r="C23" s="5" t="s">
        <v>109</v>
      </c>
      <c r="D23" s="5">
        <v>17</v>
      </c>
      <c r="E23" s="6">
        <v>68000</v>
      </c>
      <c r="F23" s="6">
        <v>85000</v>
      </c>
    </row>
    <row r="24" spans="1:6" x14ac:dyDescent="0.3">
      <c r="A24" s="2" t="s">
        <v>111</v>
      </c>
      <c r="B24" s="2" t="s">
        <v>17</v>
      </c>
      <c r="C24" s="2" t="s">
        <v>112</v>
      </c>
      <c r="D24" s="2">
        <v>102</v>
      </c>
      <c r="E24" s="3">
        <v>28000</v>
      </c>
      <c r="F24" s="3">
        <v>36000</v>
      </c>
    </row>
    <row r="25" spans="1:6" x14ac:dyDescent="0.3">
      <c r="A25" s="5" t="s">
        <v>116</v>
      </c>
      <c r="B25" s="5" t="s">
        <v>17</v>
      </c>
      <c r="C25" s="5" t="s">
        <v>117</v>
      </c>
      <c r="D25" s="5">
        <v>6</v>
      </c>
      <c r="E25" s="6">
        <v>55000</v>
      </c>
      <c r="F25" s="6">
        <v>68000</v>
      </c>
    </row>
    <row r="26" spans="1:6" x14ac:dyDescent="0.3">
      <c r="A26" s="2" t="s">
        <v>119</v>
      </c>
      <c r="B26" s="2" t="s">
        <v>17</v>
      </c>
      <c r="C26" s="2" t="s">
        <v>120</v>
      </c>
      <c r="D26" s="2">
        <v>63</v>
      </c>
      <c r="E26" s="3">
        <v>195000</v>
      </c>
      <c r="F26" s="3">
        <v>239000</v>
      </c>
    </row>
    <row r="27" spans="1:6" x14ac:dyDescent="0.3">
      <c r="A27" s="5" t="s">
        <v>124</v>
      </c>
      <c r="B27" s="5" t="s">
        <v>17</v>
      </c>
      <c r="C27" s="5" t="s">
        <v>125</v>
      </c>
      <c r="D27" s="5">
        <v>144</v>
      </c>
      <c r="E27" s="6">
        <v>125000</v>
      </c>
      <c r="F27" s="6">
        <v>155000</v>
      </c>
    </row>
    <row r="28" spans="1:6" x14ac:dyDescent="0.3">
      <c r="A28" s="2" t="s">
        <v>129</v>
      </c>
      <c r="B28" s="2" t="s">
        <v>17</v>
      </c>
      <c r="C28" s="2" t="s">
        <v>131</v>
      </c>
      <c r="D28" s="2">
        <v>71</v>
      </c>
      <c r="E28" s="3">
        <v>95000</v>
      </c>
      <c r="F28" s="3">
        <v>118000</v>
      </c>
    </row>
    <row r="29" spans="1:6" x14ac:dyDescent="0.3">
      <c r="A29" s="5" t="s">
        <v>134</v>
      </c>
      <c r="B29" s="5" t="s">
        <v>17</v>
      </c>
      <c r="C29" s="5" t="s">
        <v>135</v>
      </c>
      <c r="D29" s="5">
        <v>109</v>
      </c>
      <c r="E29" s="6">
        <v>75000</v>
      </c>
      <c r="F29" s="6">
        <v>94000</v>
      </c>
    </row>
    <row r="30" spans="1:6" x14ac:dyDescent="0.3">
      <c r="A30" s="2" t="s">
        <v>137</v>
      </c>
      <c r="B30" s="2" t="s">
        <v>17</v>
      </c>
      <c r="C30" s="2" t="s">
        <v>138</v>
      </c>
      <c r="D30" s="2">
        <v>144</v>
      </c>
      <c r="E30" s="3">
        <v>80000</v>
      </c>
      <c r="F30" s="3">
        <v>99000</v>
      </c>
    </row>
    <row r="31" spans="1:6" x14ac:dyDescent="0.3">
      <c r="A31" s="5" t="s">
        <v>142</v>
      </c>
      <c r="B31" s="5" t="s">
        <v>17</v>
      </c>
      <c r="C31" s="5" t="s">
        <v>143</v>
      </c>
      <c r="D31" s="5">
        <v>24</v>
      </c>
      <c r="E31" s="6">
        <v>65000</v>
      </c>
      <c r="F31" s="6">
        <v>80000</v>
      </c>
    </row>
    <row r="32" spans="1:6" x14ac:dyDescent="0.3">
      <c r="A32" s="2" t="s">
        <v>145</v>
      </c>
      <c r="B32" s="2" t="s">
        <v>17</v>
      </c>
      <c r="C32" s="2" t="s">
        <v>146</v>
      </c>
      <c r="D32" s="2">
        <v>71</v>
      </c>
      <c r="E32" s="3">
        <v>72000</v>
      </c>
      <c r="F32" s="3">
        <v>90000</v>
      </c>
    </row>
    <row r="33" spans="1:6" x14ac:dyDescent="0.3">
      <c r="A33" s="5" t="s">
        <v>148</v>
      </c>
      <c r="B33" s="5" t="s">
        <v>17</v>
      </c>
      <c r="C33" s="5" t="s">
        <v>149</v>
      </c>
      <c r="D33" s="5">
        <v>143</v>
      </c>
      <c r="E33" s="6">
        <v>82000</v>
      </c>
      <c r="F33" s="6">
        <v>102000</v>
      </c>
    </row>
    <row r="34" spans="1:6" x14ac:dyDescent="0.3">
      <c r="A34" s="2" t="s">
        <v>153</v>
      </c>
      <c r="B34" s="2" t="s">
        <v>17</v>
      </c>
      <c r="C34" s="2" t="s">
        <v>154</v>
      </c>
      <c r="D34" s="2">
        <v>28</v>
      </c>
      <c r="E34" s="3">
        <v>45000</v>
      </c>
      <c r="F34" s="3">
        <v>56000</v>
      </c>
    </row>
    <row r="35" spans="1:6" x14ac:dyDescent="0.3">
      <c r="A35" s="5" t="s">
        <v>156</v>
      </c>
      <c r="B35" s="5" t="s">
        <v>17</v>
      </c>
      <c r="C35" s="5" t="s">
        <v>157</v>
      </c>
      <c r="D35" s="5">
        <v>126</v>
      </c>
      <c r="E35" s="6">
        <v>75000</v>
      </c>
      <c r="F35" s="6">
        <v>95000</v>
      </c>
    </row>
    <row r="36" spans="1:6" x14ac:dyDescent="0.3">
      <c r="A36" s="2" t="s">
        <v>159</v>
      </c>
      <c r="B36" s="2" t="s">
        <v>17</v>
      </c>
      <c r="C36" s="2" t="s">
        <v>160</v>
      </c>
      <c r="D36" s="2">
        <v>79</v>
      </c>
      <c r="E36" s="3">
        <v>22000</v>
      </c>
      <c r="F36" s="3">
        <v>28000</v>
      </c>
    </row>
    <row r="37" spans="1:6" x14ac:dyDescent="0.3">
      <c r="A37" s="5" t="s">
        <v>163</v>
      </c>
      <c r="B37" s="5" t="s">
        <v>17</v>
      </c>
      <c r="C37" s="5" t="s">
        <v>164</v>
      </c>
      <c r="D37" s="5">
        <v>33</v>
      </c>
      <c r="E37" s="6">
        <v>3500</v>
      </c>
      <c r="F37" s="6">
        <v>5000</v>
      </c>
    </row>
    <row r="38" spans="1:6" x14ac:dyDescent="0.3">
      <c r="A38" s="2" t="s">
        <v>168</v>
      </c>
      <c r="B38" s="2" t="s">
        <v>169</v>
      </c>
      <c r="C38" s="2" t="s">
        <v>171</v>
      </c>
      <c r="D38" s="2">
        <v>79</v>
      </c>
      <c r="E38" s="3">
        <v>3800</v>
      </c>
      <c r="F38" s="3">
        <v>4800</v>
      </c>
    </row>
    <row r="39" spans="1:6" x14ac:dyDescent="0.3">
      <c r="A39" s="5" t="s">
        <v>175</v>
      </c>
      <c r="B39" s="5" t="s">
        <v>169</v>
      </c>
      <c r="C39" s="5" t="s">
        <v>176</v>
      </c>
      <c r="D39" s="5">
        <v>79</v>
      </c>
      <c r="E39" s="6">
        <v>800</v>
      </c>
      <c r="F39" s="6">
        <v>1050</v>
      </c>
    </row>
    <row r="40" spans="1:6" x14ac:dyDescent="0.3">
      <c r="A40" s="2" t="s">
        <v>178</v>
      </c>
      <c r="B40" s="2" t="s">
        <v>169</v>
      </c>
      <c r="C40" s="2" t="s">
        <v>179</v>
      </c>
      <c r="D40" s="2">
        <v>64</v>
      </c>
      <c r="E40" s="3">
        <v>1100</v>
      </c>
      <c r="F40" s="3">
        <v>1400</v>
      </c>
    </row>
    <row r="41" spans="1:6" x14ac:dyDescent="0.3">
      <c r="A41" s="5" t="s">
        <v>183</v>
      </c>
      <c r="B41" s="5" t="s">
        <v>169</v>
      </c>
      <c r="C41" s="5" t="s">
        <v>184</v>
      </c>
      <c r="D41" s="5">
        <v>129</v>
      </c>
      <c r="E41" s="6">
        <v>580</v>
      </c>
      <c r="F41" s="6">
        <v>750</v>
      </c>
    </row>
    <row r="42" spans="1:6" x14ac:dyDescent="0.3">
      <c r="A42" s="2" t="s">
        <v>186</v>
      </c>
      <c r="B42" s="2" t="s">
        <v>169</v>
      </c>
      <c r="C42" s="2" t="s">
        <v>187</v>
      </c>
      <c r="D42" s="2">
        <v>20</v>
      </c>
      <c r="E42" s="3">
        <v>600</v>
      </c>
      <c r="F42" s="3">
        <v>780</v>
      </c>
    </row>
    <row r="43" spans="1:6" x14ac:dyDescent="0.3">
      <c r="A43" s="5" t="s">
        <v>190</v>
      </c>
      <c r="B43" s="5" t="s">
        <v>169</v>
      </c>
      <c r="C43" s="5" t="s">
        <v>191</v>
      </c>
      <c r="D43" s="5">
        <v>35</v>
      </c>
      <c r="E43" s="6">
        <v>125</v>
      </c>
      <c r="F43" s="6">
        <v>165</v>
      </c>
    </row>
    <row r="44" spans="1:6" x14ac:dyDescent="0.3">
      <c r="A44" s="2" t="s">
        <v>193</v>
      </c>
      <c r="B44" s="2" t="s">
        <v>169</v>
      </c>
      <c r="C44" s="2" t="s">
        <v>194</v>
      </c>
      <c r="D44" s="2">
        <v>62</v>
      </c>
      <c r="E44" s="3">
        <v>2000</v>
      </c>
      <c r="F44" s="3">
        <v>2550</v>
      </c>
    </row>
    <row r="45" spans="1:6" x14ac:dyDescent="0.3">
      <c r="A45" s="5" t="s">
        <v>198</v>
      </c>
      <c r="B45" s="5" t="s">
        <v>169</v>
      </c>
      <c r="C45" s="5" t="s">
        <v>199</v>
      </c>
      <c r="D45" s="5">
        <v>80</v>
      </c>
      <c r="E45" s="6">
        <v>430</v>
      </c>
      <c r="F45" s="6">
        <v>560</v>
      </c>
    </row>
    <row r="46" spans="1:6" x14ac:dyDescent="0.3">
      <c r="A46" s="2" t="s">
        <v>201</v>
      </c>
      <c r="B46" s="2" t="s">
        <v>169</v>
      </c>
      <c r="C46" s="2" t="s">
        <v>202</v>
      </c>
      <c r="D46" s="2">
        <v>30</v>
      </c>
      <c r="E46" s="3">
        <v>1900</v>
      </c>
      <c r="F46" s="3">
        <v>2450</v>
      </c>
    </row>
    <row r="47" spans="1:6" x14ac:dyDescent="0.3">
      <c r="A47" s="5" t="s">
        <v>206</v>
      </c>
      <c r="B47" s="5" t="s">
        <v>169</v>
      </c>
      <c r="C47" s="5" t="s">
        <v>207</v>
      </c>
      <c r="D47" s="5">
        <v>7</v>
      </c>
      <c r="E47" s="6">
        <v>1100</v>
      </c>
      <c r="F47" s="6">
        <v>1450</v>
      </c>
    </row>
    <row r="48" spans="1:6" x14ac:dyDescent="0.3">
      <c r="A48" s="2" t="s">
        <v>211</v>
      </c>
      <c r="B48" s="2" t="s">
        <v>169</v>
      </c>
      <c r="C48" s="2" t="s">
        <v>213</v>
      </c>
      <c r="D48" s="2">
        <v>104</v>
      </c>
      <c r="E48" s="3">
        <v>65</v>
      </c>
      <c r="F48" s="3">
        <v>95</v>
      </c>
    </row>
    <row r="49" spans="1:6" x14ac:dyDescent="0.3">
      <c r="A49" s="5" t="s">
        <v>215</v>
      </c>
      <c r="B49" s="5" t="s">
        <v>169</v>
      </c>
      <c r="C49" s="5" t="s">
        <v>216</v>
      </c>
      <c r="D49" s="5">
        <v>129</v>
      </c>
      <c r="E49" s="6">
        <v>70</v>
      </c>
      <c r="F49" s="6">
        <v>100</v>
      </c>
    </row>
    <row r="50" spans="1:6" x14ac:dyDescent="0.3">
      <c r="A50" s="2" t="s">
        <v>220</v>
      </c>
      <c r="B50" s="2" t="s">
        <v>169</v>
      </c>
      <c r="C50" s="2" t="s">
        <v>221</v>
      </c>
      <c r="D50" s="2">
        <v>77</v>
      </c>
      <c r="E50" s="3">
        <v>95</v>
      </c>
      <c r="F50" s="3">
        <v>135</v>
      </c>
    </row>
    <row r="51" spans="1:6" x14ac:dyDescent="0.3">
      <c r="A51" s="5" t="s">
        <v>223</v>
      </c>
      <c r="B51" s="5" t="s">
        <v>169</v>
      </c>
      <c r="C51" s="5" t="s">
        <v>224</v>
      </c>
      <c r="D51" s="5">
        <v>45</v>
      </c>
      <c r="E51" s="6">
        <v>75</v>
      </c>
      <c r="F51" s="6">
        <v>110</v>
      </c>
    </row>
    <row r="52" spans="1:6" x14ac:dyDescent="0.3">
      <c r="A52" s="2" t="s">
        <v>228</v>
      </c>
      <c r="B52" s="2" t="s">
        <v>169</v>
      </c>
      <c r="C52" s="2" t="s">
        <v>229</v>
      </c>
      <c r="D52" s="2">
        <v>134</v>
      </c>
      <c r="E52" s="3">
        <v>55</v>
      </c>
      <c r="F52" s="3">
        <v>80</v>
      </c>
    </row>
    <row r="53" spans="1:6" x14ac:dyDescent="0.3">
      <c r="A53" s="5" t="s">
        <v>231</v>
      </c>
      <c r="B53" s="5" t="s">
        <v>169</v>
      </c>
      <c r="C53" s="5" t="s">
        <v>232</v>
      </c>
      <c r="D53" s="5">
        <v>47</v>
      </c>
      <c r="E53" s="6">
        <v>65</v>
      </c>
      <c r="F53" s="6">
        <v>90</v>
      </c>
    </row>
    <row r="54" spans="1:6" x14ac:dyDescent="0.3">
      <c r="A54" s="2" t="s">
        <v>234</v>
      </c>
      <c r="B54" s="2" t="s">
        <v>169</v>
      </c>
      <c r="C54" s="2" t="s">
        <v>235</v>
      </c>
      <c r="D54" s="2">
        <v>120</v>
      </c>
      <c r="E54" s="3">
        <v>75</v>
      </c>
      <c r="F54" s="3">
        <v>105</v>
      </c>
    </row>
    <row r="55" spans="1:6" x14ac:dyDescent="0.3">
      <c r="A55" s="5" t="s">
        <v>237</v>
      </c>
      <c r="B55" s="5" t="s">
        <v>169</v>
      </c>
      <c r="C55" s="5" t="s">
        <v>238</v>
      </c>
      <c r="D55" s="5">
        <v>84</v>
      </c>
      <c r="E55" s="6">
        <v>50</v>
      </c>
      <c r="F55" s="6">
        <v>72</v>
      </c>
    </row>
    <row r="56" spans="1:6" x14ac:dyDescent="0.3">
      <c r="A56" s="2" t="s">
        <v>240</v>
      </c>
      <c r="B56" s="2" t="s">
        <v>169</v>
      </c>
      <c r="C56" s="2" t="s">
        <v>241</v>
      </c>
      <c r="D56" s="2">
        <v>131</v>
      </c>
      <c r="E56" s="3">
        <v>70</v>
      </c>
      <c r="F56" s="3">
        <v>100</v>
      </c>
    </row>
    <row r="57" spans="1:6" x14ac:dyDescent="0.3">
      <c r="A57" s="5" t="s">
        <v>243</v>
      </c>
      <c r="B57" s="5" t="s">
        <v>169</v>
      </c>
      <c r="C57" s="5" t="s">
        <v>244</v>
      </c>
      <c r="D57" s="5">
        <v>115</v>
      </c>
      <c r="E57" s="6">
        <v>58</v>
      </c>
      <c r="F57" s="6">
        <v>84</v>
      </c>
    </row>
    <row r="58" spans="1:6" x14ac:dyDescent="0.3">
      <c r="A58" s="2" t="s">
        <v>246</v>
      </c>
      <c r="B58" s="2" t="s">
        <v>169</v>
      </c>
      <c r="C58" s="2" t="s">
        <v>248</v>
      </c>
      <c r="D58" s="2">
        <v>85</v>
      </c>
      <c r="E58" s="3">
        <v>1350</v>
      </c>
      <c r="F58" s="3">
        <v>1750</v>
      </c>
    </row>
    <row r="59" spans="1:6" x14ac:dyDescent="0.3">
      <c r="A59" s="5" t="s">
        <v>252</v>
      </c>
      <c r="B59" s="5" t="s">
        <v>169</v>
      </c>
      <c r="C59" s="5" t="s">
        <v>253</v>
      </c>
      <c r="D59" s="5">
        <v>133</v>
      </c>
      <c r="E59" s="6">
        <v>580</v>
      </c>
      <c r="F59" s="6">
        <v>780</v>
      </c>
    </row>
    <row r="60" spans="1:6" x14ac:dyDescent="0.3">
      <c r="A60" s="2" t="s">
        <v>257</v>
      </c>
      <c r="B60" s="2" t="s">
        <v>169</v>
      </c>
      <c r="C60" s="2" t="s">
        <v>258</v>
      </c>
      <c r="D60" s="2">
        <v>86</v>
      </c>
      <c r="E60" s="3">
        <v>650</v>
      </c>
      <c r="F60" s="3">
        <v>870</v>
      </c>
    </row>
    <row r="61" spans="1:6" x14ac:dyDescent="0.3">
      <c r="A61" s="5" t="s">
        <v>262</v>
      </c>
      <c r="B61" s="5" t="s">
        <v>169</v>
      </c>
      <c r="C61" s="5" t="s">
        <v>263</v>
      </c>
      <c r="D61" s="5">
        <v>17</v>
      </c>
      <c r="E61" s="6">
        <v>350</v>
      </c>
      <c r="F61" s="6">
        <v>480</v>
      </c>
    </row>
    <row r="62" spans="1:6" x14ac:dyDescent="0.3">
      <c r="A62" s="2" t="s">
        <v>267</v>
      </c>
      <c r="B62" s="2" t="s">
        <v>169</v>
      </c>
      <c r="C62" s="2" t="s">
        <v>268</v>
      </c>
      <c r="D62" s="2">
        <v>5</v>
      </c>
      <c r="E62" s="3">
        <v>480</v>
      </c>
      <c r="F62" s="3">
        <v>630</v>
      </c>
    </row>
    <row r="63" spans="1:6" x14ac:dyDescent="0.3">
      <c r="A63" s="5" t="s">
        <v>271</v>
      </c>
      <c r="B63" s="5" t="s">
        <v>169</v>
      </c>
      <c r="C63" s="5" t="s">
        <v>272</v>
      </c>
      <c r="D63" s="5">
        <v>26</v>
      </c>
      <c r="E63" s="6">
        <v>120</v>
      </c>
      <c r="F63" s="6">
        <v>165</v>
      </c>
    </row>
    <row r="64" spans="1:6" x14ac:dyDescent="0.3">
      <c r="A64" s="2" t="s">
        <v>276</v>
      </c>
      <c r="B64" s="2" t="s">
        <v>169</v>
      </c>
      <c r="C64" s="2" t="s">
        <v>277</v>
      </c>
      <c r="D64" s="2">
        <v>121</v>
      </c>
      <c r="E64" s="3">
        <v>120</v>
      </c>
      <c r="F64" s="3">
        <v>165</v>
      </c>
    </row>
    <row r="65" spans="1:6" x14ac:dyDescent="0.3">
      <c r="A65" s="5" t="s">
        <v>281</v>
      </c>
      <c r="B65" s="5" t="s">
        <v>169</v>
      </c>
      <c r="C65" s="5" t="s">
        <v>282</v>
      </c>
      <c r="D65" s="5">
        <v>124</v>
      </c>
      <c r="E65" s="6">
        <v>150</v>
      </c>
      <c r="F65" s="6">
        <v>210</v>
      </c>
    </row>
    <row r="66" spans="1:6" x14ac:dyDescent="0.3">
      <c r="A66" s="2" t="s">
        <v>285</v>
      </c>
      <c r="B66" s="2" t="s">
        <v>169</v>
      </c>
      <c r="C66" s="2" t="s">
        <v>286</v>
      </c>
      <c r="D66" s="2">
        <v>66</v>
      </c>
      <c r="E66" s="3">
        <v>180</v>
      </c>
      <c r="F66" s="3">
        <v>240</v>
      </c>
    </row>
    <row r="67" spans="1:6" x14ac:dyDescent="0.3">
      <c r="A67" s="5" t="s">
        <v>290</v>
      </c>
      <c r="B67" s="5" t="s">
        <v>169</v>
      </c>
      <c r="C67" s="5" t="s">
        <v>291</v>
      </c>
      <c r="D67" s="5">
        <v>122</v>
      </c>
      <c r="E67" s="6">
        <v>250</v>
      </c>
      <c r="F67" s="6">
        <v>340</v>
      </c>
    </row>
    <row r="68" spans="1:6" x14ac:dyDescent="0.3">
      <c r="A68" s="2" t="s">
        <v>295</v>
      </c>
      <c r="B68" s="2" t="s">
        <v>169</v>
      </c>
      <c r="C68" s="2" t="s">
        <v>297</v>
      </c>
      <c r="D68" s="2">
        <v>64</v>
      </c>
      <c r="E68" s="3">
        <v>185</v>
      </c>
      <c r="F68" s="3">
        <v>245</v>
      </c>
    </row>
    <row r="69" spans="1:6" x14ac:dyDescent="0.3">
      <c r="A69" s="5" t="s">
        <v>299</v>
      </c>
      <c r="B69" s="5" t="s">
        <v>169</v>
      </c>
      <c r="C69" s="5" t="s">
        <v>300</v>
      </c>
      <c r="D69" s="5">
        <v>148</v>
      </c>
      <c r="E69" s="6">
        <v>1200</v>
      </c>
      <c r="F69" s="6">
        <v>1550</v>
      </c>
    </row>
    <row r="70" spans="1:6" x14ac:dyDescent="0.3">
      <c r="A70" s="2" t="s">
        <v>302</v>
      </c>
      <c r="B70" s="2" t="s">
        <v>169</v>
      </c>
      <c r="C70" s="2" t="s">
        <v>303</v>
      </c>
      <c r="D70" s="2">
        <v>65</v>
      </c>
      <c r="E70" s="3">
        <v>180</v>
      </c>
      <c r="F70" s="3">
        <v>240</v>
      </c>
    </row>
    <row r="71" spans="1:6" x14ac:dyDescent="0.3">
      <c r="A71" s="5" t="s">
        <v>307</v>
      </c>
      <c r="B71" s="5" t="s">
        <v>169</v>
      </c>
      <c r="C71" s="5" t="s">
        <v>308</v>
      </c>
      <c r="D71" s="5">
        <v>43</v>
      </c>
      <c r="E71" s="6">
        <v>280</v>
      </c>
      <c r="F71" s="6">
        <v>380</v>
      </c>
    </row>
    <row r="72" spans="1:6" x14ac:dyDescent="0.3">
      <c r="A72" s="2" t="s">
        <v>312</v>
      </c>
      <c r="B72" s="2" t="s">
        <v>169</v>
      </c>
      <c r="C72" s="2" t="s">
        <v>313</v>
      </c>
      <c r="D72" s="2">
        <v>47</v>
      </c>
      <c r="E72" s="3">
        <v>350</v>
      </c>
      <c r="F72" s="3">
        <v>480</v>
      </c>
    </row>
    <row r="73" spans="1:6" x14ac:dyDescent="0.3">
      <c r="A73" s="5" t="s">
        <v>317</v>
      </c>
      <c r="B73" s="5" t="s">
        <v>169</v>
      </c>
      <c r="C73" s="5" t="s">
        <v>318</v>
      </c>
      <c r="D73" s="5">
        <v>47</v>
      </c>
      <c r="E73" s="6">
        <v>680</v>
      </c>
      <c r="F73" s="6">
        <v>900</v>
      </c>
    </row>
    <row r="74" spans="1:6" x14ac:dyDescent="0.3">
      <c r="A74" s="2" t="s">
        <v>322</v>
      </c>
      <c r="B74" s="2" t="s">
        <v>169</v>
      </c>
      <c r="C74" s="2" t="s">
        <v>323</v>
      </c>
      <c r="D74" s="2">
        <v>131</v>
      </c>
      <c r="E74" s="3">
        <v>750</v>
      </c>
      <c r="F74" s="3">
        <v>980</v>
      </c>
    </row>
    <row r="75" spans="1:6" x14ac:dyDescent="0.3">
      <c r="A75" s="5" t="s">
        <v>325</v>
      </c>
      <c r="B75" s="5" t="s">
        <v>169</v>
      </c>
      <c r="C75" s="5" t="s">
        <v>326</v>
      </c>
      <c r="D75" s="5">
        <v>72</v>
      </c>
      <c r="E75" s="6">
        <v>280</v>
      </c>
      <c r="F75" s="6">
        <v>380</v>
      </c>
    </row>
    <row r="76" spans="1:6" x14ac:dyDescent="0.3">
      <c r="A76" s="2" t="s">
        <v>329</v>
      </c>
      <c r="B76" s="2" t="s">
        <v>330</v>
      </c>
      <c r="C76" s="2" t="s">
        <v>332</v>
      </c>
      <c r="D76" s="2">
        <v>107</v>
      </c>
      <c r="E76" s="3">
        <v>1200</v>
      </c>
      <c r="F76" s="3">
        <v>1800</v>
      </c>
    </row>
    <row r="77" spans="1:6" x14ac:dyDescent="0.3">
      <c r="A77" s="5" t="s">
        <v>335</v>
      </c>
      <c r="B77" s="5" t="s">
        <v>330</v>
      </c>
      <c r="C77" s="5" t="s">
        <v>336</v>
      </c>
      <c r="D77" s="5">
        <v>57</v>
      </c>
      <c r="E77" s="6">
        <v>1500</v>
      </c>
      <c r="F77" s="6">
        <v>2200</v>
      </c>
    </row>
    <row r="78" spans="1:6" x14ac:dyDescent="0.3">
      <c r="A78" s="2" t="s">
        <v>339</v>
      </c>
      <c r="B78" s="2" t="s">
        <v>330</v>
      </c>
      <c r="C78" s="2" t="s">
        <v>340</v>
      </c>
      <c r="D78" s="2">
        <v>54</v>
      </c>
      <c r="E78" s="3">
        <v>2500</v>
      </c>
      <c r="F78" s="3">
        <v>3800</v>
      </c>
    </row>
    <row r="79" spans="1:6" x14ac:dyDescent="0.3">
      <c r="A79" s="5" t="s">
        <v>343</v>
      </c>
      <c r="B79" s="5" t="s">
        <v>330</v>
      </c>
      <c r="C79" s="5" t="s">
        <v>344</v>
      </c>
      <c r="D79" s="5">
        <v>122</v>
      </c>
      <c r="E79" s="6">
        <v>1800</v>
      </c>
      <c r="F79" s="6">
        <v>2700</v>
      </c>
    </row>
    <row r="80" spans="1:6" x14ac:dyDescent="0.3">
      <c r="A80" s="2" t="s">
        <v>348</v>
      </c>
      <c r="B80" s="2" t="s">
        <v>330</v>
      </c>
      <c r="C80" s="2" t="s">
        <v>349</v>
      </c>
      <c r="D80" s="2">
        <v>94</v>
      </c>
      <c r="E80" s="3">
        <v>2200</v>
      </c>
      <c r="F80" s="3">
        <v>3200</v>
      </c>
    </row>
    <row r="81" spans="1:6" x14ac:dyDescent="0.3">
      <c r="A81" s="5" t="s">
        <v>353</v>
      </c>
      <c r="B81" s="5" t="s">
        <v>330</v>
      </c>
      <c r="C81" s="5" t="s">
        <v>354</v>
      </c>
      <c r="D81" s="5">
        <v>110</v>
      </c>
      <c r="E81" s="6">
        <v>1400</v>
      </c>
      <c r="F81" s="6">
        <v>2100</v>
      </c>
    </row>
    <row r="82" spans="1:6" x14ac:dyDescent="0.3">
      <c r="A82" s="2" t="s">
        <v>357</v>
      </c>
      <c r="B82" s="2" t="s">
        <v>330</v>
      </c>
      <c r="C82" s="2" t="s">
        <v>358</v>
      </c>
      <c r="D82" s="2">
        <v>76</v>
      </c>
      <c r="E82" s="3">
        <v>1400</v>
      </c>
      <c r="F82" s="3">
        <v>2100</v>
      </c>
    </row>
    <row r="83" spans="1:6" x14ac:dyDescent="0.3">
      <c r="A83" s="5" t="s">
        <v>360</v>
      </c>
      <c r="B83" s="5" t="s">
        <v>330</v>
      </c>
      <c r="C83" s="5" t="s">
        <v>361</v>
      </c>
      <c r="D83" s="5">
        <v>130</v>
      </c>
      <c r="E83" s="6">
        <v>1600</v>
      </c>
      <c r="F83" s="6">
        <v>2400</v>
      </c>
    </row>
    <row r="84" spans="1:6" x14ac:dyDescent="0.3">
      <c r="A84" s="2" t="s">
        <v>364</v>
      </c>
      <c r="B84" s="2" t="s">
        <v>330</v>
      </c>
      <c r="C84" s="2" t="s">
        <v>365</v>
      </c>
      <c r="D84" s="2">
        <v>97</v>
      </c>
      <c r="E84" s="3">
        <v>650</v>
      </c>
      <c r="F84" s="3">
        <v>1000</v>
      </c>
    </row>
    <row r="85" spans="1:6" x14ac:dyDescent="0.3">
      <c r="A85" s="5" t="s">
        <v>368</v>
      </c>
      <c r="B85" s="5" t="s">
        <v>330</v>
      </c>
      <c r="C85" s="5" t="s">
        <v>369</v>
      </c>
      <c r="D85" s="5">
        <v>97</v>
      </c>
      <c r="E85" s="6">
        <v>700</v>
      </c>
      <c r="F85" s="6">
        <v>1100</v>
      </c>
    </row>
    <row r="86" spans="1:6" x14ac:dyDescent="0.3">
      <c r="A86" s="2" t="s">
        <v>371</v>
      </c>
      <c r="B86" s="2" t="s">
        <v>330</v>
      </c>
      <c r="C86" s="2" t="s">
        <v>373</v>
      </c>
      <c r="D86" s="2">
        <v>77</v>
      </c>
      <c r="E86" s="3">
        <v>1800</v>
      </c>
      <c r="F86" s="3">
        <v>2800</v>
      </c>
    </row>
    <row r="87" spans="1:6" x14ac:dyDescent="0.3">
      <c r="A87" s="5" t="s">
        <v>375</v>
      </c>
      <c r="B87" s="5" t="s">
        <v>330</v>
      </c>
      <c r="C87" s="5" t="s">
        <v>376</v>
      </c>
      <c r="D87" s="5">
        <v>120</v>
      </c>
      <c r="E87" s="6">
        <v>4500</v>
      </c>
      <c r="F87" s="6">
        <v>6800</v>
      </c>
    </row>
    <row r="88" spans="1:6" x14ac:dyDescent="0.3">
      <c r="A88" s="2" t="s">
        <v>378</v>
      </c>
      <c r="B88" s="2" t="s">
        <v>330</v>
      </c>
      <c r="C88" s="2" t="s">
        <v>379</v>
      </c>
      <c r="D88" s="2">
        <v>95</v>
      </c>
      <c r="E88" s="3">
        <v>2200</v>
      </c>
      <c r="F88" s="3">
        <v>3400</v>
      </c>
    </row>
    <row r="89" spans="1:6" x14ac:dyDescent="0.3">
      <c r="A89" s="5" t="s">
        <v>381</v>
      </c>
      <c r="B89" s="5" t="s">
        <v>330</v>
      </c>
      <c r="C89" s="5" t="s">
        <v>382</v>
      </c>
      <c r="D89" s="5">
        <v>79</v>
      </c>
      <c r="E89" s="6">
        <v>3200</v>
      </c>
      <c r="F89" s="6">
        <v>5000</v>
      </c>
    </row>
    <row r="90" spans="1:6" x14ac:dyDescent="0.3">
      <c r="A90" s="2" t="s">
        <v>385</v>
      </c>
      <c r="B90" s="2" t="s">
        <v>330</v>
      </c>
      <c r="C90" s="2" t="s">
        <v>386</v>
      </c>
      <c r="D90" s="2">
        <v>132</v>
      </c>
      <c r="E90" s="3">
        <v>2800</v>
      </c>
      <c r="F90" s="3">
        <v>4200</v>
      </c>
    </row>
    <row r="91" spans="1:6" x14ac:dyDescent="0.3">
      <c r="A91" s="5" t="s">
        <v>390</v>
      </c>
      <c r="B91" s="5" t="s">
        <v>330</v>
      </c>
      <c r="C91" s="5" t="s">
        <v>391</v>
      </c>
      <c r="D91" s="5">
        <v>35</v>
      </c>
      <c r="E91" s="6">
        <v>1500</v>
      </c>
      <c r="F91" s="6">
        <v>2300</v>
      </c>
    </row>
    <row r="92" spans="1:6" x14ac:dyDescent="0.3">
      <c r="A92" s="2" t="s">
        <v>394</v>
      </c>
      <c r="B92" s="2" t="s">
        <v>330</v>
      </c>
      <c r="C92" s="2" t="s">
        <v>395</v>
      </c>
      <c r="D92" s="2">
        <v>40</v>
      </c>
      <c r="E92" s="3">
        <v>800</v>
      </c>
      <c r="F92" s="3">
        <v>1250</v>
      </c>
    </row>
    <row r="93" spans="1:6" x14ac:dyDescent="0.3">
      <c r="A93" s="5" t="s">
        <v>398</v>
      </c>
      <c r="B93" s="5" t="s">
        <v>330</v>
      </c>
      <c r="C93" s="5" t="s">
        <v>399</v>
      </c>
      <c r="D93" s="5">
        <v>75</v>
      </c>
      <c r="E93" s="6">
        <v>1500</v>
      </c>
      <c r="F93" s="6">
        <v>2400</v>
      </c>
    </row>
    <row r="94" spans="1:6" x14ac:dyDescent="0.3">
      <c r="A94" s="2" t="s">
        <v>401</v>
      </c>
      <c r="B94" s="2" t="s">
        <v>330</v>
      </c>
      <c r="C94" s="2" t="s">
        <v>402</v>
      </c>
      <c r="D94" s="2">
        <v>135</v>
      </c>
      <c r="E94" s="3">
        <v>1800</v>
      </c>
      <c r="F94" s="3">
        <v>2700</v>
      </c>
    </row>
    <row r="95" spans="1:6" x14ac:dyDescent="0.3">
      <c r="A95" s="5" t="s">
        <v>405</v>
      </c>
      <c r="B95" s="5" t="s">
        <v>330</v>
      </c>
      <c r="C95" s="5" t="s">
        <v>406</v>
      </c>
      <c r="D95" s="5">
        <v>82</v>
      </c>
      <c r="E95" s="6">
        <v>500</v>
      </c>
      <c r="F95" s="6">
        <v>800</v>
      </c>
    </row>
    <row r="96" spans="1:6" x14ac:dyDescent="0.3">
      <c r="A96" s="2" t="s">
        <v>408</v>
      </c>
      <c r="B96" s="2" t="s">
        <v>330</v>
      </c>
      <c r="C96" s="2" t="s">
        <v>410</v>
      </c>
      <c r="D96" s="2">
        <v>5</v>
      </c>
      <c r="E96" s="3">
        <v>3500</v>
      </c>
      <c r="F96" s="3">
        <v>5200</v>
      </c>
    </row>
    <row r="97" spans="1:6" x14ac:dyDescent="0.3">
      <c r="A97" s="5" t="s">
        <v>414</v>
      </c>
      <c r="B97" s="5" t="s">
        <v>330</v>
      </c>
      <c r="C97" s="5" t="s">
        <v>415</v>
      </c>
      <c r="D97" s="5">
        <v>48</v>
      </c>
      <c r="E97" s="6">
        <v>2800</v>
      </c>
      <c r="F97" s="6">
        <v>4200</v>
      </c>
    </row>
    <row r="98" spans="1:6" x14ac:dyDescent="0.3">
      <c r="A98" s="2" t="s">
        <v>417</v>
      </c>
      <c r="B98" s="2" t="s">
        <v>330</v>
      </c>
      <c r="C98" s="2" t="s">
        <v>418</v>
      </c>
      <c r="D98" s="2">
        <v>30</v>
      </c>
      <c r="E98" s="3">
        <v>1200</v>
      </c>
      <c r="F98" s="3">
        <v>1900</v>
      </c>
    </row>
    <row r="99" spans="1:6" x14ac:dyDescent="0.3">
      <c r="A99" s="5" t="s">
        <v>421</v>
      </c>
      <c r="B99" s="5" t="s">
        <v>330</v>
      </c>
      <c r="C99" s="5" t="s">
        <v>422</v>
      </c>
      <c r="D99" s="5">
        <v>85</v>
      </c>
      <c r="E99" s="6">
        <v>1500</v>
      </c>
      <c r="F99" s="6">
        <v>2300</v>
      </c>
    </row>
    <row r="100" spans="1:6" x14ac:dyDescent="0.3">
      <c r="A100" s="2" t="s">
        <v>424</v>
      </c>
      <c r="B100" s="2" t="s">
        <v>330</v>
      </c>
      <c r="C100" s="2" t="s">
        <v>425</v>
      </c>
      <c r="D100" s="2">
        <v>143</v>
      </c>
      <c r="E100" s="3">
        <v>3800</v>
      </c>
      <c r="F100" s="3">
        <v>6000</v>
      </c>
    </row>
    <row r="101" spans="1:6" x14ac:dyDescent="0.3">
      <c r="A101" s="5" t="s">
        <v>429</v>
      </c>
      <c r="B101" s="5" t="s">
        <v>330</v>
      </c>
      <c r="C101" s="5" t="s">
        <v>430</v>
      </c>
      <c r="D101" s="5">
        <v>8</v>
      </c>
      <c r="E101" s="6">
        <v>2200</v>
      </c>
      <c r="F101" s="6">
        <v>3400</v>
      </c>
    </row>
    <row r="102" spans="1:6" x14ac:dyDescent="0.3">
      <c r="A102" s="2" t="s">
        <v>433</v>
      </c>
      <c r="B102" s="2" t="s">
        <v>330</v>
      </c>
      <c r="C102" s="2" t="s">
        <v>434</v>
      </c>
      <c r="D102" s="2">
        <v>148</v>
      </c>
      <c r="E102" s="3">
        <v>1800</v>
      </c>
      <c r="F102" s="3">
        <v>2800</v>
      </c>
    </row>
    <row r="103" spans="1:6" x14ac:dyDescent="0.3">
      <c r="A103" s="5" t="s">
        <v>438</v>
      </c>
      <c r="B103" s="5" t="s">
        <v>330</v>
      </c>
      <c r="C103" s="5" t="s">
        <v>439</v>
      </c>
      <c r="D103" s="5">
        <v>141</v>
      </c>
      <c r="E103" s="6">
        <v>4200</v>
      </c>
      <c r="F103" s="6">
        <v>6500</v>
      </c>
    </row>
    <row r="104" spans="1:6" x14ac:dyDescent="0.3">
      <c r="A104" s="2" t="s">
        <v>442</v>
      </c>
      <c r="B104" s="2" t="s">
        <v>330</v>
      </c>
      <c r="C104" s="2" t="s">
        <v>444</v>
      </c>
      <c r="D104" s="2">
        <v>64</v>
      </c>
      <c r="E104" s="3">
        <v>250</v>
      </c>
      <c r="F104" s="3">
        <v>380</v>
      </c>
    </row>
    <row r="105" spans="1:6" x14ac:dyDescent="0.3">
      <c r="A105" s="5" t="s">
        <v>446</v>
      </c>
      <c r="B105" s="5" t="s">
        <v>330</v>
      </c>
      <c r="C105" s="5" t="s">
        <v>447</v>
      </c>
      <c r="D105" s="5">
        <v>100</v>
      </c>
      <c r="E105" s="6">
        <v>350</v>
      </c>
      <c r="F105" s="6">
        <v>520</v>
      </c>
    </row>
    <row r="106" spans="1:6" x14ac:dyDescent="0.3">
      <c r="A106" s="2" t="s">
        <v>449</v>
      </c>
      <c r="B106" s="2" t="s">
        <v>330</v>
      </c>
      <c r="C106" s="2" t="s">
        <v>450</v>
      </c>
      <c r="D106" s="2">
        <v>136</v>
      </c>
      <c r="E106" s="3">
        <v>200</v>
      </c>
      <c r="F106" s="3">
        <v>310</v>
      </c>
    </row>
    <row r="107" spans="1:6" x14ac:dyDescent="0.3">
      <c r="A107" s="5" t="s">
        <v>452</v>
      </c>
      <c r="B107" s="5" t="s">
        <v>330</v>
      </c>
      <c r="C107" s="5" t="s">
        <v>453</v>
      </c>
      <c r="D107" s="5">
        <v>9</v>
      </c>
      <c r="E107" s="6">
        <v>700</v>
      </c>
      <c r="F107" s="6">
        <v>1050</v>
      </c>
    </row>
    <row r="108" spans="1:6" x14ac:dyDescent="0.3">
      <c r="A108" s="2" t="s">
        <v>455</v>
      </c>
      <c r="B108" s="2" t="s">
        <v>330</v>
      </c>
      <c r="C108" s="2" t="s">
        <v>456</v>
      </c>
      <c r="D108" s="2">
        <v>113</v>
      </c>
      <c r="E108" s="3">
        <v>1200</v>
      </c>
      <c r="F108" s="3">
        <v>1900</v>
      </c>
    </row>
    <row r="109" spans="1:6" x14ac:dyDescent="0.3">
      <c r="A109" s="5" t="s">
        <v>459</v>
      </c>
      <c r="B109" s="5" t="s">
        <v>330</v>
      </c>
      <c r="C109" s="5" t="s">
        <v>460</v>
      </c>
      <c r="D109" s="5">
        <v>1</v>
      </c>
      <c r="E109" s="6">
        <v>600</v>
      </c>
      <c r="F109" s="6">
        <v>950</v>
      </c>
    </row>
    <row r="110" spans="1:6" x14ac:dyDescent="0.3">
      <c r="A110" s="2" t="s">
        <v>462</v>
      </c>
      <c r="B110" s="2" t="s">
        <v>330</v>
      </c>
      <c r="C110" s="2" t="s">
        <v>463</v>
      </c>
      <c r="D110" s="2">
        <v>36</v>
      </c>
      <c r="E110" s="3">
        <v>400</v>
      </c>
      <c r="F110" s="3">
        <v>650</v>
      </c>
    </row>
    <row r="111" spans="1:6" x14ac:dyDescent="0.3">
      <c r="A111" s="5" t="s">
        <v>465</v>
      </c>
      <c r="B111" s="5" t="s">
        <v>330</v>
      </c>
      <c r="C111" s="5" t="s">
        <v>466</v>
      </c>
      <c r="D111" s="5">
        <v>127</v>
      </c>
      <c r="E111" s="6">
        <v>550</v>
      </c>
      <c r="F111" s="6">
        <v>900</v>
      </c>
    </row>
    <row r="112" spans="1:6" x14ac:dyDescent="0.3">
      <c r="A112" s="2" t="s">
        <v>468</v>
      </c>
      <c r="B112" s="2" t="s">
        <v>469</v>
      </c>
      <c r="C112" s="2" t="s">
        <v>471</v>
      </c>
      <c r="D112" s="2">
        <v>95</v>
      </c>
      <c r="E112" s="3">
        <v>850</v>
      </c>
      <c r="F112" s="3">
        <v>1050</v>
      </c>
    </row>
    <row r="113" spans="1:6" x14ac:dyDescent="0.3">
      <c r="A113" s="5" t="s">
        <v>475</v>
      </c>
      <c r="B113" s="5" t="s">
        <v>469</v>
      </c>
      <c r="C113" s="5" t="s">
        <v>476</v>
      </c>
      <c r="D113" s="5">
        <v>67</v>
      </c>
      <c r="E113" s="6">
        <v>840</v>
      </c>
      <c r="F113" s="6">
        <v>1040</v>
      </c>
    </row>
    <row r="114" spans="1:6" x14ac:dyDescent="0.3">
      <c r="A114" s="2" t="s">
        <v>480</v>
      </c>
      <c r="B114" s="2" t="s">
        <v>469</v>
      </c>
      <c r="C114" s="2" t="s">
        <v>481</v>
      </c>
      <c r="D114" s="2">
        <v>112</v>
      </c>
      <c r="E114" s="3">
        <v>845</v>
      </c>
      <c r="F114" s="3">
        <v>1045</v>
      </c>
    </row>
    <row r="115" spans="1:6" x14ac:dyDescent="0.3">
      <c r="A115" s="5" t="s">
        <v>484</v>
      </c>
      <c r="B115" s="5" t="s">
        <v>469</v>
      </c>
      <c r="C115" s="5" t="s">
        <v>485</v>
      </c>
      <c r="D115" s="5">
        <v>132</v>
      </c>
      <c r="E115" s="6">
        <v>14000</v>
      </c>
      <c r="F115" s="6">
        <v>18000</v>
      </c>
    </row>
    <row r="116" spans="1:6" x14ac:dyDescent="0.3">
      <c r="A116" s="2" t="s">
        <v>489</v>
      </c>
      <c r="B116" s="2" t="s">
        <v>469</v>
      </c>
      <c r="C116" s="2" t="s">
        <v>490</v>
      </c>
      <c r="D116" s="2">
        <v>35</v>
      </c>
      <c r="E116" s="3">
        <v>55</v>
      </c>
      <c r="F116" s="3">
        <v>80</v>
      </c>
    </row>
    <row r="117" spans="1:6" x14ac:dyDescent="0.3">
      <c r="A117" s="5" t="s">
        <v>493</v>
      </c>
      <c r="B117" s="5" t="s">
        <v>469</v>
      </c>
      <c r="C117" s="5" t="s">
        <v>494</v>
      </c>
      <c r="D117" s="5">
        <v>34</v>
      </c>
      <c r="E117" s="6">
        <v>180</v>
      </c>
      <c r="F117" s="6">
        <v>250</v>
      </c>
    </row>
    <row r="118" spans="1:6" x14ac:dyDescent="0.3">
      <c r="A118" s="2" t="s">
        <v>497</v>
      </c>
      <c r="B118" s="2" t="s">
        <v>469</v>
      </c>
      <c r="C118" s="2" t="s">
        <v>498</v>
      </c>
      <c r="D118" s="2">
        <v>99</v>
      </c>
      <c r="E118" s="3">
        <v>200</v>
      </c>
      <c r="F118" s="3">
        <v>280</v>
      </c>
    </row>
    <row r="119" spans="1:6" x14ac:dyDescent="0.3">
      <c r="A119" s="5" t="s">
        <v>500</v>
      </c>
      <c r="B119" s="5" t="s">
        <v>469</v>
      </c>
      <c r="C119" s="5" t="s">
        <v>501</v>
      </c>
      <c r="D119" s="5">
        <v>135</v>
      </c>
      <c r="E119" s="6">
        <v>260</v>
      </c>
      <c r="F119" s="6">
        <v>320</v>
      </c>
    </row>
    <row r="120" spans="1:6" x14ac:dyDescent="0.3">
      <c r="A120" s="2" t="s">
        <v>505</v>
      </c>
      <c r="B120" s="2" t="s">
        <v>469</v>
      </c>
      <c r="C120" s="2" t="s">
        <v>507</v>
      </c>
      <c r="D120" s="2">
        <v>18</v>
      </c>
      <c r="E120" s="3">
        <v>3800</v>
      </c>
      <c r="F120" s="3">
        <v>5000</v>
      </c>
    </row>
    <row r="121" spans="1:6" x14ac:dyDescent="0.3">
      <c r="A121" s="5" t="s">
        <v>511</v>
      </c>
      <c r="B121" s="5" t="s">
        <v>469</v>
      </c>
      <c r="C121" s="5" t="s">
        <v>512</v>
      </c>
      <c r="D121" s="5">
        <v>85</v>
      </c>
      <c r="E121" s="6">
        <v>2800</v>
      </c>
      <c r="F121" s="6">
        <v>3800</v>
      </c>
    </row>
    <row r="122" spans="1:6" x14ac:dyDescent="0.3">
      <c r="A122" s="2" t="s">
        <v>514</v>
      </c>
      <c r="B122" s="2" t="s">
        <v>469</v>
      </c>
      <c r="C122" s="2" t="s">
        <v>515</v>
      </c>
      <c r="D122" s="2">
        <v>6</v>
      </c>
      <c r="E122" s="3">
        <v>3600</v>
      </c>
      <c r="F122" s="3">
        <v>4800</v>
      </c>
    </row>
    <row r="123" spans="1:6" x14ac:dyDescent="0.3">
      <c r="A123" s="5" t="s">
        <v>519</v>
      </c>
      <c r="B123" s="5" t="s">
        <v>469</v>
      </c>
      <c r="C123" s="5" t="s">
        <v>520</v>
      </c>
      <c r="D123" s="5">
        <v>49</v>
      </c>
      <c r="E123" s="6">
        <v>3200</v>
      </c>
      <c r="F123" s="6">
        <v>4400</v>
      </c>
    </row>
    <row r="124" spans="1:6" x14ac:dyDescent="0.3">
      <c r="A124" s="2" t="s">
        <v>524</v>
      </c>
      <c r="B124" s="2" t="s">
        <v>469</v>
      </c>
      <c r="C124" s="2" t="s">
        <v>525</v>
      </c>
      <c r="D124" s="2">
        <v>104</v>
      </c>
      <c r="E124" s="3">
        <v>1200</v>
      </c>
      <c r="F124" s="3">
        <v>1600</v>
      </c>
    </row>
    <row r="125" spans="1:6" x14ac:dyDescent="0.3">
      <c r="A125" s="5" t="s">
        <v>529</v>
      </c>
      <c r="B125" s="5" t="s">
        <v>469</v>
      </c>
      <c r="C125" s="5" t="s">
        <v>530</v>
      </c>
      <c r="D125" s="5">
        <v>147</v>
      </c>
      <c r="E125" s="6">
        <v>1500</v>
      </c>
      <c r="F125" s="6">
        <v>2100</v>
      </c>
    </row>
    <row r="126" spans="1:6" x14ac:dyDescent="0.3">
      <c r="A126" s="2" t="s">
        <v>533</v>
      </c>
      <c r="B126" s="2" t="s">
        <v>469</v>
      </c>
      <c r="C126" s="2" t="s">
        <v>534</v>
      </c>
      <c r="D126" s="2">
        <v>121</v>
      </c>
      <c r="E126" s="3">
        <v>750</v>
      </c>
      <c r="F126" s="3">
        <v>1050</v>
      </c>
    </row>
    <row r="127" spans="1:6" x14ac:dyDescent="0.3">
      <c r="A127" s="5" t="s">
        <v>536</v>
      </c>
      <c r="B127" s="5" t="s">
        <v>469</v>
      </c>
      <c r="C127" s="5" t="s">
        <v>538</v>
      </c>
      <c r="D127" s="5">
        <v>0</v>
      </c>
      <c r="E127" s="6">
        <v>180</v>
      </c>
      <c r="F127" s="6">
        <v>250</v>
      </c>
    </row>
    <row r="128" spans="1:6" x14ac:dyDescent="0.3">
      <c r="A128" s="2" t="s">
        <v>542</v>
      </c>
      <c r="B128" s="2" t="s">
        <v>469</v>
      </c>
      <c r="C128" s="2" t="s">
        <v>543</v>
      </c>
      <c r="D128" s="2">
        <v>36</v>
      </c>
      <c r="E128" s="3">
        <v>250</v>
      </c>
      <c r="F128" s="3">
        <v>340</v>
      </c>
    </row>
    <row r="129" spans="1:6" x14ac:dyDescent="0.3">
      <c r="A129" s="5" t="s">
        <v>545</v>
      </c>
      <c r="B129" s="5" t="s">
        <v>469</v>
      </c>
      <c r="C129" s="5" t="s">
        <v>546</v>
      </c>
      <c r="D129" s="5">
        <v>108</v>
      </c>
      <c r="E129" s="6">
        <v>220</v>
      </c>
      <c r="F129" s="6">
        <v>320</v>
      </c>
    </row>
    <row r="130" spans="1:6" x14ac:dyDescent="0.3">
      <c r="A130" s="2" t="s">
        <v>548</v>
      </c>
      <c r="B130" s="2" t="s">
        <v>469</v>
      </c>
      <c r="C130" s="2" t="s">
        <v>549</v>
      </c>
      <c r="D130" s="2">
        <v>16</v>
      </c>
      <c r="E130" s="3">
        <v>12000</v>
      </c>
      <c r="F130" s="3">
        <v>16000</v>
      </c>
    </row>
    <row r="131" spans="1:6" x14ac:dyDescent="0.3">
      <c r="A131" s="5" t="s">
        <v>553</v>
      </c>
      <c r="B131" s="5" t="s">
        <v>469</v>
      </c>
      <c r="C131" s="5" t="s">
        <v>554</v>
      </c>
      <c r="D131" s="5">
        <v>97</v>
      </c>
      <c r="E131" s="6">
        <v>45</v>
      </c>
      <c r="F131" s="6">
        <v>65</v>
      </c>
    </row>
    <row r="132" spans="1:6" x14ac:dyDescent="0.3">
      <c r="A132" s="2" t="s">
        <v>558</v>
      </c>
      <c r="B132" s="2" t="s">
        <v>469</v>
      </c>
      <c r="C132" s="2" t="s">
        <v>559</v>
      </c>
      <c r="D132" s="2">
        <v>63</v>
      </c>
      <c r="E132" s="3">
        <v>65</v>
      </c>
      <c r="F132" s="3">
        <v>95</v>
      </c>
    </row>
    <row r="133" spans="1:6" x14ac:dyDescent="0.3">
      <c r="A133" s="5" t="s">
        <v>561</v>
      </c>
      <c r="B133" s="5" t="s">
        <v>469</v>
      </c>
      <c r="C133" s="5" t="s">
        <v>562</v>
      </c>
      <c r="D133" s="5">
        <v>74</v>
      </c>
      <c r="E133" s="6">
        <v>450</v>
      </c>
      <c r="F133" s="6">
        <v>650</v>
      </c>
    </row>
    <row r="134" spans="1:6" x14ac:dyDescent="0.3">
      <c r="A134" s="2" t="s">
        <v>564</v>
      </c>
      <c r="B134" s="2" t="s">
        <v>469</v>
      </c>
      <c r="C134" s="2" t="s">
        <v>565</v>
      </c>
      <c r="D134" s="2">
        <v>76</v>
      </c>
      <c r="E134" s="3">
        <v>180</v>
      </c>
      <c r="F134" s="3">
        <v>280</v>
      </c>
    </row>
    <row r="135" spans="1:6" x14ac:dyDescent="0.3">
      <c r="A135" s="5" t="s">
        <v>569</v>
      </c>
      <c r="B135" s="5" t="s">
        <v>469</v>
      </c>
      <c r="C135" s="5" t="s">
        <v>570</v>
      </c>
      <c r="D135" s="5">
        <v>3</v>
      </c>
      <c r="E135" s="6">
        <v>120</v>
      </c>
      <c r="F135" s="6">
        <v>190</v>
      </c>
    </row>
    <row r="136" spans="1:6" x14ac:dyDescent="0.3">
      <c r="A136" s="2" t="s">
        <v>572</v>
      </c>
      <c r="B136" s="2" t="s">
        <v>469</v>
      </c>
      <c r="C136" s="2" t="s">
        <v>573</v>
      </c>
      <c r="D136" s="2">
        <v>80</v>
      </c>
      <c r="E136" s="3">
        <v>3200</v>
      </c>
      <c r="F136" s="3">
        <v>4500</v>
      </c>
    </row>
    <row r="137" spans="1:6" x14ac:dyDescent="0.3">
      <c r="A137" s="5" t="s">
        <v>577</v>
      </c>
      <c r="B137" s="5" t="s">
        <v>469</v>
      </c>
      <c r="C137" s="5" t="s">
        <v>579</v>
      </c>
      <c r="D137" s="5">
        <v>87</v>
      </c>
      <c r="E137" s="6">
        <v>850</v>
      </c>
      <c r="F137" s="6">
        <v>1200</v>
      </c>
    </row>
    <row r="138" spans="1:6" x14ac:dyDescent="0.3">
      <c r="A138" s="2" t="s">
        <v>583</v>
      </c>
      <c r="B138" s="2" t="s">
        <v>469</v>
      </c>
      <c r="C138" s="2" t="s">
        <v>584</v>
      </c>
      <c r="D138" s="2">
        <v>0</v>
      </c>
      <c r="E138" s="3">
        <v>4500</v>
      </c>
      <c r="F138" s="3">
        <v>6200</v>
      </c>
    </row>
    <row r="139" spans="1:6" x14ac:dyDescent="0.3">
      <c r="A139" s="5" t="s">
        <v>588</v>
      </c>
      <c r="B139" s="5" t="s">
        <v>469</v>
      </c>
      <c r="C139" s="5" t="s">
        <v>589</v>
      </c>
      <c r="D139" s="5">
        <v>122</v>
      </c>
      <c r="E139" s="6">
        <v>350</v>
      </c>
      <c r="F139" s="6">
        <v>520</v>
      </c>
    </row>
    <row r="140" spans="1:6" x14ac:dyDescent="0.3">
      <c r="A140" s="2" t="s">
        <v>591</v>
      </c>
      <c r="B140" s="2" t="s">
        <v>469</v>
      </c>
      <c r="C140" s="2" t="s">
        <v>592</v>
      </c>
      <c r="D140" s="2">
        <v>114</v>
      </c>
      <c r="E140" s="3">
        <v>450</v>
      </c>
      <c r="F140" s="3">
        <v>680</v>
      </c>
    </row>
    <row r="141" spans="1:6" x14ac:dyDescent="0.3">
      <c r="A141" s="5" t="s">
        <v>594</v>
      </c>
      <c r="B141" s="5" t="s">
        <v>469</v>
      </c>
      <c r="C141" s="5" t="s">
        <v>595</v>
      </c>
      <c r="D141" s="5">
        <v>25</v>
      </c>
      <c r="E141" s="6">
        <v>1800</v>
      </c>
      <c r="F141" s="6">
        <v>2600</v>
      </c>
    </row>
    <row r="142" spans="1:6" x14ac:dyDescent="0.3">
      <c r="A142" s="2" t="s">
        <v>597</v>
      </c>
      <c r="B142" s="2" t="s">
        <v>469</v>
      </c>
      <c r="C142" s="2" t="s">
        <v>598</v>
      </c>
      <c r="D142" s="2">
        <v>91</v>
      </c>
      <c r="E142" s="3">
        <v>600</v>
      </c>
      <c r="F142" s="3">
        <v>900</v>
      </c>
    </row>
    <row r="143" spans="1:6" x14ac:dyDescent="0.3">
      <c r="A143" s="5" t="s">
        <v>600</v>
      </c>
      <c r="B143" s="5" t="s">
        <v>469</v>
      </c>
      <c r="C143" s="5" t="s">
        <v>601</v>
      </c>
      <c r="D143" s="5">
        <v>125</v>
      </c>
      <c r="E143" s="6">
        <v>280</v>
      </c>
      <c r="F143" s="6">
        <v>420</v>
      </c>
    </row>
    <row r="144" spans="1:6" x14ac:dyDescent="0.3">
      <c r="A144" s="2" t="s">
        <v>605</v>
      </c>
      <c r="B144" s="2" t="s">
        <v>469</v>
      </c>
      <c r="C144" s="2" t="s">
        <v>606</v>
      </c>
      <c r="D144" s="2">
        <v>122</v>
      </c>
      <c r="E144" s="3">
        <v>450</v>
      </c>
      <c r="F144" s="3">
        <v>680</v>
      </c>
    </row>
    <row r="145" spans="1:6" x14ac:dyDescent="0.3">
      <c r="A145" s="5" t="s">
        <v>608</v>
      </c>
      <c r="B145" s="5" t="s">
        <v>609</v>
      </c>
      <c r="C145" s="5" t="s">
        <v>611</v>
      </c>
      <c r="D145" s="5">
        <v>146</v>
      </c>
      <c r="E145" s="6">
        <v>85</v>
      </c>
      <c r="F145" s="6">
        <v>120</v>
      </c>
    </row>
    <row r="146" spans="1:6" x14ac:dyDescent="0.3">
      <c r="A146" s="2" t="s">
        <v>615</v>
      </c>
      <c r="B146" s="2" t="s">
        <v>609</v>
      </c>
      <c r="C146" s="2" t="s">
        <v>616</v>
      </c>
      <c r="D146" s="2">
        <v>45</v>
      </c>
      <c r="E146" s="3">
        <v>70</v>
      </c>
      <c r="F146" s="3">
        <v>100</v>
      </c>
    </row>
    <row r="147" spans="1:6" x14ac:dyDescent="0.3">
      <c r="A147" s="5" t="s">
        <v>618</v>
      </c>
      <c r="B147" s="5" t="s">
        <v>609</v>
      </c>
      <c r="C147" s="5" t="s">
        <v>619</v>
      </c>
      <c r="D147" s="5">
        <v>30</v>
      </c>
      <c r="E147" s="6">
        <v>95</v>
      </c>
      <c r="F147" s="6">
        <v>135</v>
      </c>
    </row>
    <row r="148" spans="1:6" x14ac:dyDescent="0.3">
      <c r="A148" s="2" t="s">
        <v>623</v>
      </c>
      <c r="B148" s="2" t="s">
        <v>609</v>
      </c>
      <c r="C148" s="2" t="s">
        <v>624</v>
      </c>
      <c r="D148" s="2">
        <v>62</v>
      </c>
      <c r="E148" s="3">
        <v>45</v>
      </c>
      <c r="F148" s="3">
        <v>70</v>
      </c>
    </row>
    <row r="149" spans="1:6" x14ac:dyDescent="0.3">
      <c r="A149" s="5" t="s">
        <v>628</v>
      </c>
      <c r="B149" s="5" t="s">
        <v>609</v>
      </c>
      <c r="C149" s="5" t="s">
        <v>629</v>
      </c>
      <c r="D149" s="5">
        <v>85</v>
      </c>
      <c r="E149" s="6">
        <v>120</v>
      </c>
      <c r="F149" s="6">
        <v>175</v>
      </c>
    </row>
    <row r="150" spans="1:6" x14ac:dyDescent="0.3">
      <c r="A150" s="2" t="s">
        <v>633</v>
      </c>
      <c r="B150" s="2" t="s">
        <v>609</v>
      </c>
      <c r="C150" s="2" t="s">
        <v>634</v>
      </c>
      <c r="D150" s="2">
        <v>123</v>
      </c>
      <c r="E150" s="3">
        <v>350</v>
      </c>
      <c r="F150" s="3">
        <v>520</v>
      </c>
    </row>
    <row r="151" spans="1:6" x14ac:dyDescent="0.3">
      <c r="A151" s="5" t="s">
        <v>637</v>
      </c>
      <c r="B151" s="5" t="s">
        <v>609</v>
      </c>
      <c r="C151" s="5" t="s">
        <v>638</v>
      </c>
      <c r="D151" s="5">
        <v>99</v>
      </c>
      <c r="E151" s="6">
        <v>180</v>
      </c>
      <c r="F151" s="6">
        <v>260</v>
      </c>
    </row>
    <row r="152" spans="1:6" x14ac:dyDescent="0.3">
      <c r="A152" s="2" t="s">
        <v>642</v>
      </c>
      <c r="B152" s="2" t="s">
        <v>609</v>
      </c>
      <c r="C152" s="2" t="s">
        <v>643</v>
      </c>
      <c r="D152" s="2">
        <v>27</v>
      </c>
      <c r="E152" s="3">
        <v>145</v>
      </c>
      <c r="F152" s="3">
        <v>210</v>
      </c>
    </row>
    <row r="153" spans="1:6" x14ac:dyDescent="0.3">
      <c r="A153" s="5" t="s">
        <v>646</v>
      </c>
      <c r="B153" s="5" t="s">
        <v>609</v>
      </c>
      <c r="C153" s="5" t="s">
        <v>647</v>
      </c>
      <c r="D153" s="5">
        <v>49</v>
      </c>
      <c r="E153" s="6">
        <v>165</v>
      </c>
      <c r="F153" s="6">
        <v>240</v>
      </c>
    </row>
    <row r="154" spans="1:6" x14ac:dyDescent="0.3">
      <c r="A154" s="2" t="s">
        <v>650</v>
      </c>
      <c r="B154" s="2" t="s">
        <v>609</v>
      </c>
      <c r="C154" s="2" t="s">
        <v>651</v>
      </c>
      <c r="D154" s="2">
        <v>51</v>
      </c>
      <c r="E154" s="3">
        <v>145</v>
      </c>
      <c r="F154" s="3">
        <v>215</v>
      </c>
    </row>
    <row r="155" spans="1:6" x14ac:dyDescent="0.3">
      <c r="A155" s="5" t="s">
        <v>655</v>
      </c>
      <c r="B155" s="5" t="s">
        <v>609</v>
      </c>
      <c r="C155" s="5" t="s">
        <v>657</v>
      </c>
      <c r="D155" s="5">
        <v>122</v>
      </c>
      <c r="E155" s="6">
        <v>380</v>
      </c>
      <c r="F155" s="6">
        <v>580</v>
      </c>
    </row>
    <row r="156" spans="1:6" x14ac:dyDescent="0.3">
      <c r="A156" s="2" t="s">
        <v>659</v>
      </c>
      <c r="B156" s="2" t="s">
        <v>609</v>
      </c>
      <c r="C156" s="2" t="s">
        <v>660</v>
      </c>
      <c r="D156" s="2">
        <v>24</v>
      </c>
      <c r="E156" s="3">
        <v>550</v>
      </c>
      <c r="F156" s="3">
        <v>820</v>
      </c>
    </row>
    <row r="157" spans="1:6" x14ac:dyDescent="0.3">
      <c r="A157" s="5" t="s">
        <v>663</v>
      </c>
      <c r="B157" s="5" t="s">
        <v>609</v>
      </c>
      <c r="C157" s="5" t="s">
        <v>664</v>
      </c>
      <c r="D157" s="5">
        <v>27</v>
      </c>
      <c r="E157" s="6">
        <v>85</v>
      </c>
      <c r="F157" s="6">
        <v>130</v>
      </c>
    </row>
    <row r="158" spans="1:6" x14ac:dyDescent="0.3">
      <c r="A158" s="2" t="s">
        <v>668</v>
      </c>
      <c r="B158" s="2" t="s">
        <v>609</v>
      </c>
      <c r="C158" s="2" t="s">
        <v>669</v>
      </c>
      <c r="D158" s="2">
        <v>101</v>
      </c>
      <c r="E158" s="3">
        <v>380</v>
      </c>
      <c r="F158" s="3">
        <v>550</v>
      </c>
    </row>
    <row r="159" spans="1:6" x14ac:dyDescent="0.3">
      <c r="A159" s="5" t="s">
        <v>672</v>
      </c>
      <c r="B159" s="5" t="s">
        <v>609</v>
      </c>
      <c r="C159" s="5" t="s">
        <v>673</v>
      </c>
      <c r="D159" s="5">
        <v>29</v>
      </c>
      <c r="E159" s="6">
        <v>120</v>
      </c>
      <c r="F159" s="6">
        <v>180</v>
      </c>
    </row>
    <row r="160" spans="1:6" x14ac:dyDescent="0.3">
      <c r="A160" s="2" t="s">
        <v>675</v>
      </c>
      <c r="B160" s="2" t="s">
        <v>609</v>
      </c>
      <c r="C160" s="2" t="s">
        <v>676</v>
      </c>
      <c r="D160" s="2">
        <v>44</v>
      </c>
      <c r="E160" s="3">
        <v>2800</v>
      </c>
      <c r="F160" s="3">
        <v>4200</v>
      </c>
    </row>
    <row r="161" spans="1:6" x14ac:dyDescent="0.3">
      <c r="A161" s="5" t="s">
        <v>679</v>
      </c>
      <c r="B161" s="5" t="s">
        <v>609</v>
      </c>
      <c r="C161" s="5" t="s">
        <v>680</v>
      </c>
      <c r="D161" s="5">
        <v>40</v>
      </c>
      <c r="E161" s="6">
        <v>650</v>
      </c>
      <c r="F161" s="6">
        <v>1000</v>
      </c>
    </row>
    <row r="162" spans="1:6" x14ac:dyDescent="0.3">
      <c r="A162" s="2" t="s">
        <v>682</v>
      </c>
      <c r="B162" s="2" t="s">
        <v>609</v>
      </c>
      <c r="C162" s="2" t="s">
        <v>683</v>
      </c>
      <c r="D162" s="2">
        <v>132</v>
      </c>
      <c r="E162" s="3">
        <v>3500</v>
      </c>
      <c r="F162" s="3">
        <v>5200</v>
      </c>
    </row>
    <row r="163" spans="1:6" x14ac:dyDescent="0.3">
      <c r="A163" s="5" t="s">
        <v>687</v>
      </c>
      <c r="B163" s="5" t="s">
        <v>609</v>
      </c>
      <c r="C163" s="5" t="s">
        <v>689</v>
      </c>
      <c r="D163" s="5">
        <v>88</v>
      </c>
      <c r="E163" s="6">
        <v>750</v>
      </c>
      <c r="F163" s="6">
        <v>1050</v>
      </c>
    </row>
    <row r="164" spans="1:6" x14ac:dyDescent="0.3">
      <c r="A164" s="2" t="s">
        <v>693</v>
      </c>
      <c r="B164" s="2" t="s">
        <v>609</v>
      </c>
      <c r="C164" s="2" t="s">
        <v>694</v>
      </c>
      <c r="D164" s="2">
        <v>5</v>
      </c>
      <c r="E164" s="3">
        <v>680</v>
      </c>
      <c r="F164" s="3">
        <v>950</v>
      </c>
    </row>
    <row r="165" spans="1:6" x14ac:dyDescent="0.3">
      <c r="A165" s="5" t="s">
        <v>697</v>
      </c>
      <c r="B165" s="5" t="s">
        <v>609</v>
      </c>
      <c r="C165" s="5" t="s">
        <v>698</v>
      </c>
      <c r="D165" s="5">
        <v>144</v>
      </c>
      <c r="E165" s="6">
        <v>120</v>
      </c>
      <c r="F165" s="6">
        <v>175</v>
      </c>
    </row>
    <row r="166" spans="1:6" x14ac:dyDescent="0.3">
      <c r="A166" s="2" t="s">
        <v>701</v>
      </c>
      <c r="B166" s="2" t="s">
        <v>609</v>
      </c>
      <c r="C166" s="2" t="s">
        <v>702</v>
      </c>
      <c r="D166" s="2">
        <v>42</v>
      </c>
      <c r="E166" s="3">
        <v>680</v>
      </c>
      <c r="F166" s="3">
        <v>980</v>
      </c>
    </row>
    <row r="167" spans="1:6" x14ac:dyDescent="0.3">
      <c r="A167" s="5" t="s">
        <v>705</v>
      </c>
      <c r="B167" s="5" t="s">
        <v>609</v>
      </c>
      <c r="C167" s="5" t="s">
        <v>706</v>
      </c>
      <c r="D167" s="5">
        <v>95</v>
      </c>
      <c r="E167" s="6">
        <v>220</v>
      </c>
      <c r="F167" s="6">
        <v>310</v>
      </c>
    </row>
    <row r="168" spans="1:6" x14ac:dyDescent="0.3">
      <c r="A168" s="2" t="s">
        <v>710</v>
      </c>
      <c r="B168" s="2" t="s">
        <v>609</v>
      </c>
      <c r="C168" s="2" t="s">
        <v>711</v>
      </c>
      <c r="D168" s="2">
        <v>132</v>
      </c>
      <c r="E168" s="3">
        <v>200</v>
      </c>
      <c r="F168" s="3">
        <v>290</v>
      </c>
    </row>
    <row r="169" spans="1:6" x14ac:dyDescent="0.3">
      <c r="A169" s="5" t="s">
        <v>714</v>
      </c>
      <c r="B169" s="5" t="s">
        <v>609</v>
      </c>
      <c r="C169" s="5" t="s">
        <v>715</v>
      </c>
      <c r="D169" s="5">
        <v>136</v>
      </c>
      <c r="E169" s="6">
        <v>750</v>
      </c>
      <c r="F169" s="6">
        <v>1100</v>
      </c>
    </row>
    <row r="170" spans="1:6" x14ac:dyDescent="0.3">
      <c r="A170" s="2" t="s">
        <v>718</v>
      </c>
      <c r="B170" s="2" t="s">
        <v>609</v>
      </c>
      <c r="C170" s="2" t="s">
        <v>719</v>
      </c>
      <c r="D170" s="2">
        <v>77</v>
      </c>
      <c r="E170" s="3">
        <v>380</v>
      </c>
      <c r="F170" s="3">
        <v>540</v>
      </c>
    </row>
    <row r="171" spans="1:6" x14ac:dyDescent="0.3">
      <c r="A171" s="5" t="s">
        <v>722</v>
      </c>
      <c r="B171" s="5" t="s">
        <v>609</v>
      </c>
      <c r="C171" s="5" t="s">
        <v>723</v>
      </c>
      <c r="D171" s="5">
        <v>48</v>
      </c>
      <c r="E171" s="6">
        <v>320</v>
      </c>
      <c r="F171" s="6">
        <v>470</v>
      </c>
    </row>
    <row r="172" spans="1:6" x14ac:dyDescent="0.3">
      <c r="A172" s="2" t="s">
        <v>725</v>
      </c>
      <c r="B172" s="2" t="s">
        <v>609</v>
      </c>
      <c r="C172" s="2" t="s">
        <v>726</v>
      </c>
      <c r="D172" s="2">
        <v>89</v>
      </c>
      <c r="E172" s="3">
        <v>550</v>
      </c>
      <c r="F172" s="3">
        <v>800</v>
      </c>
    </row>
    <row r="173" spans="1:6" x14ac:dyDescent="0.3">
      <c r="A173" s="5" t="s">
        <v>730</v>
      </c>
      <c r="B173" s="5" t="s">
        <v>731</v>
      </c>
      <c r="C173" s="5" t="s">
        <v>733</v>
      </c>
      <c r="D173" s="5">
        <v>38</v>
      </c>
      <c r="E173" s="6">
        <v>1100</v>
      </c>
      <c r="F173" s="6">
        <v>1550</v>
      </c>
    </row>
    <row r="174" spans="1:6" x14ac:dyDescent="0.3">
      <c r="A174" s="2" t="s">
        <v>737</v>
      </c>
      <c r="B174" s="2" t="s">
        <v>731</v>
      </c>
      <c r="C174" s="2" t="s">
        <v>738</v>
      </c>
      <c r="D174" s="2">
        <v>147</v>
      </c>
      <c r="E174" s="3">
        <v>180</v>
      </c>
      <c r="F174" s="3">
        <v>270</v>
      </c>
    </row>
    <row r="175" spans="1:6" x14ac:dyDescent="0.3">
      <c r="A175" s="5" t="s">
        <v>742</v>
      </c>
      <c r="B175" s="5" t="s">
        <v>731</v>
      </c>
      <c r="C175" s="5" t="s">
        <v>743</v>
      </c>
      <c r="D175" s="5">
        <v>58</v>
      </c>
      <c r="E175" s="6">
        <v>150</v>
      </c>
      <c r="F175" s="6">
        <v>225</v>
      </c>
    </row>
    <row r="176" spans="1:6" x14ac:dyDescent="0.3">
      <c r="A176" s="2" t="s">
        <v>745</v>
      </c>
      <c r="B176" s="2" t="s">
        <v>731</v>
      </c>
      <c r="C176" s="2" t="s">
        <v>746</v>
      </c>
      <c r="D176" s="2">
        <v>49</v>
      </c>
      <c r="E176" s="3">
        <v>180</v>
      </c>
      <c r="F176" s="3">
        <v>270</v>
      </c>
    </row>
    <row r="177" spans="1:6" x14ac:dyDescent="0.3">
      <c r="A177" s="5" t="s">
        <v>748</v>
      </c>
      <c r="B177" s="5" t="s">
        <v>731</v>
      </c>
      <c r="C177" s="5" t="s">
        <v>749</v>
      </c>
      <c r="D177" s="5">
        <v>35</v>
      </c>
      <c r="E177" s="6">
        <v>380</v>
      </c>
      <c r="F177" s="6">
        <v>550</v>
      </c>
    </row>
    <row r="178" spans="1:6" x14ac:dyDescent="0.3">
      <c r="A178" s="2" t="s">
        <v>751</v>
      </c>
      <c r="B178" s="2" t="s">
        <v>731</v>
      </c>
      <c r="C178" s="2" t="s">
        <v>752</v>
      </c>
      <c r="D178" s="2">
        <v>36</v>
      </c>
      <c r="E178" s="3">
        <v>120</v>
      </c>
      <c r="F178" s="3">
        <v>185</v>
      </c>
    </row>
    <row r="179" spans="1:6" x14ac:dyDescent="0.3">
      <c r="A179" s="5" t="s">
        <v>754</v>
      </c>
      <c r="B179" s="5" t="s">
        <v>731</v>
      </c>
      <c r="C179" s="5" t="s">
        <v>755</v>
      </c>
      <c r="D179" s="5">
        <v>113</v>
      </c>
      <c r="E179" s="6">
        <v>320</v>
      </c>
      <c r="F179" s="6">
        <v>480</v>
      </c>
    </row>
    <row r="180" spans="1:6" x14ac:dyDescent="0.3">
      <c r="A180" s="2" t="s">
        <v>757</v>
      </c>
      <c r="B180" s="2" t="s">
        <v>731</v>
      </c>
      <c r="C180" s="2" t="s">
        <v>759</v>
      </c>
      <c r="D180" s="2">
        <v>31</v>
      </c>
      <c r="E180" s="3">
        <v>120</v>
      </c>
      <c r="F180" s="3">
        <v>185</v>
      </c>
    </row>
    <row r="181" spans="1:6" x14ac:dyDescent="0.3">
      <c r="A181" s="5" t="s">
        <v>762</v>
      </c>
      <c r="B181" s="5" t="s">
        <v>731</v>
      </c>
      <c r="C181" s="5" t="s">
        <v>763</v>
      </c>
      <c r="D181" s="5">
        <v>56</v>
      </c>
      <c r="E181" s="6">
        <v>45</v>
      </c>
      <c r="F181" s="6">
        <v>72</v>
      </c>
    </row>
    <row r="182" spans="1:6" x14ac:dyDescent="0.3">
      <c r="A182" s="2" t="s">
        <v>766</v>
      </c>
      <c r="B182" s="2" t="s">
        <v>731</v>
      </c>
      <c r="C182" s="2" t="s">
        <v>767</v>
      </c>
      <c r="D182" s="2">
        <v>82</v>
      </c>
      <c r="E182" s="3">
        <v>1500</v>
      </c>
      <c r="F182" s="3">
        <v>2400</v>
      </c>
    </row>
    <row r="183" spans="1:6" x14ac:dyDescent="0.3">
      <c r="A183" s="5" t="s">
        <v>770</v>
      </c>
      <c r="B183" s="5" t="s">
        <v>731</v>
      </c>
      <c r="C183" s="5" t="s">
        <v>771</v>
      </c>
      <c r="D183" s="5">
        <v>128</v>
      </c>
      <c r="E183" s="6">
        <v>350</v>
      </c>
      <c r="F183" s="6">
        <v>540</v>
      </c>
    </row>
    <row r="184" spans="1:6" x14ac:dyDescent="0.3">
      <c r="A184" s="2" t="s">
        <v>773</v>
      </c>
      <c r="B184" s="2" t="s">
        <v>731</v>
      </c>
      <c r="C184" s="2" t="s">
        <v>774</v>
      </c>
      <c r="D184" s="2">
        <v>36</v>
      </c>
      <c r="E184" s="3">
        <v>280</v>
      </c>
      <c r="F184" s="3">
        <v>430</v>
      </c>
    </row>
    <row r="185" spans="1:6" x14ac:dyDescent="0.3">
      <c r="A185" s="5" t="s">
        <v>777</v>
      </c>
      <c r="B185" s="5" t="s">
        <v>731</v>
      </c>
      <c r="C185" s="5" t="s">
        <v>778</v>
      </c>
      <c r="D185" s="5">
        <v>48</v>
      </c>
      <c r="E185" s="6">
        <v>180</v>
      </c>
      <c r="F185" s="6">
        <v>280</v>
      </c>
    </row>
    <row r="186" spans="1:6" x14ac:dyDescent="0.3">
      <c r="A186" s="2" t="s">
        <v>781</v>
      </c>
      <c r="B186" s="2" t="s">
        <v>731</v>
      </c>
      <c r="C186" s="2" t="s">
        <v>782</v>
      </c>
      <c r="D186" s="2">
        <v>42</v>
      </c>
      <c r="E186" s="3">
        <v>50</v>
      </c>
      <c r="F186" s="3">
        <v>80</v>
      </c>
    </row>
    <row r="187" spans="1:6" x14ac:dyDescent="0.3">
      <c r="A187" s="5" t="s">
        <v>784</v>
      </c>
      <c r="B187" s="5" t="s">
        <v>731</v>
      </c>
      <c r="C187" s="5" t="s">
        <v>786</v>
      </c>
      <c r="D187" s="5">
        <v>77</v>
      </c>
      <c r="E187" s="6">
        <v>650</v>
      </c>
      <c r="F187" s="6">
        <v>980</v>
      </c>
    </row>
    <row r="188" spans="1:6" x14ac:dyDescent="0.3">
      <c r="A188" s="2" t="s">
        <v>789</v>
      </c>
      <c r="B188" s="2" t="s">
        <v>731</v>
      </c>
      <c r="C188" s="2" t="s">
        <v>790</v>
      </c>
      <c r="D188" s="2">
        <v>106</v>
      </c>
      <c r="E188" s="3">
        <v>120</v>
      </c>
      <c r="F188" s="3">
        <v>190</v>
      </c>
    </row>
    <row r="189" spans="1:6" x14ac:dyDescent="0.3">
      <c r="A189" s="5" t="s">
        <v>792</v>
      </c>
      <c r="B189" s="5" t="s">
        <v>731</v>
      </c>
      <c r="C189" s="5" t="s">
        <v>793</v>
      </c>
      <c r="D189" s="5">
        <v>51</v>
      </c>
      <c r="E189" s="6">
        <v>550</v>
      </c>
      <c r="F189" s="6">
        <v>830</v>
      </c>
    </row>
    <row r="190" spans="1:6" x14ac:dyDescent="0.3">
      <c r="A190" s="2" t="s">
        <v>795</v>
      </c>
      <c r="B190" s="2" t="s">
        <v>731</v>
      </c>
      <c r="C190" s="2" t="s">
        <v>796</v>
      </c>
      <c r="D190" s="2">
        <v>73</v>
      </c>
      <c r="E190" s="3">
        <v>280</v>
      </c>
      <c r="F190" s="3">
        <v>430</v>
      </c>
    </row>
    <row r="191" spans="1:6" x14ac:dyDescent="0.3">
      <c r="A191" s="5" t="s">
        <v>799</v>
      </c>
      <c r="B191" s="5" t="s">
        <v>731</v>
      </c>
      <c r="C191" s="5" t="s">
        <v>800</v>
      </c>
      <c r="D191" s="5">
        <v>6</v>
      </c>
      <c r="E191" s="6">
        <v>380</v>
      </c>
      <c r="F191" s="6">
        <v>580</v>
      </c>
    </row>
    <row r="192" spans="1:6" x14ac:dyDescent="0.3">
      <c r="A192" s="2" t="s">
        <v>802</v>
      </c>
      <c r="B192" s="2" t="s">
        <v>731</v>
      </c>
      <c r="C192" s="2" t="s">
        <v>803</v>
      </c>
      <c r="D192" s="2">
        <v>106</v>
      </c>
      <c r="E192" s="3">
        <v>85</v>
      </c>
      <c r="F192" s="3">
        <v>135</v>
      </c>
    </row>
    <row r="193" spans="1:6" x14ac:dyDescent="0.3">
      <c r="A193" s="5" t="s">
        <v>805</v>
      </c>
      <c r="B193" s="5" t="s">
        <v>731</v>
      </c>
      <c r="C193" s="5" t="s">
        <v>806</v>
      </c>
      <c r="D193" s="5">
        <v>74</v>
      </c>
      <c r="E193" s="6">
        <v>120</v>
      </c>
      <c r="F193" s="6">
        <v>185</v>
      </c>
    </row>
    <row r="194" spans="1:6" x14ac:dyDescent="0.3">
      <c r="A194" s="2" t="s">
        <v>808</v>
      </c>
      <c r="B194" s="2" t="s">
        <v>731</v>
      </c>
      <c r="C194" s="2" t="s">
        <v>809</v>
      </c>
      <c r="D194" s="2">
        <v>1</v>
      </c>
      <c r="E194" s="3">
        <v>250</v>
      </c>
      <c r="F194" s="3">
        <v>390</v>
      </c>
    </row>
    <row r="195" spans="1:6" x14ac:dyDescent="0.3">
      <c r="A195" s="5" t="s">
        <v>811</v>
      </c>
      <c r="B195" s="5" t="s">
        <v>731</v>
      </c>
      <c r="C195" s="5" t="s">
        <v>812</v>
      </c>
      <c r="D195" s="5">
        <v>102</v>
      </c>
      <c r="E195" s="6">
        <v>1800</v>
      </c>
      <c r="F195" s="6">
        <v>2700</v>
      </c>
    </row>
    <row r="196" spans="1:6" x14ac:dyDescent="0.3">
      <c r="A196" s="2" t="s">
        <v>815</v>
      </c>
      <c r="B196" s="2" t="s">
        <v>816</v>
      </c>
      <c r="C196" s="2" t="s">
        <v>818</v>
      </c>
      <c r="D196" s="2">
        <v>70</v>
      </c>
      <c r="E196" s="3">
        <v>3500</v>
      </c>
      <c r="F196" s="3">
        <v>4800</v>
      </c>
    </row>
    <row r="197" spans="1:6" x14ac:dyDescent="0.3">
      <c r="A197" s="5" t="s">
        <v>822</v>
      </c>
      <c r="B197" s="5" t="s">
        <v>816</v>
      </c>
      <c r="C197" s="5" t="s">
        <v>823</v>
      </c>
      <c r="D197" s="5">
        <v>30</v>
      </c>
      <c r="E197" s="6">
        <v>3200</v>
      </c>
      <c r="F197" s="6">
        <v>4500</v>
      </c>
    </row>
    <row r="198" spans="1:6" x14ac:dyDescent="0.3">
      <c r="A198" s="2" t="s">
        <v>827</v>
      </c>
      <c r="B198" s="2" t="s">
        <v>816</v>
      </c>
      <c r="C198" s="2" t="s">
        <v>828</v>
      </c>
      <c r="D198" s="2">
        <v>122</v>
      </c>
      <c r="E198" s="3">
        <v>3300</v>
      </c>
      <c r="F198" s="3">
        <v>4600</v>
      </c>
    </row>
    <row r="199" spans="1:6" x14ac:dyDescent="0.3">
      <c r="A199" s="5" t="s">
        <v>832</v>
      </c>
      <c r="B199" s="5" t="s">
        <v>816</v>
      </c>
      <c r="C199" s="5" t="s">
        <v>833</v>
      </c>
      <c r="D199" s="5">
        <v>69</v>
      </c>
      <c r="E199" s="6">
        <v>1200</v>
      </c>
      <c r="F199" s="6">
        <v>1750</v>
      </c>
    </row>
    <row r="200" spans="1:6" x14ac:dyDescent="0.3">
      <c r="A200" s="2" t="s">
        <v>837</v>
      </c>
      <c r="B200" s="2" t="s">
        <v>816</v>
      </c>
      <c r="C200" s="2" t="s">
        <v>838</v>
      </c>
      <c r="D200" s="2">
        <v>25</v>
      </c>
      <c r="E200" s="3">
        <v>550</v>
      </c>
      <c r="F200" s="3">
        <v>800</v>
      </c>
    </row>
    <row r="201" spans="1:6" x14ac:dyDescent="0.3">
      <c r="A201" s="5" t="s">
        <v>840</v>
      </c>
      <c r="B201" s="5" t="s">
        <v>816</v>
      </c>
      <c r="C201" s="5" t="s">
        <v>841</v>
      </c>
      <c r="D201" s="5">
        <v>107</v>
      </c>
      <c r="E201" s="6">
        <v>650</v>
      </c>
      <c r="F201" s="6">
        <v>950</v>
      </c>
    </row>
    <row r="202" spans="1:6" x14ac:dyDescent="0.3">
      <c r="A202" s="2" t="s">
        <v>844</v>
      </c>
      <c r="B202" s="2" t="s">
        <v>816</v>
      </c>
      <c r="C202" s="2" t="s">
        <v>845</v>
      </c>
      <c r="D202" s="2">
        <v>118</v>
      </c>
      <c r="E202" s="3">
        <v>380</v>
      </c>
      <c r="F202" s="3">
        <v>560</v>
      </c>
    </row>
    <row r="203" spans="1:6" x14ac:dyDescent="0.3">
      <c r="A203" s="5" t="s">
        <v>847</v>
      </c>
      <c r="B203" s="5" t="s">
        <v>816</v>
      </c>
      <c r="C203" s="5" t="s">
        <v>848</v>
      </c>
      <c r="D203" s="5">
        <v>142</v>
      </c>
      <c r="E203" s="6">
        <v>320</v>
      </c>
      <c r="F203" s="6">
        <v>480</v>
      </c>
    </row>
    <row r="204" spans="1:6" x14ac:dyDescent="0.3">
      <c r="A204" s="2" t="s">
        <v>850</v>
      </c>
      <c r="B204" s="2" t="s">
        <v>816</v>
      </c>
      <c r="C204" s="2" t="s">
        <v>852</v>
      </c>
      <c r="D204" s="2">
        <v>23</v>
      </c>
      <c r="E204" s="3">
        <v>12500</v>
      </c>
      <c r="F204" s="3">
        <v>16500</v>
      </c>
    </row>
    <row r="205" spans="1:6" x14ac:dyDescent="0.3">
      <c r="A205" s="5" t="s">
        <v>855</v>
      </c>
      <c r="B205" s="5" t="s">
        <v>816</v>
      </c>
      <c r="C205" s="5" t="s">
        <v>856</v>
      </c>
      <c r="D205" s="5">
        <v>120</v>
      </c>
      <c r="E205" s="6">
        <v>16000</v>
      </c>
      <c r="F205" s="6">
        <v>21000</v>
      </c>
    </row>
    <row r="206" spans="1:6" x14ac:dyDescent="0.3">
      <c r="A206" s="2" t="s">
        <v>860</v>
      </c>
      <c r="B206" s="2" t="s">
        <v>816</v>
      </c>
      <c r="C206" s="2" t="s">
        <v>861</v>
      </c>
      <c r="D206" s="2">
        <v>19</v>
      </c>
      <c r="E206" s="3">
        <v>14000</v>
      </c>
      <c r="F206" s="3">
        <v>18500</v>
      </c>
    </row>
    <row r="207" spans="1:6" x14ac:dyDescent="0.3">
      <c r="A207" s="5" t="s">
        <v>865</v>
      </c>
      <c r="B207" s="5" t="s">
        <v>816</v>
      </c>
      <c r="C207" s="5" t="s">
        <v>866</v>
      </c>
      <c r="D207" s="5">
        <v>61</v>
      </c>
      <c r="E207" s="6">
        <v>16500</v>
      </c>
      <c r="F207" s="6">
        <v>21500</v>
      </c>
    </row>
    <row r="208" spans="1:6" x14ac:dyDescent="0.3">
      <c r="A208" s="2" t="s">
        <v>869</v>
      </c>
      <c r="B208" s="2" t="s">
        <v>816</v>
      </c>
      <c r="C208" s="2" t="s">
        <v>870</v>
      </c>
      <c r="D208" s="2">
        <v>11</v>
      </c>
      <c r="E208" s="3">
        <v>10500</v>
      </c>
      <c r="F208" s="3">
        <v>14000</v>
      </c>
    </row>
    <row r="209" spans="1:6" x14ac:dyDescent="0.3">
      <c r="A209" s="5" t="s">
        <v>874</v>
      </c>
      <c r="B209" s="5" t="s">
        <v>816</v>
      </c>
      <c r="C209" s="5" t="s">
        <v>876</v>
      </c>
      <c r="D209" s="5">
        <v>143</v>
      </c>
      <c r="E209" s="6">
        <v>1800</v>
      </c>
      <c r="F209" s="6">
        <v>2700</v>
      </c>
    </row>
    <row r="210" spans="1:6" x14ac:dyDescent="0.3">
      <c r="A210" s="2" t="s">
        <v>879</v>
      </c>
      <c r="B210" s="2" t="s">
        <v>816</v>
      </c>
      <c r="C210" s="2" t="s">
        <v>880</v>
      </c>
      <c r="D210" s="2">
        <v>115</v>
      </c>
      <c r="E210" s="3">
        <v>2500</v>
      </c>
      <c r="F210" s="3">
        <v>3800</v>
      </c>
    </row>
    <row r="211" spans="1:6" x14ac:dyDescent="0.3">
      <c r="A211" s="5" t="s">
        <v>882</v>
      </c>
      <c r="B211" s="5" t="s">
        <v>816</v>
      </c>
      <c r="C211" s="5" t="s">
        <v>883</v>
      </c>
      <c r="D211" s="5">
        <v>53</v>
      </c>
      <c r="E211" s="6">
        <v>380</v>
      </c>
      <c r="F211" s="6">
        <v>600</v>
      </c>
    </row>
    <row r="212" spans="1:6" x14ac:dyDescent="0.3">
      <c r="A212" s="2" t="s">
        <v>885</v>
      </c>
      <c r="B212" s="2" t="s">
        <v>816</v>
      </c>
      <c r="C212" s="2" t="s">
        <v>886</v>
      </c>
      <c r="D212" s="2">
        <v>150</v>
      </c>
      <c r="E212" s="3">
        <v>180</v>
      </c>
      <c r="F212" s="3">
        <v>290</v>
      </c>
    </row>
    <row r="213" spans="1:6" x14ac:dyDescent="0.3">
      <c r="A213" s="5" t="s">
        <v>889</v>
      </c>
      <c r="B213" s="5" t="s">
        <v>816</v>
      </c>
      <c r="C213" s="5" t="s">
        <v>890</v>
      </c>
      <c r="D213" s="5">
        <v>0</v>
      </c>
      <c r="E213" s="6">
        <v>550</v>
      </c>
      <c r="F213" s="6">
        <v>850</v>
      </c>
    </row>
    <row r="214" spans="1:6" x14ac:dyDescent="0.3">
      <c r="A214" s="2" t="s">
        <v>892</v>
      </c>
      <c r="B214" s="2" t="s">
        <v>816</v>
      </c>
      <c r="C214" s="2" t="s">
        <v>893</v>
      </c>
      <c r="D214" s="2">
        <v>34</v>
      </c>
      <c r="E214" s="3">
        <v>1800</v>
      </c>
      <c r="F214" s="3">
        <v>2800</v>
      </c>
    </row>
    <row r="215" spans="1:6" x14ac:dyDescent="0.3">
      <c r="A215" s="5" t="s">
        <v>895</v>
      </c>
      <c r="B215" s="5" t="s">
        <v>816</v>
      </c>
      <c r="C215" s="5" t="s">
        <v>896</v>
      </c>
      <c r="D215" s="5">
        <v>29</v>
      </c>
      <c r="E215" s="6">
        <v>5500</v>
      </c>
      <c r="F215" s="6">
        <v>8000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2"/>
  <sheetViews>
    <sheetView zoomScaleNormal="100" workbookViewId="0">
      <pane ySplit="2" topLeftCell="A3" activePane="bottomLeft" state="frozen"/>
      <selection pane="bottomLeft" activeCell="F24" sqref="F24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0" customWidth="1"/>
    <col min="4" max="4" width="24" customWidth="1"/>
    <col min="5" max="5" width="12" customWidth="1"/>
    <col min="6" max="6" width="34" customWidth="1"/>
    <col min="7" max="7" width="26" customWidth="1"/>
    <col min="8" max="8" width="12" customWidth="1"/>
    <col min="9" max="11" width="18" customWidth="1"/>
    <col min="12" max="12" width="16" customWidth="1"/>
  </cols>
  <sheetData>
    <row r="1" spans="1:12" ht="30" customHeight="1" x14ac:dyDescent="0.3">
      <c r="A1" s="14" t="s">
        <v>1666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7.6" x14ac:dyDescent="0.3">
      <c r="A2" s="1" t="s">
        <v>1667</v>
      </c>
      <c r="B2" s="1" t="s">
        <v>1668</v>
      </c>
      <c r="C2" s="1" t="s">
        <v>899</v>
      </c>
      <c r="D2" s="1" t="s">
        <v>900</v>
      </c>
      <c r="E2" s="1" t="s">
        <v>1</v>
      </c>
      <c r="F2" s="1" t="s">
        <v>4</v>
      </c>
      <c r="G2" s="1" t="s">
        <v>2</v>
      </c>
      <c r="H2" s="1" t="s">
        <v>1669</v>
      </c>
      <c r="I2" s="1" t="s">
        <v>1670</v>
      </c>
      <c r="J2" s="1" t="s">
        <v>1671</v>
      </c>
      <c r="K2" s="1" t="s">
        <v>15</v>
      </c>
      <c r="L2" s="1" t="s">
        <v>1672</v>
      </c>
    </row>
    <row r="3" spans="1:12" x14ac:dyDescent="0.3">
      <c r="A3" s="2" t="s">
        <v>1673</v>
      </c>
      <c r="B3" s="2" t="s">
        <v>1674</v>
      </c>
      <c r="C3" s="2" t="s">
        <v>960</v>
      </c>
      <c r="D3" s="2" t="s">
        <v>114</v>
      </c>
      <c r="E3" s="2" t="s">
        <v>53</v>
      </c>
      <c r="F3" s="2" t="s">
        <v>52</v>
      </c>
      <c r="G3" s="2" t="s">
        <v>17</v>
      </c>
      <c r="H3" s="2">
        <v>66</v>
      </c>
      <c r="I3" s="3">
        <v>52000</v>
      </c>
      <c r="J3" s="3">
        <f t="shared" ref="J3:J34" si="0">H3*I3</f>
        <v>3432000</v>
      </c>
      <c r="K3" s="2" t="s">
        <v>1675</v>
      </c>
      <c r="L3" s="2" t="s">
        <v>1676</v>
      </c>
    </row>
    <row r="4" spans="1:12" x14ac:dyDescent="0.3">
      <c r="A4" s="5" t="s">
        <v>1677</v>
      </c>
      <c r="B4" s="5" t="s">
        <v>1678</v>
      </c>
      <c r="C4" s="5" t="s">
        <v>1144</v>
      </c>
      <c r="D4" s="5" t="s">
        <v>825</v>
      </c>
      <c r="E4" s="5" t="s">
        <v>881</v>
      </c>
      <c r="F4" s="5" t="s">
        <v>880</v>
      </c>
      <c r="G4" s="5" t="s">
        <v>816</v>
      </c>
      <c r="H4" s="5">
        <v>40</v>
      </c>
      <c r="I4" s="6">
        <v>2500</v>
      </c>
      <c r="J4" s="6">
        <f t="shared" si="0"/>
        <v>100000</v>
      </c>
      <c r="K4" s="5" t="s">
        <v>1679</v>
      </c>
      <c r="L4" s="5" t="s">
        <v>1676</v>
      </c>
    </row>
    <row r="5" spans="1:12" x14ac:dyDescent="0.3">
      <c r="A5" s="2" t="s">
        <v>1680</v>
      </c>
      <c r="B5" s="2" t="s">
        <v>1681</v>
      </c>
      <c r="C5" s="2" t="s">
        <v>1103</v>
      </c>
      <c r="D5" s="2" t="s">
        <v>503</v>
      </c>
      <c r="E5" s="2" t="s">
        <v>539</v>
      </c>
      <c r="F5" s="2" t="s">
        <v>538</v>
      </c>
      <c r="G5" s="2" t="s">
        <v>469</v>
      </c>
      <c r="H5" s="2">
        <v>14</v>
      </c>
      <c r="I5" s="3">
        <v>180</v>
      </c>
      <c r="J5" s="3">
        <f t="shared" si="0"/>
        <v>2520</v>
      </c>
      <c r="K5" s="2" t="s">
        <v>1679</v>
      </c>
      <c r="L5" s="2" t="s">
        <v>1682</v>
      </c>
    </row>
    <row r="6" spans="1:12" x14ac:dyDescent="0.3">
      <c r="A6" s="5" t="s">
        <v>1683</v>
      </c>
      <c r="B6" s="5" t="s">
        <v>1684</v>
      </c>
      <c r="C6" s="5" t="s">
        <v>960</v>
      </c>
      <c r="D6" s="5" t="s">
        <v>114</v>
      </c>
      <c r="E6" s="5" t="s">
        <v>69</v>
      </c>
      <c r="F6" s="5" t="s">
        <v>68</v>
      </c>
      <c r="G6" s="5" t="s">
        <v>17</v>
      </c>
      <c r="H6" s="5">
        <v>22</v>
      </c>
      <c r="I6" s="6">
        <v>108000</v>
      </c>
      <c r="J6" s="6">
        <f t="shared" si="0"/>
        <v>2376000</v>
      </c>
      <c r="K6" s="5" t="s">
        <v>1685</v>
      </c>
      <c r="L6" s="5" t="s">
        <v>1686</v>
      </c>
    </row>
    <row r="7" spans="1:12" x14ac:dyDescent="0.3">
      <c r="A7" s="2" t="s">
        <v>1687</v>
      </c>
      <c r="B7" s="2" t="s">
        <v>1688</v>
      </c>
      <c r="C7" s="2" t="s">
        <v>998</v>
      </c>
      <c r="D7" s="2" t="s">
        <v>218</v>
      </c>
      <c r="E7" s="2" t="s">
        <v>324</v>
      </c>
      <c r="F7" s="2" t="s">
        <v>323</v>
      </c>
      <c r="G7" s="2" t="s">
        <v>169</v>
      </c>
      <c r="H7" s="2">
        <v>38</v>
      </c>
      <c r="I7" s="3">
        <v>750</v>
      </c>
      <c r="J7" s="3">
        <f t="shared" si="0"/>
        <v>28500</v>
      </c>
      <c r="K7" s="2" t="s">
        <v>1689</v>
      </c>
      <c r="L7" s="2" t="s">
        <v>1676</v>
      </c>
    </row>
    <row r="8" spans="1:12" x14ac:dyDescent="0.3">
      <c r="A8" s="5" t="s">
        <v>1690</v>
      </c>
      <c r="B8" s="5" t="s">
        <v>1691</v>
      </c>
      <c r="C8" s="5" t="s">
        <v>1064</v>
      </c>
      <c r="D8" s="5" t="s">
        <v>363</v>
      </c>
      <c r="E8" s="5" t="s">
        <v>345</v>
      </c>
      <c r="F8" s="5" t="s">
        <v>344</v>
      </c>
      <c r="G8" s="5" t="s">
        <v>330</v>
      </c>
      <c r="H8" s="5">
        <v>51</v>
      </c>
      <c r="I8" s="6">
        <v>1800</v>
      </c>
      <c r="J8" s="6">
        <f t="shared" si="0"/>
        <v>91800</v>
      </c>
      <c r="K8" s="5" t="s">
        <v>1679</v>
      </c>
      <c r="L8" s="5" t="s">
        <v>1686</v>
      </c>
    </row>
    <row r="9" spans="1:12" x14ac:dyDescent="0.3">
      <c r="A9" s="2" t="s">
        <v>1692</v>
      </c>
      <c r="B9" s="2" t="s">
        <v>1693</v>
      </c>
      <c r="C9" s="2" t="s">
        <v>1107</v>
      </c>
      <c r="D9" s="2" t="s">
        <v>556</v>
      </c>
      <c r="E9" s="2" t="s">
        <v>482</v>
      </c>
      <c r="F9" s="2" t="s">
        <v>481</v>
      </c>
      <c r="G9" s="2" t="s">
        <v>469</v>
      </c>
      <c r="H9" s="2">
        <v>53</v>
      </c>
      <c r="I9" s="3">
        <v>845</v>
      </c>
      <c r="J9" s="3">
        <f t="shared" si="0"/>
        <v>44785</v>
      </c>
      <c r="K9" s="2" t="s">
        <v>1675</v>
      </c>
      <c r="L9" s="2" t="s">
        <v>1682</v>
      </c>
    </row>
    <row r="10" spans="1:12" x14ac:dyDescent="0.3">
      <c r="A10" s="5" t="s">
        <v>1694</v>
      </c>
      <c r="B10" s="5" t="s">
        <v>1695</v>
      </c>
      <c r="C10" s="5" t="s">
        <v>985</v>
      </c>
      <c r="D10" s="5" t="s">
        <v>173</v>
      </c>
      <c r="E10" s="5" t="s">
        <v>269</v>
      </c>
      <c r="F10" s="5" t="s">
        <v>268</v>
      </c>
      <c r="G10" s="5" t="s">
        <v>169</v>
      </c>
      <c r="H10" s="5">
        <v>29</v>
      </c>
      <c r="I10" s="6">
        <v>480</v>
      </c>
      <c r="J10" s="6">
        <f t="shared" si="0"/>
        <v>13920</v>
      </c>
      <c r="K10" s="5" t="s">
        <v>1685</v>
      </c>
      <c r="L10" s="5" t="s">
        <v>1682</v>
      </c>
    </row>
    <row r="11" spans="1:12" x14ac:dyDescent="0.3">
      <c r="A11" s="2" t="s">
        <v>1696</v>
      </c>
      <c r="B11" s="2" t="s">
        <v>1697</v>
      </c>
      <c r="C11" s="2" t="s">
        <v>1139</v>
      </c>
      <c r="D11" s="2" t="s">
        <v>820</v>
      </c>
      <c r="E11" s="2" t="s">
        <v>834</v>
      </c>
      <c r="F11" s="2" t="s">
        <v>833</v>
      </c>
      <c r="G11" s="2" t="s">
        <v>816</v>
      </c>
      <c r="H11" s="2">
        <v>45</v>
      </c>
      <c r="I11" s="3">
        <v>1200</v>
      </c>
      <c r="J11" s="3">
        <f t="shared" si="0"/>
        <v>54000</v>
      </c>
      <c r="K11" s="2" t="s">
        <v>1689</v>
      </c>
      <c r="L11" s="2" t="s">
        <v>1686</v>
      </c>
    </row>
    <row r="12" spans="1:12" x14ac:dyDescent="0.3">
      <c r="A12" s="5" t="s">
        <v>1698</v>
      </c>
      <c r="B12" s="5" t="s">
        <v>1699</v>
      </c>
      <c r="C12" s="5" t="s">
        <v>965</v>
      </c>
      <c r="D12" s="5" t="s">
        <v>133</v>
      </c>
      <c r="E12" s="5" t="s">
        <v>90</v>
      </c>
      <c r="F12" s="5" t="s">
        <v>89</v>
      </c>
      <c r="G12" s="5" t="s">
        <v>17</v>
      </c>
      <c r="H12" s="5">
        <v>79</v>
      </c>
      <c r="I12" s="6">
        <v>290000</v>
      </c>
      <c r="J12" s="6">
        <f t="shared" si="0"/>
        <v>22910000</v>
      </c>
      <c r="K12" s="5" t="s">
        <v>1685</v>
      </c>
      <c r="L12" s="5" t="s">
        <v>1682</v>
      </c>
    </row>
    <row r="13" spans="1:12" x14ac:dyDescent="0.3">
      <c r="A13" s="2" t="s">
        <v>1700</v>
      </c>
      <c r="B13" s="2" t="s">
        <v>1701</v>
      </c>
      <c r="C13" s="2" t="s">
        <v>994</v>
      </c>
      <c r="D13" s="2" t="s">
        <v>189</v>
      </c>
      <c r="E13" s="2" t="s">
        <v>254</v>
      </c>
      <c r="F13" s="2" t="s">
        <v>253</v>
      </c>
      <c r="G13" s="2" t="s">
        <v>169</v>
      </c>
      <c r="H13" s="2">
        <v>35</v>
      </c>
      <c r="I13" s="3">
        <v>580</v>
      </c>
      <c r="J13" s="3">
        <f t="shared" si="0"/>
        <v>20300</v>
      </c>
      <c r="K13" s="2" t="s">
        <v>1675</v>
      </c>
      <c r="L13" s="2" t="s">
        <v>1676</v>
      </c>
    </row>
    <row r="14" spans="1:12" x14ac:dyDescent="0.3">
      <c r="A14" s="5" t="s">
        <v>1702</v>
      </c>
      <c r="B14" s="5" t="s">
        <v>1703</v>
      </c>
      <c r="C14" s="5" t="s">
        <v>1064</v>
      </c>
      <c r="D14" s="5" t="s">
        <v>363</v>
      </c>
      <c r="E14" s="5" t="s">
        <v>345</v>
      </c>
      <c r="F14" s="5" t="s">
        <v>344</v>
      </c>
      <c r="G14" s="5" t="s">
        <v>330</v>
      </c>
      <c r="H14" s="5">
        <v>89</v>
      </c>
      <c r="I14" s="6">
        <v>1800</v>
      </c>
      <c r="J14" s="6">
        <f t="shared" si="0"/>
        <v>160200</v>
      </c>
      <c r="K14" s="5" t="s">
        <v>1675</v>
      </c>
      <c r="L14" s="5" t="s">
        <v>1682</v>
      </c>
    </row>
    <row r="15" spans="1:12" x14ac:dyDescent="0.3">
      <c r="A15" s="2" t="s">
        <v>1704</v>
      </c>
      <c r="B15" s="2" t="s">
        <v>1705</v>
      </c>
      <c r="C15" s="2" t="s">
        <v>994</v>
      </c>
      <c r="D15" s="2" t="s">
        <v>189</v>
      </c>
      <c r="E15" s="2" t="s">
        <v>180</v>
      </c>
      <c r="F15" s="2" t="s">
        <v>179</v>
      </c>
      <c r="G15" s="2" t="s">
        <v>169</v>
      </c>
      <c r="H15" s="2">
        <v>77</v>
      </c>
      <c r="I15" s="3">
        <v>1100</v>
      </c>
      <c r="J15" s="3">
        <f t="shared" si="0"/>
        <v>84700</v>
      </c>
      <c r="K15" s="2" t="s">
        <v>1685</v>
      </c>
      <c r="L15" s="2" t="s">
        <v>1682</v>
      </c>
    </row>
    <row r="16" spans="1:12" x14ac:dyDescent="0.3">
      <c r="A16" s="5" t="s">
        <v>1706</v>
      </c>
      <c r="B16" s="5" t="s">
        <v>1707</v>
      </c>
      <c r="C16" s="5" t="s">
        <v>907</v>
      </c>
      <c r="D16" s="5" t="s">
        <v>21</v>
      </c>
      <c r="E16" s="5" t="s">
        <v>139</v>
      </c>
      <c r="F16" s="5" t="s">
        <v>138</v>
      </c>
      <c r="G16" s="5" t="s">
        <v>17</v>
      </c>
      <c r="H16" s="5">
        <v>61</v>
      </c>
      <c r="I16" s="6">
        <v>80000</v>
      </c>
      <c r="J16" s="6">
        <f t="shared" si="0"/>
        <v>4880000</v>
      </c>
      <c r="K16" s="5" t="s">
        <v>1679</v>
      </c>
      <c r="L16" s="5" t="s">
        <v>1676</v>
      </c>
    </row>
    <row r="17" spans="1:12" x14ac:dyDescent="0.3">
      <c r="A17" s="2" t="s">
        <v>1708</v>
      </c>
      <c r="B17" s="2" t="s">
        <v>1709</v>
      </c>
      <c r="C17" s="2" t="s">
        <v>1103</v>
      </c>
      <c r="D17" s="2" t="s">
        <v>503</v>
      </c>
      <c r="E17" s="2" t="s">
        <v>472</v>
      </c>
      <c r="F17" s="2" t="s">
        <v>471</v>
      </c>
      <c r="G17" s="2" t="s">
        <v>469</v>
      </c>
      <c r="H17" s="2">
        <v>62</v>
      </c>
      <c r="I17" s="3">
        <v>850</v>
      </c>
      <c r="J17" s="3">
        <f t="shared" si="0"/>
        <v>52700</v>
      </c>
      <c r="K17" s="2" t="s">
        <v>1679</v>
      </c>
      <c r="L17" s="2" t="s">
        <v>1682</v>
      </c>
    </row>
    <row r="18" spans="1:12" x14ac:dyDescent="0.3">
      <c r="A18" s="5" t="s">
        <v>1710</v>
      </c>
      <c r="B18" s="5" t="s">
        <v>1711</v>
      </c>
      <c r="C18" s="5" t="s">
        <v>998</v>
      </c>
      <c r="D18" s="5" t="s">
        <v>218</v>
      </c>
      <c r="E18" s="5" t="s">
        <v>172</v>
      </c>
      <c r="F18" s="5" t="s">
        <v>171</v>
      </c>
      <c r="G18" s="5" t="s">
        <v>169</v>
      </c>
      <c r="H18" s="5">
        <v>71</v>
      </c>
      <c r="I18" s="6">
        <v>3800</v>
      </c>
      <c r="J18" s="6">
        <f t="shared" si="0"/>
        <v>269800</v>
      </c>
      <c r="K18" s="5" t="s">
        <v>1679</v>
      </c>
      <c r="L18" s="5" t="s">
        <v>1676</v>
      </c>
    </row>
    <row r="19" spans="1:12" x14ac:dyDescent="0.3">
      <c r="A19" s="2" t="s">
        <v>1712</v>
      </c>
      <c r="B19" s="2" t="s">
        <v>1713</v>
      </c>
      <c r="C19" s="2" t="s">
        <v>1103</v>
      </c>
      <c r="D19" s="2" t="s">
        <v>503</v>
      </c>
      <c r="E19" s="2" t="s">
        <v>499</v>
      </c>
      <c r="F19" s="2" t="s">
        <v>498</v>
      </c>
      <c r="G19" s="2" t="s">
        <v>469</v>
      </c>
      <c r="H19" s="2">
        <v>26</v>
      </c>
      <c r="I19" s="3">
        <v>200</v>
      </c>
      <c r="J19" s="3">
        <f t="shared" si="0"/>
        <v>5200</v>
      </c>
      <c r="K19" s="2" t="s">
        <v>1679</v>
      </c>
      <c r="L19" s="2" t="s">
        <v>1676</v>
      </c>
    </row>
    <row r="20" spans="1:12" x14ac:dyDescent="0.3">
      <c r="A20" s="5" t="s">
        <v>1714</v>
      </c>
      <c r="B20" s="5" t="s">
        <v>1715</v>
      </c>
      <c r="C20" s="5" t="s">
        <v>1144</v>
      </c>
      <c r="D20" s="5" t="s">
        <v>825</v>
      </c>
      <c r="E20" s="5" t="s">
        <v>834</v>
      </c>
      <c r="F20" s="5" t="s">
        <v>833</v>
      </c>
      <c r="G20" s="5" t="s">
        <v>816</v>
      </c>
      <c r="H20" s="5">
        <v>46</v>
      </c>
      <c r="I20" s="6">
        <v>1200</v>
      </c>
      <c r="J20" s="6">
        <f t="shared" si="0"/>
        <v>55200</v>
      </c>
      <c r="K20" s="5" t="s">
        <v>1689</v>
      </c>
      <c r="L20" s="5" t="s">
        <v>1676</v>
      </c>
    </row>
    <row r="21" spans="1:12" x14ac:dyDescent="0.3">
      <c r="A21" s="2" t="s">
        <v>1716</v>
      </c>
      <c r="B21" s="2" t="s">
        <v>1695</v>
      </c>
      <c r="C21" s="2" t="s">
        <v>1107</v>
      </c>
      <c r="D21" s="2" t="s">
        <v>556</v>
      </c>
      <c r="E21" s="2" t="s">
        <v>596</v>
      </c>
      <c r="F21" s="2" t="s">
        <v>595</v>
      </c>
      <c r="G21" s="2" t="s">
        <v>469</v>
      </c>
      <c r="H21" s="2">
        <v>10</v>
      </c>
      <c r="I21" s="3">
        <v>1800</v>
      </c>
      <c r="J21" s="3">
        <f t="shared" si="0"/>
        <v>18000</v>
      </c>
      <c r="K21" s="2" t="s">
        <v>1685</v>
      </c>
      <c r="L21" s="2" t="s">
        <v>1686</v>
      </c>
    </row>
    <row r="22" spans="1:12" x14ac:dyDescent="0.3">
      <c r="A22" s="5" t="s">
        <v>1717</v>
      </c>
      <c r="B22" s="5" t="s">
        <v>1718</v>
      </c>
      <c r="C22" s="5" t="s">
        <v>960</v>
      </c>
      <c r="D22" s="5" t="s">
        <v>114</v>
      </c>
      <c r="E22" s="5" t="s">
        <v>105</v>
      </c>
      <c r="F22" s="5" t="s">
        <v>104</v>
      </c>
      <c r="G22" s="5" t="s">
        <v>17</v>
      </c>
      <c r="H22" s="5">
        <v>62</v>
      </c>
      <c r="I22" s="6">
        <v>42000</v>
      </c>
      <c r="J22" s="6">
        <f t="shared" si="0"/>
        <v>2604000</v>
      </c>
      <c r="K22" s="5" t="s">
        <v>1689</v>
      </c>
      <c r="L22" s="5" t="s">
        <v>1682</v>
      </c>
    </row>
    <row r="23" spans="1:12" x14ac:dyDescent="0.3">
      <c r="A23" s="2" t="s">
        <v>1719</v>
      </c>
      <c r="B23" s="2" t="s">
        <v>1720</v>
      </c>
      <c r="C23" s="2" t="s">
        <v>1060</v>
      </c>
      <c r="D23" s="2" t="s">
        <v>342</v>
      </c>
      <c r="E23" s="2" t="s">
        <v>431</v>
      </c>
      <c r="F23" s="2" t="s">
        <v>430</v>
      </c>
      <c r="G23" s="2" t="s">
        <v>330</v>
      </c>
      <c r="H23" s="2">
        <v>91</v>
      </c>
      <c r="I23" s="3">
        <v>2200</v>
      </c>
      <c r="J23" s="3">
        <f t="shared" si="0"/>
        <v>200200</v>
      </c>
      <c r="K23" s="2" t="s">
        <v>1679</v>
      </c>
      <c r="L23" s="2" t="s">
        <v>1682</v>
      </c>
    </row>
    <row r="24" spans="1:12" x14ac:dyDescent="0.3">
      <c r="A24" s="5" t="s">
        <v>1721</v>
      </c>
      <c r="B24" s="5" t="s">
        <v>1722</v>
      </c>
      <c r="C24" s="5" t="s">
        <v>998</v>
      </c>
      <c r="D24" s="5" t="s">
        <v>218</v>
      </c>
      <c r="E24" s="5" t="s">
        <v>309</v>
      </c>
      <c r="F24" s="5" t="s">
        <v>308</v>
      </c>
      <c r="G24" s="5" t="s">
        <v>169</v>
      </c>
      <c r="H24" s="5">
        <v>66</v>
      </c>
      <c r="I24" s="6">
        <v>280</v>
      </c>
      <c r="J24" s="6">
        <f t="shared" si="0"/>
        <v>18480</v>
      </c>
      <c r="K24" s="5" t="s">
        <v>1689</v>
      </c>
      <c r="L24" s="5" t="s">
        <v>1676</v>
      </c>
    </row>
    <row r="25" spans="1:12" x14ac:dyDescent="0.3">
      <c r="A25" s="2" t="s">
        <v>1723</v>
      </c>
      <c r="B25" s="2" t="s">
        <v>1724</v>
      </c>
      <c r="C25" s="2" t="s">
        <v>1107</v>
      </c>
      <c r="D25" s="2" t="s">
        <v>556</v>
      </c>
      <c r="E25" s="2" t="s">
        <v>539</v>
      </c>
      <c r="F25" s="2" t="s">
        <v>538</v>
      </c>
      <c r="G25" s="2" t="s">
        <v>469</v>
      </c>
      <c r="H25" s="2">
        <v>64</v>
      </c>
      <c r="I25" s="3">
        <v>180</v>
      </c>
      <c r="J25" s="3">
        <f t="shared" si="0"/>
        <v>11520</v>
      </c>
      <c r="K25" s="2" t="s">
        <v>1689</v>
      </c>
      <c r="L25" s="2" t="s">
        <v>1676</v>
      </c>
    </row>
    <row r="26" spans="1:12" x14ac:dyDescent="0.3">
      <c r="A26" s="5" t="s">
        <v>1725</v>
      </c>
      <c r="B26" s="5" t="s">
        <v>1688</v>
      </c>
      <c r="C26" s="5" t="s">
        <v>1107</v>
      </c>
      <c r="D26" s="5" t="s">
        <v>556</v>
      </c>
      <c r="E26" s="5" t="s">
        <v>593</v>
      </c>
      <c r="F26" s="5" t="s">
        <v>592</v>
      </c>
      <c r="G26" s="5" t="s">
        <v>469</v>
      </c>
      <c r="H26" s="5">
        <v>49</v>
      </c>
      <c r="I26" s="6">
        <v>450</v>
      </c>
      <c r="J26" s="6">
        <f t="shared" si="0"/>
        <v>22050</v>
      </c>
      <c r="K26" s="5" t="s">
        <v>1689</v>
      </c>
      <c r="L26" s="5" t="s">
        <v>1686</v>
      </c>
    </row>
    <row r="27" spans="1:12" x14ac:dyDescent="0.3">
      <c r="A27" s="2" t="s">
        <v>1726</v>
      </c>
      <c r="B27" s="2" t="s">
        <v>1727</v>
      </c>
      <c r="C27" s="2" t="s">
        <v>998</v>
      </c>
      <c r="D27" s="2" t="s">
        <v>218</v>
      </c>
      <c r="E27" s="2" t="s">
        <v>195</v>
      </c>
      <c r="F27" s="2" t="s">
        <v>194</v>
      </c>
      <c r="G27" s="2" t="s">
        <v>169</v>
      </c>
      <c r="H27" s="2">
        <v>61</v>
      </c>
      <c r="I27" s="3">
        <v>2000</v>
      </c>
      <c r="J27" s="3">
        <f t="shared" si="0"/>
        <v>122000</v>
      </c>
      <c r="K27" s="2" t="s">
        <v>1675</v>
      </c>
      <c r="L27" s="2" t="s">
        <v>1686</v>
      </c>
    </row>
    <row r="28" spans="1:12" x14ac:dyDescent="0.3">
      <c r="A28" s="5" t="s">
        <v>1728</v>
      </c>
      <c r="B28" s="5" t="s">
        <v>1729</v>
      </c>
      <c r="C28" s="5" t="s">
        <v>960</v>
      </c>
      <c r="D28" s="5" t="s">
        <v>114</v>
      </c>
      <c r="E28" s="5" t="s">
        <v>20</v>
      </c>
      <c r="F28" s="5" t="s">
        <v>19</v>
      </c>
      <c r="G28" s="5" t="s">
        <v>17</v>
      </c>
      <c r="H28" s="5">
        <v>73</v>
      </c>
      <c r="I28" s="6">
        <v>75000</v>
      </c>
      <c r="J28" s="6">
        <f t="shared" si="0"/>
        <v>5475000</v>
      </c>
      <c r="K28" s="5" t="s">
        <v>1675</v>
      </c>
      <c r="L28" s="5" t="s">
        <v>1676</v>
      </c>
    </row>
    <row r="29" spans="1:12" x14ac:dyDescent="0.3">
      <c r="A29" s="2" t="s">
        <v>1730</v>
      </c>
      <c r="B29" s="2" t="s">
        <v>1731</v>
      </c>
      <c r="C29" s="2" t="s">
        <v>907</v>
      </c>
      <c r="D29" s="2" t="s">
        <v>21</v>
      </c>
      <c r="E29" s="2" t="s">
        <v>118</v>
      </c>
      <c r="F29" s="2" t="s">
        <v>117</v>
      </c>
      <c r="G29" s="2" t="s">
        <v>17</v>
      </c>
      <c r="H29" s="2">
        <v>18</v>
      </c>
      <c r="I29" s="3">
        <v>55000</v>
      </c>
      <c r="J29" s="3">
        <f t="shared" si="0"/>
        <v>990000</v>
      </c>
      <c r="K29" s="2" t="s">
        <v>1689</v>
      </c>
      <c r="L29" s="2" t="s">
        <v>1686</v>
      </c>
    </row>
    <row r="30" spans="1:12" x14ac:dyDescent="0.3">
      <c r="A30" s="5" t="s">
        <v>1732</v>
      </c>
      <c r="B30" s="5" t="s">
        <v>1733</v>
      </c>
      <c r="C30" s="5" t="s">
        <v>1103</v>
      </c>
      <c r="D30" s="5" t="s">
        <v>503</v>
      </c>
      <c r="E30" s="5" t="s">
        <v>502</v>
      </c>
      <c r="F30" s="5" t="s">
        <v>501</v>
      </c>
      <c r="G30" s="5" t="s">
        <v>469</v>
      </c>
      <c r="H30" s="5">
        <v>69</v>
      </c>
      <c r="I30" s="6">
        <v>260</v>
      </c>
      <c r="J30" s="6">
        <f t="shared" si="0"/>
        <v>17940</v>
      </c>
      <c r="K30" s="5" t="s">
        <v>1689</v>
      </c>
      <c r="L30" s="5" t="s">
        <v>1686</v>
      </c>
    </row>
    <row r="31" spans="1:12" x14ac:dyDescent="0.3">
      <c r="A31" s="2" t="s">
        <v>1734</v>
      </c>
      <c r="B31" s="2" t="s">
        <v>1735</v>
      </c>
      <c r="C31" s="2" t="s">
        <v>1148</v>
      </c>
      <c r="D31" s="2" t="s">
        <v>854</v>
      </c>
      <c r="E31" s="2" t="s">
        <v>849</v>
      </c>
      <c r="F31" s="2" t="s">
        <v>848</v>
      </c>
      <c r="G31" s="2" t="s">
        <v>816</v>
      </c>
      <c r="H31" s="2">
        <v>63</v>
      </c>
      <c r="I31" s="3">
        <v>320</v>
      </c>
      <c r="J31" s="3">
        <f t="shared" si="0"/>
        <v>20160</v>
      </c>
      <c r="K31" s="2" t="s">
        <v>1689</v>
      </c>
      <c r="L31" s="2" t="s">
        <v>1686</v>
      </c>
    </row>
    <row r="32" spans="1:12" x14ac:dyDescent="0.3">
      <c r="A32" s="5" t="s">
        <v>1736</v>
      </c>
      <c r="B32" s="5" t="s">
        <v>1737</v>
      </c>
      <c r="C32" s="5" t="s">
        <v>1107</v>
      </c>
      <c r="D32" s="5" t="s">
        <v>556</v>
      </c>
      <c r="E32" s="5" t="s">
        <v>571</v>
      </c>
      <c r="F32" s="5" t="s">
        <v>570</v>
      </c>
      <c r="G32" s="5" t="s">
        <v>469</v>
      </c>
      <c r="H32" s="5">
        <v>24</v>
      </c>
      <c r="I32" s="6">
        <v>120</v>
      </c>
      <c r="J32" s="6">
        <f t="shared" si="0"/>
        <v>2880</v>
      </c>
      <c r="K32" s="5" t="s">
        <v>1679</v>
      </c>
      <c r="L32" s="5" t="s">
        <v>1686</v>
      </c>
    </row>
    <row r="33" spans="1:12" x14ac:dyDescent="0.3">
      <c r="A33" s="2" t="s">
        <v>1738</v>
      </c>
      <c r="B33" s="2" t="s">
        <v>1739</v>
      </c>
      <c r="C33" s="2" t="s">
        <v>965</v>
      </c>
      <c r="D33" s="2" t="s">
        <v>133</v>
      </c>
      <c r="E33" s="2" t="s">
        <v>53</v>
      </c>
      <c r="F33" s="2" t="s">
        <v>52</v>
      </c>
      <c r="G33" s="2" t="s">
        <v>17</v>
      </c>
      <c r="H33" s="2">
        <v>30</v>
      </c>
      <c r="I33" s="3">
        <v>52000</v>
      </c>
      <c r="J33" s="3">
        <f t="shared" si="0"/>
        <v>1560000</v>
      </c>
      <c r="K33" s="2" t="s">
        <v>1689</v>
      </c>
      <c r="L33" s="2" t="s">
        <v>1676</v>
      </c>
    </row>
    <row r="34" spans="1:12" x14ac:dyDescent="0.3">
      <c r="A34" s="5" t="s">
        <v>1740</v>
      </c>
      <c r="B34" s="5" t="s">
        <v>1741</v>
      </c>
      <c r="C34" s="5" t="s">
        <v>1060</v>
      </c>
      <c r="D34" s="5" t="s">
        <v>342</v>
      </c>
      <c r="E34" s="5" t="s">
        <v>337</v>
      </c>
      <c r="F34" s="5" t="s">
        <v>336</v>
      </c>
      <c r="G34" s="5" t="s">
        <v>330</v>
      </c>
      <c r="H34" s="5">
        <v>36</v>
      </c>
      <c r="I34" s="6">
        <v>1500</v>
      </c>
      <c r="J34" s="6">
        <f t="shared" si="0"/>
        <v>54000</v>
      </c>
      <c r="K34" s="5" t="s">
        <v>1685</v>
      </c>
      <c r="L34" s="5" t="s">
        <v>1676</v>
      </c>
    </row>
    <row r="35" spans="1:12" x14ac:dyDescent="0.3">
      <c r="A35" s="2" t="s">
        <v>1742</v>
      </c>
      <c r="B35" s="2" t="s">
        <v>1743</v>
      </c>
      <c r="C35" s="2" t="s">
        <v>1019</v>
      </c>
      <c r="D35" s="2" t="s">
        <v>691</v>
      </c>
      <c r="E35" s="2" t="s">
        <v>652</v>
      </c>
      <c r="F35" s="2" t="s">
        <v>651</v>
      </c>
      <c r="G35" s="2" t="s">
        <v>609</v>
      </c>
      <c r="H35" s="2">
        <v>18</v>
      </c>
      <c r="I35" s="3">
        <v>145</v>
      </c>
      <c r="J35" s="3">
        <f t="shared" ref="J35:J66" si="1">H35*I35</f>
        <v>2610</v>
      </c>
      <c r="K35" s="2" t="s">
        <v>1685</v>
      </c>
      <c r="L35" s="2" t="s">
        <v>1676</v>
      </c>
    </row>
    <row r="36" spans="1:12" x14ac:dyDescent="0.3">
      <c r="A36" s="5" t="s">
        <v>1744</v>
      </c>
      <c r="B36" s="5" t="s">
        <v>1745</v>
      </c>
      <c r="C36" s="5" t="s">
        <v>1085</v>
      </c>
      <c r="D36" s="5" t="s">
        <v>473</v>
      </c>
      <c r="E36" s="5" t="s">
        <v>526</v>
      </c>
      <c r="F36" s="5" t="s">
        <v>525</v>
      </c>
      <c r="G36" s="5" t="s">
        <v>469</v>
      </c>
      <c r="H36" s="5">
        <v>51</v>
      </c>
      <c r="I36" s="6">
        <v>1200</v>
      </c>
      <c r="J36" s="6">
        <f t="shared" si="1"/>
        <v>61200</v>
      </c>
      <c r="K36" s="5" t="s">
        <v>1689</v>
      </c>
      <c r="L36" s="5" t="s">
        <v>1676</v>
      </c>
    </row>
    <row r="37" spans="1:12" x14ac:dyDescent="0.3">
      <c r="A37" s="2" t="s">
        <v>1746</v>
      </c>
      <c r="B37" s="2" t="s">
        <v>1731</v>
      </c>
      <c r="C37" s="2" t="s">
        <v>985</v>
      </c>
      <c r="D37" s="2" t="s">
        <v>173</v>
      </c>
      <c r="E37" s="2" t="s">
        <v>214</v>
      </c>
      <c r="F37" s="2" t="s">
        <v>213</v>
      </c>
      <c r="G37" s="2" t="s">
        <v>169</v>
      </c>
      <c r="H37" s="2">
        <v>80</v>
      </c>
      <c r="I37" s="3">
        <v>65</v>
      </c>
      <c r="J37" s="3">
        <f t="shared" si="1"/>
        <v>5200</v>
      </c>
      <c r="K37" s="2" t="s">
        <v>1679</v>
      </c>
      <c r="L37" s="2" t="s">
        <v>1686</v>
      </c>
    </row>
    <row r="38" spans="1:12" x14ac:dyDescent="0.3">
      <c r="A38" s="5" t="s">
        <v>1747</v>
      </c>
      <c r="B38" s="5" t="s">
        <v>1748</v>
      </c>
      <c r="C38" s="5" t="s">
        <v>965</v>
      </c>
      <c r="D38" s="5" t="s">
        <v>133</v>
      </c>
      <c r="E38" s="5" t="s">
        <v>121</v>
      </c>
      <c r="F38" s="5" t="s">
        <v>120</v>
      </c>
      <c r="G38" s="5" t="s">
        <v>17</v>
      </c>
      <c r="H38" s="5">
        <v>44</v>
      </c>
      <c r="I38" s="6">
        <v>195000</v>
      </c>
      <c r="J38" s="6">
        <f t="shared" si="1"/>
        <v>8580000</v>
      </c>
      <c r="K38" s="5" t="s">
        <v>1689</v>
      </c>
      <c r="L38" s="5" t="s">
        <v>1682</v>
      </c>
    </row>
    <row r="39" spans="1:12" x14ac:dyDescent="0.3">
      <c r="A39" s="2" t="s">
        <v>1749</v>
      </c>
      <c r="B39" s="2" t="s">
        <v>1750</v>
      </c>
      <c r="C39" s="2" t="s">
        <v>1148</v>
      </c>
      <c r="D39" s="2" t="s">
        <v>854</v>
      </c>
      <c r="E39" s="2" t="s">
        <v>891</v>
      </c>
      <c r="F39" s="2" t="s">
        <v>890</v>
      </c>
      <c r="G39" s="2" t="s">
        <v>816</v>
      </c>
      <c r="H39" s="2">
        <v>97</v>
      </c>
      <c r="I39" s="3">
        <v>550</v>
      </c>
      <c r="J39" s="3">
        <f t="shared" si="1"/>
        <v>53350</v>
      </c>
      <c r="K39" s="2" t="s">
        <v>1689</v>
      </c>
      <c r="L39" s="2" t="s">
        <v>1686</v>
      </c>
    </row>
    <row r="40" spans="1:12" x14ac:dyDescent="0.3">
      <c r="A40" s="5" t="s">
        <v>1751</v>
      </c>
      <c r="B40" s="5" t="s">
        <v>1752</v>
      </c>
      <c r="C40" s="5" t="s">
        <v>1156</v>
      </c>
      <c r="D40" s="5" t="s">
        <v>740</v>
      </c>
      <c r="E40" s="5" t="s">
        <v>804</v>
      </c>
      <c r="F40" s="5" t="s">
        <v>803</v>
      </c>
      <c r="G40" s="5" t="s">
        <v>731</v>
      </c>
      <c r="H40" s="5">
        <v>39</v>
      </c>
      <c r="I40" s="6">
        <v>85</v>
      </c>
      <c r="J40" s="6">
        <f t="shared" si="1"/>
        <v>3315</v>
      </c>
      <c r="K40" s="5" t="s">
        <v>1685</v>
      </c>
      <c r="L40" s="5" t="s">
        <v>1676</v>
      </c>
    </row>
    <row r="41" spans="1:12" x14ac:dyDescent="0.3">
      <c r="A41" s="2" t="s">
        <v>1753</v>
      </c>
      <c r="B41" s="2" t="s">
        <v>1754</v>
      </c>
      <c r="C41" s="2" t="s">
        <v>1148</v>
      </c>
      <c r="D41" s="2" t="s">
        <v>854</v>
      </c>
      <c r="E41" s="2" t="s">
        <v>846</v>
      </c>
      <c r="F41" s="2" t="s">
        <v>845</v>
      </c>
      <c r="G41" s="2" t="s">
        <v>816</v>
      </c>
      <c r="H41" s="2">
        <v>5</v>
      </c>
      <c r="I41" s="3">
        <v>380</v>
      </c>
      <c r="J41" s="3">
        <f t="shared" si="1"/>
        <v>1900</v>
      </c>
      <c r="K41" s="2" t="s">
        <v>1679</v>
      </c>
      <c r="L41" s="2" t="s">
        <v>1686</v>
      </c>
    </row>
    <row r="42" spans="1:12" x14ac:dyDescent="0.3">
      <c r="A42" s="5" t="s">
        <v>1755</v>
      </c>
      <c r="B42" s="5" t="s">
        <v>1756</v>
      </c>
      <c r="C42" s="5" t="s">
        <v>1060</v>
      </c>
      <c r="D42" s="5" t="s">
        <v>342</v>
      </c>
      <c r="E42" s="5" t="s">
        <v>451</v>
      </c>
      <c r="F42" s="5" t="s">
        <v>450</v>
      </c>
      <c r="G42" s="5" t="s">
        <v>330</v>
      </c>
      <c r="H42" s="5">
        <v>88</v>
      </c>
      <c r="I42" s="6">
        <v>200</v>
      </c>
      <c r="J42" s="6">
        <f t="shared" si="1"/>
        <v>17600</v>
      </c>
      <c r="K42" s="5" t="s">
        <v>1679</v>
      </c>
      <c r="L42" s="5" t="s">
        <v>1676</v>
      </c>
    </row>
    <row r="43" spans="1:12" x14ac:dyDescent="0.3">
      <c r="A43" s="2" t="s">
        <v>1757</v>
      </c>
      <c r="B43" s="2" t="s">
        <v>1758</v>
      </c>
      <c r="C43" s="2" t="s">
        <v>1139</v>
      </c>
      <c r="D43" s="2" t="s">
        <v>820</v>
      </c>
      <c r="E43" s="2" t="s">
        <v>862</v>
      </c>
      <c r="F43" s="2" t="s">
        <v>861</v>
      </c>
      <c r="G43" s="2" t="s">
        <v>816</v>
      </c>
      <c r="H43" s="2">
        <v>12</v>
      </c>
      <c r="I43" s="3">
        <v>14000</v>
      </c>
      <c r="J43" s="3">
        <f t="shared" si="1"/>
        <v>168000</v>
      </c>
      <c r="K43" s="2" t="s">
        <v>1685</v>
      </c>
      <c r="L43" s="2" t="s">
        <v>1686</v>
      </c>
    </row>
    <row r="44" spans="1:12" x14ac:dyDescent="0.3">
      <c r="A44" s="5" t="s">
        <v>1759</v>
      </c>
      <c r="B44" s="5" t="s">
        <v>1684</v>
      </c>
      <c r="C44" s="5" t="s">
        <v>1103</v>
      </c>
      <c r="D44" s="5" t="s">
        <v>503</v>
      </c>
      <c r="E44" s="5" t="s">
        <v>499</v>
      </c>
      <c r="F44" s="5" t="s">
        <v>498</v>
      </c>
      <c r="G44" s="5" t="s">
        <v>469</v>
      </c>
      <c r="H44" s="5">
        <v>29</v>
      </c>
      <c r="I44" s="6">
        <v>200</v>
      </c>
      <c r="J44" s="6">
        <f t="shared" si="1"/>
        <v>5800</v>
      </c>
      <c r="K44" s="5" t="s">
        <v>1685</v>
      </c>
      <c r="L44" s="5" t="s">
        <v>1686</v>
      </c>
    </row>
    <row r="45" spans="1:12" x14ac:dyDescent="0.3">
      <c r="A45" s="2" t="s">
        <v>1760</v>
      </c>
      <c r="B45" s="2" t="s">
        <v>1750</v>
      </c>
      <c r="C45" s="2" t="s">
        <v>1064</v>
      </c>
      <c r="D45" s="2" t="s">
        <v>363</v>
      </c>
      <c r="E45" s="2" t="s">
        <v>337</v>
      </c>
      <c r="F45" s="2" t="s">
        <v>336</v>
      </c>
      <c r="G45" s="2" t="s">
        <v>330</v>
      </c>
      <c r="H45" s="2">
        <v>68</v>
      </c>
      <c r="I45" s="3">
        <v>1500</v>
      </c>
      <c r="J45" s="3">
        <f t="shared" si="1"/>
        <v>102000</v>
      </c>
      <c r="K45" s="2" t="s">
        <v>1685</v>
      </c>
      <c r="L45" s="2" t="s">
        <v>1686</v>
      </c>
    </row>
    <row r="46" spans="1:12" x14ac:dyDescent="0.3">
      <c r="A46" s="5" t="s">
        <v>1761</v>
      </c>
      <c r="B46" s="5" t="s">
        <v>1762</v>
      </c>
      <c r="C46" s="5" t="s">
        <v>1126</v>
      </c>
      <c r="D46" s="5" t="s">
        <v>621</v>
      </c>
      <c r="E46" s="5" t="s">
        <v>699</v>
      </c>
      <c r="F46" s="5" t="s">
        <v>698</v>
      </c>
      <c r="G46" s="5" t="s">
        <v>609</v>
      </c>
      <c r="H46" s="5">
        <v>49</v>
      </c>
      <c r="I46" s="6">
        <v>120</v>
      </c>
      <c r="J46" s="6">
        <f t="shared" si="1"/>
        <v>5880</v>
      </c>
      <c r="K46" s="5" t="s">
        <v>1685</v>
      </c>
      <c r="L46" s="5" t="s">
        <v>1686</v>
      </c>
    </row>
    <row r="47" spans="1:12" x14ac:dyDescent="0.3">
      <c r="A47" s="2" t="s">
        <v>1763</v>
      </c>
      <c r="B47" s="2" t="s">
        <v>1764</v>
      </c>
      <c r="C47" s="2" t="s">
        <v>1107</v>
      </c>
      <c r="D47" s="2" t="s">
        <v>556</v>
      </c>
      <c r="E47" s="2" t="s">
        <v>526</v>
      </c>
      <c r="F47" s="2" t="s">
        <v>525</v>
      </c>
      <c r="G47" s="2" t="s">
        <v>469</v>
      </c>
      <c r="H47" s="2">
        <v>66</v>
      </c>
      <c r="I47" s="3">
        <v>1200</v>
      </c>
      <c r="J47" s="3">
        <f t="shared" si="1"/>
        <v>79200</v>
      </c>
      <c r="K47" s="2" t="s">
        <v>1675</v>
      </c>
      <c r="L47" s="2" t="s">
        <v>1682</v>
      </c>
    </row>
    <row r="48" spans="1:12" x14ac:dyDescent="0.3">
      <c r="A48" s="5" t="s">
        <v>1765</v>
      </c>
      <c r="B48" s="5" t="s">
        <v>1766</v>
      </c>
      <c r="C48" s="5" t="s">
        <v>1161</v>
      </c>
      <c r="D48" s="5" t="s">
        <v>603</v>
      </c>
      <c r="E48" s="5" t="s">
        <v>783</v>
      </c>
      <c r="F48" s="5" t="s">
        <v>782</v>
      </c>
      <c r="G48" s="5" t="s">
        <v>731</v>
      </c>
      <c r="H48" s="5">
        <v>97</v>
      </c>
      <c r="I48" s="6">
        <v>50</v>
      </c>
      <c r="J48" s="6">
        <f t="shared" si="1"/>
        <v>4850</v>
      </c>
      <c r="K48" s="5" t="s">
        <v>1689</v>
      </c>
      <c r="L48" s="5" t="s">
        <v>1676</v>
      </c>
    </row>
    <row r="49" spans="1:12" x14ac:dyDescent="0.3">
      <c r="A49" s="2" t="s">
        <v>1767</v>
      </c>
      <c r="B49" s="2" t="s">
        <v>1768</v>
      </c>
      <c r="C49" s="2" t="s">
        <v>1064</v>
      </c>
      <c r="D49" s="2" t="s">
        <v>363</v>
      </c>
      <c r="E49" s="2" t="s">
        <v>457</v>
      </c>
      <c r="F49" s="2" t="s">
        <v>456</v>
      </c>
      <c r="G49" s="2" t="s">
        <v>330</v>
      </c>
      <c r="H49" s="2">
        <v>77</v>
      </c>
      <c r="I49" s="3">
        <v>1200</v>
      </c>
      <c r="J49" s="3">
        <f t="shared" si="1"/>
        <v>92400</v>
      </c>
      <c r="K49" s="2" t="s">
        <v>1675</v>
      </c>
      <c r="L49" s="2" t="s">
        <v>1682</v>
      </c>
    </row>
    <row r="50" spans="1:12" x14ac:dyDescent="0.3">
      <c r="A50" s="5" t="s">
        <v>1769</v>
      </c>
      <c r="B50" s="5" t="s">
        <v>1770</v>
      </c>
      <c r="C50" s="5" t="s">
        <v>965</v>
      </c>
      <c r="D50" s="5" t="s">
        <v>133</v>
      </c>
      <c r="E50" s="5" t="s">
        <v>37</v>
      </c>
      <c r="F50" s="5" t="s">
        <v>36</v>
      </c>
      <c r="G50" s="5" t="s">
        <v>17</v>
      </c>
      <c r="H50" s="5">
        <v>46</v>
      </c>
      <c r="I50" s="6">
        <v>42000</v>
      </c>
      <c r="J50" s="6">
        <f t="shared" si="1"/>
        <v>1932000</v>
      </c>
      <c r="K50" s="5" t="s">
        <v>1685</v>
      </c>
      <c r="L50" s="5" t="s">
        <v>1676</v>
      </c>
    </row>
    <row r="51" spans="1:12" x14ac:dyDescent="0.3">
      <c r="A51" s="2" t="s">
        <v>1771</v>
      </c>
      <c r="B51" s="2" t="s">
        <v>1772</v>
      </c>
      <c r="C51" s="2" t="s">
        <v>1126</v>
      </c>
      <c r="D51" s="2" t="s">
        <v>621</v>
      </c>
      <c r="E51" s="2" t="s">
        <v>670</v>
      </c>
      <c r="F51" s="2" t="s">
        <v>669</v>
      </c>
      <c r="G51" s="2" t="s">
        <v>609</v>
      </c>
      <c r="H51" s="2">
        <v>41</v>
      </c>
      <c r="I51" s="3">
        <v>380</v>
      </c>
      <c r="J51" s="3">
        <f t="shared" si="1"/>
        <v>15580</v>
      </c>
      <c r="K51" s="2" t="s">
        <v>1679</v>
      </c>
      <c r="L51" s="2" t="s">
        <v>1676</v>
      </c>
    </row>
    <row r="52" spans="1:12" x14ac:dyDescent="0.3">
      <c r="A52" s="5" t="s">
        <v>1773</v>
      </c>
      <c r="B52" s="5" t="s">
        <v>1774</v>
      </c>
      <c r="C52" s="5" t="s">
        <v>1055</v>
      </c>
      <c r="D52" s="5" t="s">
        <v>334</v>
      </c>
      <c r="E52" s="5" t="s">
        <v>350</v>
      </c>
      <c r="F52" s="5" t="s">
        <v>349</v>
      </c>
      <c r="G52" s="5" t="s">
        <v>330</v>
      </c>
      <c r="H52" s="5">
        <v>76</v>
      </c>
      <c r="I52" s="6">
        <v>2200</v>
      </c>
      <c r="J52" s="6">
        <f t="shared" si="1"/>
        <v>167200</v>
      </c>
      <c r="K52" s="5" t="s">
        <v>1675</v>
      </c>
      <c r="L52" s="5" t="s">
        <v>1676</v>
      </c>
    </row>
    <row r="53" spans="1:12" x14ac:dyDescent="0.3">
      <c r="A53" s="2" t="s">
        <v>1775</v>
      </c>
      <c r="B53" s="2" t="s">
        <v>1776</v>
      </c>
      <c r="C53" s="2" t="s">
        <v>1156</v>
      </c>
      <c r="D53" s="2" t="s">
        <v>740</v>
      </c>
      <c r="E53" s="2" t="s">
        <v>804</v>
      </c>
      <c r="F53" s="2" t="s">
        <v>803</v>
      </c>
      <c r="G53" s="2" t="s">
        <v>731</v>
      </c>
      <c r="H53" s="2">
        <v>58</v>
      </c>
      <c r="I53" s="3">
        <v>85</v>
      </c>
      <c r="J53" s="3">
        <f t="shared" si="1"/>
        <v>4930</v>
      </c>
      <c r="K53" s="2" t="s">
        <v>1679</v>
      </c>
      <c r="L53" s="2" t="s">
        <v>1682</v>
      </c>
    </row>
    <row r="54" spans="1:12" x14ac:dyDescent="0.3">
      <c r="A54" s="5" t="s">
        <v>1777</v>
      </c>
      <c r="B54" s="5" t="s">
        <v>1674</v>
      </c>
      <c r="C54" s="5" t="s">
        <v>1107</v>
      </c>
      <c r="D54" s="5" t="s">
        <v>556</v>
      </c>
      <c r="E54" s="5" t="s">
        <v>482</v>
      </c>
      <c r="F54" s="5" t="s">
        <v>481</v>
      </c>
      <c r="G54" s="5" t="s">
        <v>469</v>
      </c>
      <c r="H54" s="5">
        <v>7</v>
      </c>
      <c r="I54" s="6">
        <v>845</v>
      </c>
      <c r="J54" s="6">
        <f t="shared" si="1"/>
        <v>5915</v>
      </c>
      <c r="K54" s="5" t="s">
        <v>1689</v>
      </c>
      <c r="L54" s="5" t="s">
        <v>1676</v>
      </c>
    </row>
    <row r="55" spans="1:12" x14ac:dyDescent="0.3">
      <c r="A55" s="2" t="s">
        <v>1778</v>
      </c>
      <c r="B55" s="2" t="s">
        <v>1779</v>
      </c>
      <c r="C55" s="2" t="s">
        <v>1121</v>
      </c>
      <c r="D55" s="2" t="s">
        <v>613</v>
      </c>
      <c r="E55" s="2" t="s">
        <v>630</v>
      </c>
      <c r="F55" s="2" t="s">
        <v>629</v>
      </c>
      <c r="G55" s="2" t="s">
        <v>609</v>
      </c>
      <c r="H55" s="2">
        <v>71</v>
      </c>
      <c r="I55" s="3">
        <v>120</v>
      </c>
      <c r="J55" s="3">
        <f t="shared" si="1"/>
        <v>8520</v>
      </c>
      <c r="K55" s="2" t="s">
        <v>1685</v>
      </c>
      <c r="L55" s="2" t="s">
        <v>1676</v>
      </c>
    </row>
    <row r="56" spans="1:12" x14ac:dyDescent="0.3">
      <c r="A56" s="5" t="s">
        <v>1780</v>
      </c>
      <c r="B56" s="5" t="s">
        <v>1781</v>
      </c>
      <c r="C56" s="5" t="s">
        <v>1156</v>
      </c>
      <c r="D56" s="5" t="s">
        <v>740</v>
      </c>
      <c r="E56" s="5" t="s">
        <v>756</v>
      </c>
      <c r="F56" s="5" t="s">
        <v>755</v>
      </c>
      <c r="G56" s="5" t="s">
        <v>731</v>
      </c>
      <c r="H56" s="5">
        <v>9</v>
      </c>
      <c r="I56" s="6">
        <v>320</v>
      </c>
      <c r="J56" s="6">
        <f t="shared" si="1"/>
        <v>2880</v>
      </c>
      <c r="K56" s="5" t="s">
        <v>1685</v>
      </c>
      <c r="L56" s="5" t="s">
        <v>1686</v>
      </c>
    </row>
    <row r="57" spans="1:12" x14ac:dyDescent="0.3">
      <c r="A57" s="2" t="s">
        <v>1782</v>
      </c>
      <c r="B57" s="2" t="s">
        <v>1783</v>
      </c>
      <c r="C57" s="2" t="s">
        <v>1019</v>
      </c>
      <c r="D57" s="2" t="s">
        <v>691</v>
      </c>
      <c r="E57" s="2" t="s">
        <v>658</v>
      </c>
      <c r="F57" s="2" t="s">
        <v>657</v>
      </c>
      <c r="G57" s="2" t="s">
        <v>609</v>
      </c>
      <c r="H57" s="2">
        <v>26</v>
      </c>
      <c r="I57" s="3">
        <v>380</v>
      </c>
      <c r="J57" s="3">
        <f t="shared" si="1"/>
        <v>9880</v>
      </c>
      <c r="K57" s="2" t="s">
        <v>1679</v>
      </c>
      <c r="L57" s="2" t="s">
        <v>1676</v>
      </c>
    </row>
    <row r="58" spans="1:12" x14ac:dyDescent="0.3">
      <c r="A58" s="5" t="s">
        <v>1784</v>
      </c>
      <c r="B58" s="5" t="s">
        <v>1785</v>
      </c>
      <c r="C58" s="5" t="s">
        <v>1144</v>
      </c>
      <c r="D58" s="5" t="s">
        <v>825</v>
      </c>
      <c r="E58" s="5" t="s">
        <v>853</v>
      </c>
      <c r="F58" s="5" t="s">
        <v>852</v>
      </c>
      <c r="G58" s="5" t="s">
        <v>816</v>
      </c>
      <c r="H58" s="5">
        <v>26</v>
      </c>
      <c r="I58" s="6">
        <v>12500</v>
      </c>
      <c r="J58" s="6">
        <f t="shared" si="1"/>
        <v>325000</v>
      </c>
      <c r="K58" s="5" t="s">
        <v>1675</v>
      </c>
      <c r="L58" s="5" t="s">
        <v>1682</v>
      </c>
    </row>
    <row r="59" spans="1:12" x14ac:dyDescent="0.3">
      <c r="A59" s="2" t="s">
        <v>1786</v>
      </c>
      <c r="B59" s="2" t="s">
        <v>1787</v>
      </c>
      <c r="C59" s="2" t="s">
        <v>1103</v>
      </c>
      <c r="D59" s="2" t="s">
        <v>503</v>
      </c>
      <c r="E59" s="2" t="s">
        <v>560</v>
      </c>
      <c r="F59" s="2" t="s">
        <v>559</v>
      </c>
      <c r="G59" s="2" t="s">
        <v>469</v>
      </c>
      <c r="H59" s="2">
        <v>16</v>
      </c>
      <c r="I59" s="3">
        <v>65</v>
      </c>
      <c r="J59" s="3">
        <f t="shared" si="1"/>
        <v>1040</v>
      </c>
      <c r="K59" s="2" t="s">
        <v>1689</v>
      </c>
      <c r="L59" s="2" t="s">
        <v>1686</v>
      </c>
    </row>
    <row r="60" spans="1:12" x14ac:dyDescent="0.3">
      <c r="A60" s="5" t="s">
        <v>1788</v>
      </c>
      <c r="B60" s="5" t="s">
        <v>1789</v>
      </c>
      <c r="C60" s="5" t="s">
        <v>1055</v>
      </c>
      <c r="D60" s="5" t="s">
        <v>334</v>
      </c>
      <c r="E60" s="5" t="s">
        <v>392</v>
      </c>
      <c r="F60" s="5" t="s">
        <v>391</v>
      </c>
      <c r="G60" s="5" t="s">
        <v>330</v>
      </c>
      <c r="H60" s="5">
        <v>23</v>
      </c>
      <c r="I60" s="6">
        <v>1500</v>
      </c>
      <c r="J60" s="6">
        <f t="shared" si="1"/>
        <v>34500</v>
      </c>
      <c r="K60" s="5" t="s">
        <v>1689</v>
      </c>
      <c r="L60" s="5" t="s">
        <v>1682</v>
      </c>
    </row>
    <row r="61" spans="1:12" x14ac:dyDescent="0.3">
      <c r="A61" s="2" t="s">
        <v>1790</v>
      </c>
      <c r="B61" s="2" t="s">
        <v>1791</v>
      </c>
      <c r="C61" s="2" t="s">
        <v>1126</v>
      </c>
      <c r="D61" s="2" t="s">
        <v>621</v>
      </c>
      <c r="E61" s="2" t="s">
        <v>670</v>
      </c>
      <c r="F61" s="2" t="s">
        <v>669</v>
      </c>
      <c r="G61" s="2" t="s">
        <v>609</v>
      </c>
      <c r="H61" s="2">
        <v>97</v>
      </c>
      <c r="I61" s="3">
        <v>380</v>
      </c>
      <c r="J61" s="3">
        <f t="shared" si="1"/>
        <v>36860</v>
      </c>
      <c r="K61" s="2" t="s">
        <v>1689</v>
      </c>
      <c r="L61" s="2" t="s">
        <v>1682</v>
      </c>
    </row>
    <row r="62" spans="1:12" x14ac:dyDescent="0.3">
      <c r="A62" s="5" t="s">
        <v>1792</v>
      </c>
      <c r="B62" s="5" t="s">
        <v>1793</v>
      </c>
      <c r="C62" s="5" t="s">
        <v>1060</v>
      </c>
      <c r="D62" s="5" t="s">
        <v>342</v>
      </c>
      <c r="E62" s="5" t="s">
        <v>396</v>
      </c>
      <c r="F62" s="5" t="s">
        <v>395</v>
      </c>
      <c r="G62" s="5" t="s">
        <v>330</v>
      </c>
      <c r="H62" s="5">
        <v>48</v>
      </c>
      <c r="I62" s="6">
        <v>800</v>
      </c>
      <c r="J62" s="6">
        <f t="shared" si="1"/>
        <v>38400</v>
      </c>
      <c r="K62" s="5" t="s">
        <v>1689</v>
      </c>
      <c r="L62" s="5" t="s">
        <v>1686</v>
      </c>
    </row>
    <row r="63" spans="1:12" x14ac:dyDescent="0.3">
      <c r="A63" s="2" t="s">
        <v>1794</v>
      </c>
      <c r="B63" s="2" t="s">
        <v>1795</v>
      </c>
      <c r="C63" s="2" t="s">
        <v>960</v>
      </c>
      <c r="D63" s="2" t="s">
        <v>114</v>
      </c>
      <c r="E63" s="2" t="s">
        <v>121</v>
      </c>
      <c r="F63" s="2" t="s">
        <v>120</v>
      </c>
      <c r="G63" s="2" t="s">
        <v>17</v>
      </c>
      <c r="H63" s="2">
        <v>87</v>
      </c>
      <c r="I63" s="3">
        <v>195000</v>
      </c>
      <c r="J63" s="3">
        <f t="shared" si="1"/>
        <v>16965000</v>
      </c>
      <c r="K63" s="2" t="s">
        <v>1679</v>
      </c>
      <c r="L63" s="2" t="s">
        <v>1676</v>
      </c>
    </row>
    <row r="64" spans="1:12" x14ac:dyDescent="0.3">
      <c r="A64" s="5" t="s">
        <v>1796</v>
      </c>
      <c r="B64" s="5" t="s">
        <v>1797</v>
      </c>
      <c r="C64" s="5" t="s">
        <v>1019</v>
      </c>
      <c r="D64" s="5" t="s">
        <v>691</v>
      </c>
      <c r="E64" s="5" t="s">
        <v>699</v>
      </c>
      <c r="F64" s="5" t="s">
        <v>698</v>
      </c>
      <c r="G64" s="5" t="s">
        <v>609</v>
      </c>
      <c r="H64" s="5">
        <v>29</v>
      </c>
      <c r="I64" s="6">
        <v>120</v>
      </c>
      <c r="J64" s="6">
        <f t="shared" si="1"/>
        <v>3480</v>
      </c>
      <c r="K64" s="5" t="s">
        <v>1689</v>
      </c>
      <c r="L64" s="5" t="s">
        <v>1686</v>
      </c>
    </row>
    <row r="65" spans="1:12" x14ac:dyDescent="0.3">
      <c r="A65" s="2" t="s">
        <v>1798</v>
      </c>
      <c r="B65" s="2" t="s">
        <v>1799</v>
      </c>
      <c r="C65" s="2" t="s">
        <v>1055</v>
      </c>
      <c r="D65" s="2" t="s">
        <v>334</v>
      </c>
      <c r="E65" s="2" t="s">
        <v>419</v>
      </c>
      <c r="F65" s="2" t="s">
        <v>418</v>
      </c>
      <c r="G65" s="2" t="s">
        <v>330</v>
      </c>
      <c r="H65" s="2">
        <v>82</v>
      </c>
      <c r="I65" s="3">
        <v>1200</v>
      </c>
      <c r="J65" s="3">
        <f t="shared" si="1"/>
        <v>98400</v>
      </c>
      <c r="K65" s="2" t="s">
        <v>1675</v>
      </c>
      <c r="L65" s="2" t="s">
        <v>1676</v>
      </c>
    </row>
    <row r="66" spans="1:12" x14ac:dyDescent="0.3">
      <c r="A66" s="5" t="s">
        <v>1800</v>
      </c>
      <c r="B66" s="5" t="s">
        <v>1801</v>
      </c>
      <c r="C66" s="5" t="s">
        <v>985</v>
      </c>
      <c r="D66" s="5" t="s">
        <v>173</v>
      </c>
      <c r="E66" s="5" t="s">
        <v>254</v>
      </c>
      <c r="F66" s="5" t="s">
        <v>253</v>
      </c>
      <c r="G66" s="5" t="s">
        <v>169</v>
      </c>
      <c r="H66" s="5">
        <v>79</v>
      </c>
      <c r="I66" s="6">
        <v>580</v>
      </c>
      <c r="J66" s="6">
        <f t="shared" si="1"/>
        <v>45820</v>
      </c>
      <c r="K66" s="5" t="s">
        <v>1679</v>
      </c>
      <c r="L66" s="5" t="s">
        <v>1676</v>
      </c>
    </row>
    <row r="67" spans="1:12" x14ac:dyDescent="0.3">
      <c r="A67" s="2" t="s">
        <v>1802</v>
      </c>
      <c r="B67" s="2" t="s">
        <v>1803</v>
      </c>
      <c r="C67" s="2" t="s">
        <v>1126</v>
      </c>
      <c r="D67" s="2" t="s">
        <v>621</v>
      </c>
      <c r="E67" s="2" t="s">
        <v>617</v>
      </c>
      <c r="F67" s="2" t="s">
        <v>616</v>
      </c>
      <c r="G67" s="2" t="s">
        <v>609</v>
      </c>
      <c r="H67" s="2">
        <v>28</v>
      </c>
      <c r="I67" s="3">
        <v>70</v>
      </c>
      <c r="J67" s="3">
        <f t="shared" ref="J67:J98" si="2">H67*I67</f>
        <v>1960</v>
      </c>
      <c r="K67" s="2" t="s">
        <v>1685</v>
      </c>
      <c r="L67" s="2" t="s">
        <v>1676</v>
      </c>
    </row>
    <row r="68" spans="1:12" x14ac:dyDescent="0.3">
      <c r="A68" s="5" t="s">
        <v>1804</v>
      </c>
      <c r="B68" s="5" t="s">
        <v>1805</v>
      </c>
      <c r="C68" s="5" t="s">
        <v>1126</v>
      </c>
      <c r="D68" s="5" t="s">
        <v>621</v>
      </c>
      <c r="E68" s="5" t="s">
        <v>658</v>
      </c>
      <c r="F68" s="5" t="s">
        <v>657</v>
      </c>
      <c r="G68" s="5" t="s">
        <v>609</v>
      </c>
      <c r="H68" s="5">
        <v>14</v>
      </c>
      <c r="I68" s="6">
        <v>380</v>
      </c>
      <c r="J68" s="6">
        <f t="shared" si="2"/>
        <v>5320</v>
      </c>
      <c r="K68" s="5" t="s">
        <v>1685</v>
      </c>
      <c r="L68" s="5" t="s">
        <v>1676</v>
      </c>
    </row>
    <row r="69" spans="1:12" x14ac:dyDescent="0.3">
      <c r="A69" s="2" t="s">
        <v>1806</v>
      </c>
      <c r="B69" s="2" t="s">
        <v>1807</v>
      </c>
      <c r="C69" s="2" t="s">
        <v>985</v>
      </c>
      <c r="D69" s="2" t="s">
        <v>173</v>
      </c>
      <c r="E69" s="2" t="s">
        <v>192</v>
      </c>
      <c r="F69" s="2" t="s">
        <v>191</v>
      </c>
      <c r="G69" s="2" t="s">
        <v>169</v>
      </c>
      <c r="H69" s="2">
        <v>56</v>
      </c>
      <c r="I69" s="3">
        <v>125</v>
      </c>
      <c r="J69" s="3">
        <f t="shared" si="2"/>
        <v>7000</v>
      </c>
      <c r="K69" s="2" t="s">
        <v>1689</v>
      </c>
      <c r="L69" s="2" t="s">
        <v>1686</v>
      </c>
    </row>
    <row r="70" spans="1:12" x14ac:dyDescent="0.3">
      <c r="A70" s="5" t="s">
        <v>1808</v>
      </c>
      <c r="B70" s="5" t="s">
        <v>1809</v>
      </c>
      <c r="C70" s="5" t="s">
        <v>985</v>
      </c>
      <c r="D70" s="5" t="s">
        <v>173</v>
      </c>
      <c r="E70" s="5" t="s">
        <v>203</v>
      </c>
      <c r="F70" s="5" t="s">
        <v>202</v>
      </c>
      <c r="G70" s="5" t="s">
        <v>169</v>
      </c>
      <c r="H70" s="5">
        <v>79</v>
      </c>
      <c r="I70" s="6">
        <v>1900</v>
      </c>
      <c r="J70" s="6">
        <f t="shared" si="2"/>
        <v>150100</v>
      </c>
      <c r="K70" s="5" t="s">
        <v>1689</v>
      </c>
      <c r="L70" s="5" t="s">
        <v>1676</v>
      </c>
    </row>
    <row r="71" spans="1:12" x14ac:dyDescent="0.3">
      <c r="A71" s="2" t="s">
        <v>1810</v>
      </c>
      <c r="B71" s="2" t="s">
        <v>1811</v>
      </c>
      <c r="C71" s="2" t="s">
        <v>1019</v>
      </c>
      <c r="D71" s="2" t="s">
        <v>691</v>
      </c>
      <c r="E71" s="2" t="s">
        <v>703</v>
      </c>
      <c r="F71" s="2" t="s">
        <v>702</v>
      </c>
      <c r="G71" s="2" t="s">
        <v>609</v>
      </c>
      <c r="H71" s="2">
        <v>55</v>
      </c>
      <c r="I71" s="3">
        <v>680</v>
      </c>
      <c r="J71" s="3">
        <f t="shared" si="2"/>
        <v>37400</v>
      </c>
      <c r="K71" s="2" t="s">
        <v>1675</v>
      </c>
      <c r="L71" s="2" t="s">
        <v>1686</v>
      </c>
    </row>
    <row r="72" spans="1:12" x14ac:dyDescent="0.3">
      <c r="A72" s="5" t="s">
        <v>1812</v>
      </c>
      <c r="B72" s="5" t="s">
        <v>1813</v>
      </c>
      <c r="C72" s="5" t="s">
        <v>985</v>
      </c>
      <c r="D72" s="5" t="s">
        <v>173</v>
      </c>
      <c r="E72" s="5" t="s">
        <v>269</v>
      </c>
      <c r="F72" s="5" t="s">
        <v>268</v>
      </c>
      <c r="G72" s="5" t="s">
        <v>169</v>
      </c>
      <c r="H72" s="5">
        <v>59</v>
      </c>
      <c r="I72" s="6">
        <v>480</v>
      </c>
      <c r="J72" s="6">
        <f t="shared" si="2"/>
        <v>28320</v>
      </c>
      <c r="K72" s="5" t="s">
        <v>1685</v>
      </c>
      <c r="L72" s="5" t="s">
        <v>1682</v>
      </c>
    </row>
    <row r="73" spans="1:12" x14ac:dyDescent="0.3">
      <c r="A73" s="2" t="s">
        <v>1814</v>
      </c>
      <c r="B73" s="2" t="s">
        <v>1815</v>
      </c>
      <c r="C73" s="2" t="s">
        <v>1107</v>
      </c>
      <c r="D73" s="2" t="s">
        <v>556</v>
      </c>
      <c r="E73" s="2" t="s">
        <v>585</v>
      </c>
      <c r="F73" s="2" t="s">
        <v>584</v>
      </c>
      <c r="G73" s="2" t="s">
        <v>469</v>
      </c>
      <c r="H73" s="2">
        <v>17</v>
      </c>
      <c r="I73" s="3">
        <v>4500</v>
      </c>
      <c r="J73" s="3">
        <f t="shared" si="2"/>
        <v>76500</v>
      </c>
      <c r="K73" s="2" t="s">
        <v>1685</v>
      </c>
      <c r="L73" s="2" t="s">
        <v>1682</v>
      </c>
    </row>
    <row r="74" spans="1:12" x14ac:dyDescent="0.3">
      <c r="A74" s="5" t="s">
        <v>1816</v>
      </c>
      <c r="B74" s="5" t="s">
        <v>1817</v>
      </c>
      <c r="C74" s="5" t="s">
        <v>1107</v>
      </c>
      <c r="D74" s="5" t="s">
        <v>556</v>
      </c>
      <c r="E74" s="5" t="s">
        <v>521</v>
      </c>
      <c r="F74" s="5" t="s">
        <v>520</v>
      </c>
      <c r="G74" s="5" t="s">
        <v>469</v>
      </c>
      <c r="H74" s="5">
        <v>36</v>
      </c>
      <c r="I74" s="6">
        <v>3200</v>
      </c>
      <c r="J74" s="6">
        <f t="shared" si="2"/>
        <v>115200</v>
      </c>
      <c r="K74" s="5" t="s">
        <v>1685</v>
      </c>
      <c r="L74" s="5" t="s">
        <v>1676</v>
      </c>
    </row>
    <row r="75" spans="1:12" x14ac:dyDescent="0.3">
      <c r="A75" s="2" t="s">
        <v>1818</v>
      </c>
      <c r="B75" s="2" t="s">
        <v>1752</v>
      </c>
      <c r="C75" s="2" t="s">
        <v>998</v>
      </c>
      <c r="D75" s="2" t="s">
        <v>218</v>
      </c>
      <c r="E75" s="2" t="s">
        <v>188</v>
      </c>
      <c r="F75" s="2" t="s">
        <v>187</v>
      </c>
      <c r="G75" s="2" t="s">
        <v>169</v>
      </c>
      <c r="H75" s="2">
        <v>54</v>
      </c>
      <c r="I75" s="3">
        <v>600</v>
      </c>
      <c r="J75" s="3">
        <f t="shared" si="2"/>
        <v>32400</v>
      </c>
      <c r="K75" s="2" t="s">
        <v>1679</v>
      </c>
      <c r="L75" s="2" t="s">
        <v>1676</v>
      </c>
    </row>
    <row r="76" spans="1:12" x14ac:dyDescent="0.3">
      <c r="A76" s="5" t="s">
        <v>1819</v>
      </c>
      <c r="B76" s="5" t="s">
        <v>1820</v>
      </c>
      <c r="C76" s="5" t="s">
        <v>1126</v>
      </c>
      <c r="D76" s="5" t="s">
        <v>621</v>
      </c>
      <c r="E76" s="5" t="s">
        <v>699</v>
      </c>
      <c r="F76" s="5" t="s">
        <v>698</v>
      </c>
      <c r="G76" s="5" t="s">
        <v>609</v>
      </c>
      <c r="H76" s="5">
        <v>17</v>
      </c>
      <c r="I76" s="6">
        <v>120</v>
      </c>
      <c r="J76" s="6">
        <f t="shared" si="2"/>
        <v>2040</v>
      </c>
      <c r="K76" s="5" t="s">
        <v>1689</v>
      </c>
      <c r="L76" s="5" t="s">
        <v>1682</v>
      </c>
    </row>
    <row r="77" spans="1:12" x14ac:dyDescent="0.3">
      <c r="A77" s="2" t="s">
        <v>1821</v>
      </c>
      <c r="B77" s="2" t="s">
        <v>1822</v>
      </c>
      <c r="C77" s="2" t="s">
        <v>994</v>
      </c>
      <c r="D77" s="2" t="s">
        <v>189</v>
      </c>
      <c r="E77" s="2" t="s">
        <v>327</v>
      </c>
      <c r="F77" s="2" t="s">
        <v>326</v>
      </c>
      <c r="G77" s="2" t="s">
        <v>169</v>
      </c>
      <c r="H77" s="2">
        <v>13</v>
      </c>
      <c r="I77" s="3">
        <v>280</v>
      </c>
      <c r="J77" s="3">
        <f t="shared" si="2"/>
        <v>3640</v>
      </c>
      <c r="K77" s="2" t="s">
        <v>1679</v>
      </c>
      <c r="L77" s="2" t="s">
        <v>1682</v>
      </c>
    </row>
    <row r="78" spans="1:12" x14ac:dyDescent="0.3">
      <c r="A78" s="5" t="s">
        <v>1823</v>
      </c>
      <c r="B78" s="5" t="s">
        <v>1824</v>
      </c>
      <c r="C78" s="5" t="s">
        <v>1085</v>
      </c>
      <c r="D78" s="5" t="s">
        <v>473</v>
      </c>
      <c r="E78" s="5" t="s">
        <v>580</v>
      </c>
      <c r="F78" s="5" t="s">
        <v>579</v>
      </c>
      <c r="G78" s="5" t="s">
        <v>469</v>
      </c>
      <c r="H78" s="5">
        <v>14</v>
      </c>
      <c r="I78" s="6">
        <v>850</v>
      </c>
      <c r="J78" s="6">
        <f t="shared" si="2"/>
        <v>11900</v>
      </c>
      <c r="K78" s="5" t="s">
        <v>1689</v>
      </c>
      <c r="L78" s="5" t="s">
        <v>1676</v>
      </c>
    </row>
    <row r="79" spans="1:12" x14ac:dyDescent="0.3">
      <c r="A79" s="2" t="s">
        <v>1825</v>
      </c>
      <c r="B79" s="2" t="s">
        <v>1826</v>
      </c>
      <c r="C79" s="2" t="s">
        <v>1126</v>
      </c>
      <c r="D79" s="2" t="s">
        <v>621</v>
      </c>
      <c r="E79" s="2" t="s">
        <v>716</v>
      </c>
      <c r="F79" s="2" t="s">
        <v>715</v>
      </c>
      <c r="G79" s="2" t="s">
        <v>609</v>
      </c>
      <c r="H79" s="2">
        <v>48</v>
      </c>
      <c r="I79" s="3">
        <v>750</v>
      </c>
      <c r="J79" s="3">
        <f t="shared" si="2"/>
        <v>36000</v>
      </c>
      <c r="K79" s="2" t="s">
        <v>1679</v>
      </c>
      <c r="L79" s="2" t="s">
        <v>1682</v>
      </c>
    </row>
    <row r="80" spans="1:12" x14ac:dyDescent="0.3">
      <c r="A80" s="5" t="s">
        <v>1827</v>
      </c>
      <c r="B80" s="5" t="s">
        <v>1828</v>
      </c>
      <c r="C80" s="5" t="s">
        <v>1060</v>
      </c>
      <c r="D80" s="5" t="s">
        <v>342</v>
      </c>
      <c r="E80" s="5" t="s">
        <v>400</v>
      </c>
      <c r="F80" s="5" t="s">
        <v>399</v>
      </c>
      <c r="G80" s="5" t="s">
        <v>330</v>
      </c>
      <c r="H80" s="5">
        <v>85</v>
      </c>
      <c r="I80" s="6">
        <v>1500</v>
      </c>
      <c r="J80" s="6">
        <f t="shared" si="2"/>
        <v>127500</v>
      </c>
      <c r="K80" s="5" t="s">
        <v>1689</v>
      </c>
      <c r="L80" s="5" t="s">
        <v>1676</v>
      </c>
    </row>
    <row r="81" spans="1:12" x14ac:dyDescent="0.3">
      <c r="A81" s="2" t="s">
        <v>1829</v>
      </c>
      <c r="B81" s="2" t="s">
        <v>1830</v>
      </c>
      <c r="C81" s="2" t="s">
        <v>985</v>
      </c>
      <c r="D81" s="2" t="s">
        <v>173</v>
      </c>
      <c r="E81" s="2" t="s">
        <v>236</v>
      </c>
      <c r="F81" s="2" t="s">
        <v>235</v>
      </c>
      <c r="G81" s="2" t="s">
        <v>169</v>
      </c>
      <c r="H81" s="2">
        <v>42</v>
      </c>
      <c r="I81" s="3">
        <v>75</v>
      </c>
      <c r="J81" s="3">
        <f t="shared" si="2"/>
        <v>3150</v>
      </c>
      <c r="K81" s="2" t="s">
        <v>1679</v>
      </c>
      <c r="L81" s="2" t="s">
        <v>1676</v>
      </c>
    </row>
    <row r="82" spans="1:12" x14ac:dyDescent="0.3">
      <c r="A82" s="5" t="s">
        <v>1831</v>
      </c>
      <c r="B82" s="5" t="s">
        <v>1832</v>
      </c>
      <c r="C82" s="5" t="s">
        <v>1064</v>
      </c>
      <c r="D82" s="5" t="s">
        <v>363</v>
      </c>
      <c r="E82" s="5" t="s">
        <v>426</v>
      </c>
      <c r="F82" s="5" t="s">
        <v>425</v>
      </c>
      <c r="G82" s="5" t="s">
        <v>330</v>
      </c>
      <c r="H82" s="5">
        <v>74</v>
      </c>
      <c r="I82" s="6">
        <v>3800</v>
      </c>
      <c r="J82" s="6">
        <f t="shared" si="2"/>
        <v>281200</v>
      </c>
      <c r="K82" s="5" t="s">
        <v>1689</v>
      </c>
      <c r="L82" s="5" t="s">
        <v>1682</v>
      </c>
    </row>
    <row r="83" spans="1:12" x14ac:dyDescent="0.3">
      <c r="A83" s="2" t="s">
        <v>1833</v>
      </c>
      <c r="B83" s="2" t="s">
        <v>1834</v>
      </c>
      <c r="C83" s="2" t="s">
        <v>907</v>
      </c>
      <c r="D83" s="2" t="s">
        <v>21</v>
      </c>
      <c r="E83" s="2" t="s">
        <v>155</v>
      </c>
      <c r="F83" s="2" t="s">
        <v>154</v>
      </c>
      <c r="G83" s="2" t="s">
        <v>17</v>
      </c>
      <c r="H83" s="2">
        <v>20</v>
      </c>
      <c r="I83" s="3">
        <v>45000</v>
      </c>
      <c r="J83" s="3">
        <f t="shared" si="2"/>
        <v>900000</v>
      </c>
      <c r="K83" s="2" t="s">
        <v>1675</v>
      </c>
      <c r="L83" s="2" t="s">
        <v>1676</v>
      </c>
    </row>
    <row r="84" spans="1:12" x14ac:dyDescent="0.3">
      <c r="A84" s="5" t="s">
        <v>1835</v>
      </c>
      <c r="B84" s="5" t="s">
        <v>1691</v>
      </c>
      <c r="C84" s="5" t="s">
        <v>1139</v>
      </c>
      <c r="D84" s="5" t="s">
        <v>820</v>
      </c>
      <c r="E84" s="5" t="s">
        <v>834</v>
      </c>
      <c r="F84" s="5" t="s">
        <v>833</v>
      </c>
      <c r="G84" s="5" t="s">
        <v>816</v>
      </c>
      <c r="H84" s="5">
        <v>20</v>
      </c>
      <c r="I84" s="6">
        <v>1200</v>
      </c>
      <c r="J84" s="6">
        <f t="shared" si="2"/>
        <v>24000</v>
      </c>
      <c r="K84" s="5" t="s">
        <v>1689</v>
      </c>
      <c r="L84" s="5" t="s">
        <v>1676</v>
      </c>
    </row>
    <row r="85" spans="1:12" x14ac:dyDescent="0.3">
      <c r="A85" s="2" t="s">
        <v>1836</v>
      </c>
      <c r="B85" s="2" t="s">
        <v>1837</v>
      </c>
      <c r="C85" s="2" t="s">
        <v>1126</v>
      </c>
      <c r="D85" s="2" t="s">
        <v>621</v>
      </c>
      <c r="E85" s="2" t="s">
        <v>724</v>
      </c>
      <c r="F85" s="2" t="s">
        <v>723</v>
      </c>
      <c r="G85" s="2" t="s">
        <v>609</v>
      </c>
      <c r="H85" s="2">
        <v>99</v>
      </c>
      <c r="I85" s="3">
        <v>320</v>
      </c>
      <c r="J85" s="3">
        <f t="shared" si="2"/>
        <v>31680</v>
      </c>
      <c r="K85" s="2" t="s">
        <v>1679</v>
      </c>
      <c r="L85" s="2" t="s">
        <v>1682</v>
      </c>
    </row>
    <row r="86" spans="1:12" x14ac:dyDescent="0.3">
      <c r="A86" s="5" t="s">
        <v>1838</v>
      </c>
      <c r="B86" s="5" t="s">
        <v>1688</v>
      </c>
      <c r="C86" s="5" t="s">
        <v>965</v>
      </c>
      <c r="D86" s="5" t="s">
        <v>133</v>
      </c>
      <c r="E86" s="5" t="s">
        <v>74</v>
      </c>
      <c r="F86" s="5" t="s">
        <v>73</v>
      </c>
      <c r="G86" s="5" t="s">
        <v>17</v>
      </c>
      <c r="H86" s="5">
        <v>26</v>
      </c>
      <c r="I86" s="6">
        <v>95000</v>
      </c>
      <c r="J86" s="6">
        <f t="shared" si="2"/>
        <v>2470000</v>
      </c>
      <c r="K86" s="5" t="s">
        <v>1675</v>
      </c>
      <c r="L86" s="5" t="s">
        <v>1682</v>
      </c>
    </row>
    <row r="87" spans="1:12" x14ac:dyDescent="0.3">
      <c r="A87" s="2" t="s">
        <v>1839</v>
      </c>
      <c r="B87" s="2" t="s">
        <v>1840</v>
      </c>
      <c r="C87" s="2" t="s">
        <v>1126</v>
      </c>
      <c r="D87" s="2" t="s">
        <v>621</v>
      </c>
      <c r="E87" s="2" t="s">
        <v>635</v>
      </c>
      <c r="F87" s="2" t="s">
        <v>634</v>
      </c>
      <c r="G87" s="2" t="s">
        <v>609</v>
      </c>
      <c r="H87" s="2">
        <v>63</v>
      </c>
      <c r="I87" s="3">
        <v>350</v>
      </c>
      <c r="J87" s="3">
        <f t="shared" si="2"/>
        <v>22050</v>
      </c>
      <c r="K87" s="2" t="s">
        <v>1685</v>
      </c>
      <c r="L87" s="2" t="s">
        <v>1676</v>
      </c>
    </row>
    <row r="88" spans="1:12" x14ac:dyDescent="0.3">
      <c r="A88" s="5" t="s">
        <v>1841</v>
      </c>
      <c r="B88" s="5" t="s">
        <v>1842</v>
      </c>
      <c r="C88" s="5" t="s">
        <v>1064</v>
      </c>
      <c r="D88" s="5" t="s">
        <v>363</v>
      </c>
      <c r="E88" s="5" t="s">
        <v>445</v>
      </c>
      <c r="F88" s="5" t="s">
        <v>444</v>
      </c>
      <c r="G88" s="5" t="s">
        <v>330</v>
      </c>
      <c r="H88" s="5">
        <v>63</v>
      </c>
      <c r="I88" s="6">
        <v>250</v>
      </c>
      <c r="J88" s="6">
        <f t="shared" si="2"/>
        <v>15750</v>
      </c>
      <c r="K88" s="5" t="s">
        <v>1689</v>
      </c>
      <c r="L88" s="5" t="s">
        <v>1682</v>
      </c>
    </row>
    <row r="89" spans="1:12" x14ac:dyDescent="0.3">
      <c r="A89" s="2" t="s">
        <v>1843</v>
      </c>
      <c r="B89" s="2" t="s">
        <v>1844</v>
      </c>
      <c r="C89" s="2" t="s">
        <v>1121</v>
      </c>
      <c r="D89" s="2" t="s">
        <v>613</v>
      </c>
      <c r="E89" s="2" t="s">
        <v>727</v>
      </c>
      <c r="F89" s="2" t="s">
        <v>726</v>
      </c>
      <c r="G89" s="2" t="s">
        <v>609</v>
      </c>
      <c r="H89" s="2">
        <v>22</v>
      </c>
      <c r="I89" s="3">
        <v>550</v>
      </c>
      <c r="J89" s="3">
        <f t="shared" si="2"/>
        <v>12100</v>
      </c>
      <c r="K89" s="2" t="s">
        <v>1685</v>
      </c>
      <c r="L89" s="2" t="s">
        <v>1686</v>
      </c>
    </row>
    <row r="90" spans="1:12" x14ac:dyDescent="0.3">
      <c r="A90" s="5" t="s">
        <v>1845</v>
      </c>
      <c r="B90" s="5" t="s">
        <v>1846</v>
      </c>
      <c r="C90" s="5" t="s">
        <v>960</v>
      </c>
      <c r="D90" s="5" t="s">
        <v>114</v>
      </c>
      <c r="E90" s="5" t="s">
        <v>118</v>
      </c>
      <c r="F90" s="5" t="s">
        <v>117</v>
      </c>
      <c r="G90" s="5" t="s">
        <v>17</v>
      </c>
      <c r="H90" s="5">
        <v>6</v>
      </c>
      <c r="I90" s="6">
        <v>55000</v>
      </c>
      <c r="J90" s="6">
        <f t="shared" si="2"/>
        <v>330000</v>
      </c>
      <c r="K90" s="5" t="s">
        <v>1679</v>
      </c>
      <c r="L90" s="5" t="s">
        <v>1686</v>
      </c>
    </row>
    <row r="91" spans="1:12" x14ac:dyDescent="0.3">
      <c r="A91" s="2" t="s">
        <v>1847</v>
      </c>
      <c r="B91" s="2" t="s">
        <v>1848</v>
      </c>
      <c r="C91" s="2" t="s">
        <v>1103</v>
      </c>
      <c r="D91" s="2" t="s">
        <v>503</v>
      </c>
      <c r="E91" s="2" t="s">
        <v>574</v>
      </c>
      <c r="F91" s="2" t="s">
        <v>573</v>
      </c>
      <c r="G91" s="2" t="s">
        <v>469</v>
      </c>
      <c r="H91" s="2">
        <v>23</v>
      </c>
      <c r="I91" s="3">
        <v>3200</v>
      </c>
      <c r="J91" s="3">
        <f t="shared" si="2"/>
        <v>73600</v>
      </c>
      <c r="K91" s="2" t="s">
        <v>1675</v>
      </c>
      <c r="L91" s="2" t="s">
        <v>1682</v>
      </c>
    </row>
    <row r="92" spans="1:12" x14ac:dyDescent="0.3">
      <c r="A92" s="5" t="s">
        <v>1849</v>
      </c>
      <c r="B92" s="5" t="s">
        <v>1850</v>
      </c>
      <c r="C92" s="5" t="s">
        <v>998</v>
      </c>
      <c r="D92" s="5" t="s">
        <v>218</v>
      </c>
      <c r="E92" s="5" t="s">
        <v>327</v>
      </c>
      <c r="F92" s="5" t="s">
        <v>326</v>
      </c>
      <c r="G92" s="5" t="s">
        <v>169</v>
      </c>
      <c r="H92" s="5">
        <v>84</v>
      </c>
      <c r="I92" s="6">
        <v>280</v>
      </c>
      <c r="J92" s="6">
        <f t="shared" si="2"/>
        <v>23520</v>
      </c>
      <c r="K92" s="5" t="s">
        <v>1685</v>
      </c>
      <c r="L92" s="5" t="s">
        <v>1676</v>
      </c>
    </row>
    <row r="93" spans="1:12" x14ac:dyDescent="0.3">
      <c r="A93" s="2" t="s">
        <v>1851</v>
      </c>
      <c r="B93" s="2" t="s">
        <v>1852</v>
      </c>
      <c r="C93" s="2" t="s">
        <v>998</v>
      </c>
      <c r="D93" s="2" t="s">
        <v>218</v>
      </c>
      <c r="E93" s="2" t="s">
        <v>298</v>
      </c>
      <c r="F93" s="2" t="s">
        <v>297</v>
      </c>
      <c r="G93" s="2" t="s">
        <v>169</v>
      </c>
      <c r="H93" s="2">
        <v>71</v>
      </c>
      <c r="I93" s="3">
        <v>185</v>
      </c>
      <c r="J93" s="3">
        <f t="shared" si="2"/>
        <v>13135</v>
      </c>
      <c r="K93" s="2" t="s">
        <v>1689</v>
      </c>
      <c r="L93" s="2" t="s">
        <v>1682</v>
      </c>
    </row>
    <row r="94" spans="1:12" x14ac:dyDescent="0.3">
      <c r="A94" s="5" t="s">
        <v>1853</v>
      </c>
      <c r="B94" s="5" t="s">
        <v>1854</v>
      </c>
      <c r="C94" s="5" t="s">
        <v>1156</v>
      </c>
      <c r="D94" s="5" t="s">
        <v>740</v>
      </c>
      <c r="E94" s="5" t="s">
        <v>775</v>
      </c>
      <c r="F94" s="5" t="s">
        <v>774</v>
      </c>
      <c r="G94" s="5" t="s">
        <v>731</v>
      </c>
      <c r="H94" s="5">
        <v>86</v>
      </c>
      <c r="I94" s="6">
        <v>280</v>
      </c>
      <c r="J94" s="6">
        <f t="shared" si="2"/>
        <v>24080</v>
      </c>
      <c r="K94" s="5" t="s">
        <v>1675</v>
      </c>
      <c r="L94" s="5" t="s">
        <v>1682</v>
      </c>
    </row>
    <row r="95" spans="1:12" x14ac:dyDescent="0.3">
      <c r="A95" s="2" t="s">
        <v>1855</v>
      </c>
      <c r="B95" s="2" t="s">
        <v>1856</v>
      </c>
      <c r="C95" s="2" t="s">
        <v>1121</v>
      </c>
      <c r="D95" s="2" t="s">
        <v>613</v>
      </c>
      <c r="E95" s="2" t="s">
        <v>707</v>
      </c>
      <c r="F95" s="2" t="s">
        <v>706</v>
      </c>
      <c r="G95" s="2" t="s">
        <v>609</v>
      </c>
      <c r="H95" s="2">
        <v>73</v>
      </c>
      <c r="I95" s="3">
        <v>220</v>
      </c>
      <c r="J95" s="3">
        <f t="shared" si="2"/>
        <v>16060</v>
      </c>
      <c r="K95" s="2" t="s">
        <v>1675</v>
      </c>
      <c r="L95" s="2" t="s">
        <v>1676</v>
      </c>
    </row>
    <row r="96" spans="1:12" x14ac:dyDescent="0.3">
      <c r="A96" s="5" t="s">
        <v>1857</v>
      </c>
      <c r="B96" s="5" t="s">
        <v>1858</v>
      </c>
      <c r="C96" s="5" t="s">
        <v>1064</v>
      </c>
      <c r="D96" s="5" t="s">
        <v>363</v>
      </c>
      <c r="E96" s="5" t="s">
        <v>350</v>
      </c>
      <c r="F96" s="5" t="s">
        <v>349</v>
      </c>
      <c r="G96" s="5" t="s">
        <v>330</v>
      </c>
      <c r="H96" s="5">
        <v>58</v>
      </c>
      <c r="I96" s="6">
        <v>2200</v>
      </c>
      <c r="J96" s="6">
        <f t="shared" si="2"/>
        <v>127600</v>
      </c>
      <c r="K96" s="5" t="s">
        <v>1679</v>
      </c>
      <c r="L96" s="5" t="s">
        <v>1676</v>
      </c>
    </row>
    <row r="97" spans="1:12" x14ac:dyDescent="0.3">
      <c r="A97" s="2" t="s">
        <v>1859</v>
      </c>
      <c r="B97" s="2" t="s">
        <v>1860</v>
      </c>
      <c r="C97" s="2" t="s">
        <v>1107</v>
      </c>
      <c r="D97" s="2" t="s">
        <v>556</v>
      </c>
      <c r="E97" s="2" t="s">
        <v>566</v>
      </c>
      <c r="F97" s="2" t="s">
        <v>565</v>
      </c>
      <c r="G97" s="2" t="s">
        <v>469</v>
      </c>
      <c r="H97" s="2">
        <v>95</v>
      </c>
      <c r="I97" s="3">
        <v>180</v>
      </c>
      <c r="J97" s="3">
        <f t="shared" si="2"/>
        <v>17100</v>
      </c>
      <c r="K97" s="2" t="s">
        <v>1675</v>
      </c>
      <c r="L97" s="2" t="s">
        <v>1686</v>
      </c>
    </row>
    <row r="98" spans="1:12" x14ac:dyDescent="0.3">
      <c r="A98" s="5" t="s">
        <v>1861</v>
      </c>
      <c r="B98" s="5" t="s">
        <v>1862</v>
      </c>
      <c r="C98" s="5" t="s">
        <v>1103</v>
      </c>
      <c r="D98" s="5" t="s">
        <v>503</v>
      </c>
      <c r="E98" s="5" t="s">
        <v>508</v>
      </c>
      <c r="F98" s="5" t="s">
        <v>507</v>
      </c>
      <c r="G98" s="5" t="s">
        <v>469</v>
      </c>
      <c r="H98" s="5">
        <v>27</v>
      </c>
      <c r="I98" s="6">
        <v>3800</v>
      </c>
      <c r="J98" s="6">
        <f t="shared" si="2"/>
        <v>102600</v>
      </c>
      <c r="K98" s="5" t="s">
        <v>1679</v>
      </c>
      <c r="L98" s="5" t="s">
        <v>1676</v>
      </c>
    </row>
    <row r="99" spans="1:12" x14ac:dyDescent="0.3">
      <c r="A99" s="2" t="s">
        <v>1863</v>
      </c>
      <c r="B99" s="2" t="s">
        <v>1864</v>
      </c>
      <c r="C99" s="2" t="s">
        <v>1121</v>
      </c>
      <c r="D99" s="2" t="s">
        <v>613</v>
      </c>
      <c r="E99" s="2" t="s">
        <v>665</v>
      </c>
      <c r="F99" s="2" t="s">
        <v>664</v>
      </c>
      <c r="G99" s="2" t="s">
        <v>609</v>
      </c>
      <c r="H99" s="2">
        <v>62</v>
      </c>
      <c r="I99" s="3">
        <v>85</v>
      </c>
      <c r="J99" s="3">
        <f t="shared" ref="J99:J130" si="3">H99*I99</f>
        <v>5270</v>
      </c>
      <c r="K99" s="2" t="s">
        <v>1679</v>
      </c>
      <c r="L99" s="2" t="s">
        <v>1686</v>
      </c>
    </row>
    <row r="100" spans="1:12" x14ac:dyDescent="0.3">
      <c r="A100" s="5" t="s">
        <v>1865</v>
      </c>
      <c r="B100" s="5" t="s">
        <v>1866</v>
      </c>
      <c r="C100" s="5" t="s">
        <v>1161</v>
      </c>
      <c r="D100" s="5" t="s">
        <v>603</v>
      </c>
      <c r="E100" s="5" t="s">
        <v>734</v>
      </c>
      <c r="F100" s="5" t="s">
        <v>733</v>
      </c>
      <c r="G100" s="5" t="s">
        <v>731</v>
      </c>
      <c r="H100" s="5">
        <v>24</v>
      </c>
      <c r="I100" s="6">
        <v>1100</v>
      </c>
      <c r="J100" s="6">
        <f t="shared" si="3"/>
        <v>26400</v>
      </c>
      <c r="K100" s="5" t="s">
        <v>1675</v>
      </c>
      <c r="L100" s="5" t="s">
        <v>1686</v>
      </c>
    </row>
    <row r="101" spans="1:12" x14ac:dyDescent="0.3">
      <c r="A101" s="2" t="s">
        <v>1867</v>
      </c>
      <c r="B101" s="2" t="s">
        <v>1868</v>
      </c>
      <c r="C101" s="2" t="s">
        <v>1055</v>
      </c>
      <c r="D101" s="2" t="s">
        <v>334</v>
      </c>
      <c r="E101" s="2" t="s">
        <v>431</v>
      </c>
      <c r="F101" s="2" t="s">
        <v>430</v>
      </c>
      <c r="G101" s="2" t="s">
        <v>330</v>
      </c>
      <c r="H101" s="2">
        <v>65</v>
      </c>
      <c r="I101" s="3">
        <v>2200</v>
      </c>
      <c r="J101" s="3">
        <f t="shared" si="3"/>
        <v>143000</v>
      </c>
      <c r="K101" s="2" t="s">
        <v>1685</v>
      </c>
      <c r="L101" s="2" t="s">
        <v>1676</v>
      </c>
    </row>
    <row r="102" spans="1:12" x14ac:dyDescent="0.3">
      <c r="A102" s="5" t="s">
        <v>1869</v>
      </c>
      <c r="B102" s="5" t="s">
        <v>1870</v>
      </c>
      <c r="C102" s="5" t="s">
        <v>1103</v>
      </c>
      <c r="D102" s="5" t="s">
        <v>503</v>
      </c>
      <c r="E102" s="5" t="s">
        <v>571</v>
      </c>
      <c r="F102" s="5" t="s">
        <v>570</v>
      </c>
      <c r="G102" s="5" t="s">
        <v>469</v>
      </c>
      <c r="H102" s="5">
        <v>88</v>
      </c>
      <c r="I102" s="6">
        <v>120</v>
      </c>
      <c r="J102" s="6">
        <f t="shared" si="3"/>
        <v>10560</v>
      </c>
      <c r="K102" s="5" t="s">
        <v>1689</v>
      </c>
      <c r="L102" s="5" t="s">
        <v>1676</v>
      </c>
    </row>
    <row r="103" spans="1:12" x14ac:dyDescent="0.3">
      <c r="A103" s="2" t="s">
        <v>1871</v>
      </c>
      <c r="B103" s="2" t="s">
        <v>1872</v>
      </c>
      <c r="C103" s="2" t="s">
        <v>1064</v>
      </c>
      <c r="D103" s="2" t="s">
        <v>363</v>
      </c>
      <c r="E103" s="2" t="s">
        <v>362</v>
      </c>
      <c r="F103" s="2" t="s">
        <v>361</v>
      </c>
      <c r="G103" s="2" t="s">
        <v>330</v>
      </c>
      <c r="H103" s="2">
        <v>45</v>
      </c>
      <c r="I103" s="3">
        <v>1600</v>
      </c>
      <c r="J103" s="3">
        <f t="shared" si="3"/>
        <v>72000</v>
      </c>
      <c r="K103" s="2" t="s">
        <v>1679</v>
      </c>
      <c r="L103" s="2" t="s">
        <v>1676</v>
      </c>
    </row>
    <row r="104" spans="1:12" x14ac:dyDescent="0.3">
      <c r="A104" s="5" t="s">
        <v>1873</v>
      </c>
      <c r="B104" s="5" t="s">
        <v>1874</v>
      </c>
      <c r="C104" s="5" t="s">
        <v>965</v>
      </c>
      <c r="D104" s="5" t="s">
        <v>133</v>
      </c>
      <c r="E104" s="5" t="s">
        <v>79</v>
      </c>
      <c r="F104" s="5" t="s">
        <v>78</v>
      </c>
      <c r="G104" s="5" t="s">
        <v>17</v>
      </c>
      <c r="H104" s="5">
        <v>47</v>
      </c>
      <c r="I104" s="6">
        <v>105000</v>
      </c>
      <c r="J104" s="6">
        <f t="shared" si="3"/>
        <v>4935000</v>
      </c>
      <c r="K104" s="5" t="s">
        <v>1675</v>
      </c>
      <c r="L104" s="5" t="s">
        <v>1686</v>
      </c>
    </row>
    <row r="105" spans="1:12" x14ac:dyDescent="0.3">
      <c r="A105" s="2" t="s">
        <v>1875</v>
      </c>
      <c r="B105" s="2" t="s">
        <v>1756</v>
      </c>
      <c r="C105" s="2" t="s">
        <v>1139</v>
      </c>
      <c r="D105" s="2" t="s">
        <v>820</v>
      </c>
      <c r="E105" s="2" t="s">
        <v>839</v>
      </c>
      <c r="F105" s="2" t="s">
        <v>838</v>
      </c>
      <c r="G105" s="2" t="s">
        <v>816</v>
      </c>
      <c r="H105" s="2">
        <v>94</v>
      </c>
      <c r="I105" s="3">
        <v>550</v>
      </c>
      <c r="J105" s="3">
        <f t="shared" si="3"/>
        <v>51700</v>
      </c>
      <c r="K105" s="2" t="s">
        <v>1675</v>
      </c>
      <c r="L105" s="2" t="s">
        <v>1676</v>
      </c>
    </row>
    <row r="106" spans="1:12" x14ac:dyDescent="0.3">
      <c r="A106" s="5" t="s">
        <v>1876</v>
      </c>
      <c r="B106" s="5" t="s">
        <v>1842</v>
      </c>
      <c r="C106" s="5" t="s">
        <v>960</v>
      </c>
      <c r="D106" s="5" t="s">
        <v>114</v>
      </c>
      <c r="E106" s="5" t="s">
        <v>29</v>
      </c>
      <c r="F106" s="5" t="s">
        <v>28</v>
      </c>
      <c r="G106" s="5" t="s">
        <v>17</v>
      </c>
      <c r="H106" s="5">
        <v>60</v>
      </c>
      <c r="I106" s="6">
        <v>240000</v>
      </c>
      <c r="J106" s="6">
        <f t="shared" si="3"/>
        <v>14400000</v>
      </c>
      <c r="K106" s="5" t="s">
        <v>1679</v>
      </c>
      <c r="L106" s="5" t="s">
        <v>1682</v>
      </c>
    </row>
    <row r="107" spans="1:12" x14ac:dyDescent="0.3">
      <c r="A107" s="2" t="s">
        <v>1877</v>
      </c>
      <c r="B107" s="2" t="s">
        <v>1878</v>
      </c>
      <c r="C107" s="2" t="s">
        <v>1148</v>
      </c>
      <c r="D107" s="2" t="s">
        <v>854</v>
      </c>
      <c r="E107" s="2" t="s">
        <v>897</v>
      </c>
      <c r="F107" s="2" t="s">
        <v>896</v>
      </c>
      <c r="G107" s="2" t="s">
        <v>816</v>
      </c>
      <c r="H107" s="2">
        <v>89</v>
      </c>
      <c r="I107" s="3">
        <v>5500</v>
      </c>
      <c r="J107" s="3">
        <f t="shared" si="3"/>
        <v>489500</v>
      </c>
      <c r="K107" s="2" t="s">
        <v>1675</v>
      </c>
      <c r="L107" s="2" t="s">
        <v>1676</v>
      </c>
    </row>
    <row r="108" spans="1:12" x14ac:dyDescent="0.3">
      <c r="A108" s="5" t="s">
        <v>1879</v>
      </c>
      <c r="B108" s="5" t="s">
        <v>1880</v>
      </c>
      <c r="C108" s="5" t="s">
        <v>1060</v>
      </c>
      <c r="D108" s="5" t="s">
        <v>342</v>
      </c>
      <c r="E108" s="5" t="s">
        <v>407</v>
      </c>
      <c r="F108" s="5" t="s">
        <v>406</v>
      </c>
      <c r="G108" s="5" t="s">
        <v>330</v>
      </c>
      <c r="H108" s="5">
        <v>59</v>
      </c>
      <c r="I108" s="6">
        <v>500</v>
      </c>
      <c r="J108" s="6">
        <f t="shared" si="3"/>
        <v>29500</v>
      </c>
      <c r="K108" s="5" t="s">
        <v>1685</v>
      </c>
      <c r="L108" s="5" t="s">
        <v>1676</v>
      </c>
    </row>
    <row r="109" spans="1:12" x14ac:dyDescent="0.3">
      <c r="A109" s="2" t="s">
        <v>1881</v>
      </c>
      <c r="B109" s="2" t="s">
        <v>1882</v>
      </c>
      <c r="C109" s="2" t="s">
        <v>1148</v>
      </c>
      <c r="D109" s="2" t="s">
        <v>854</v>
      </c>
      <c r="E109" s="2" t="s">
        <v>824</v>
      </c>
      <c r="F109" s="2" t="s">
        <v>823</v>
      </c>
      <c r="G109" s="2" t="s">
        <v>816</v>
      </c>
      <c r="H109" s="2">
        <v>56</v>
      </c>
      <c r="I109" s="3">
        <v>3200</v>
      </c>
      <c r="J109" s="3">
        <f t="shared" si="3"/>
        <v>179200</v>
      </c>
      <c r="K109" s="2" t="s">
        <v>1679</v>
      </c>
      <c r="L109" s="2" t="s">
        <v>1682</v>
      </c>
    </row>
    <row r="110" spans="1:12" x14ac:dyDescent="0.3">
      <c r="A110" s="5" t="s">
        <v>1883</v>
      </c>
      <c r="B110" s="5" t="s">
        <v>1884</v>
      </c>
      <c r="C110" s="5" t="s">
        <v>1156</v>
      </c>
      <c r="D110" s="5" t="s">
        <v>740</v>
      </c>
      <c r="E110" s="5" t="s">
        <v>783</v>
      </c>
      <c r="F110" s="5" t="s">
        <v>782</v>
      </c>
      <c r="G110" s="5" t="s">
        <v>731</v>
      </c>
      <c r="H110" s="5">
        <v>53</v>
      </c>
      <c r="I110" s="6">
        <v>50</v>
      </c>
      <c r="J110" s="6">
        <f t="shared" si="3"/>
        <v>2650</v>
      </c>
      <c r="K110" s="5" t="s">
        <v>1679</v>
      </c>
      <c r="L110" s="5" t="s">
        <v>1682</v>
      </c>
    </row>
    <row r="111" spans="1:12" x14ac:dyDescent="0.3">
      <c r="A111" s="2" t="s">
        <v>1885</v>
      </c>
      <c r="B111" s="2" t="s">
        <v>1886</v>
      </c>
      <c r="C111" s="2" t="s">
        <v>1107</v>
      </c>
      <c r="D111" s="2" t="s">
        <v>556</v>
      </c>
      <c r="E111" s="2" t="s">
        <v>539</v>
      </c>
      <c r="F111" s="2" t="s">
        <v>538</v>
      </c>
      <c r="G111" s="2" t="s">
        <v>469</v>
      </c>
      <c r="H111" s="2">
        <v>89</v>
      </c>
      <c r="I111" s="3">
        <v>180</v>
      </c>
      <c r="J111" s="3">
        <f t="shared" si="3"/>
        <v>16020</v>
      </c>
      <c r="K111" s="2" t="s">
        <v>1689</v>
      </c>
      <c r="L111" s="2" t="s">
        <v>1676</v>
      </c>
    </row>
    <row r="112" spans="1:12" x14ac:dyDescent="0.3">
      <c r="A112" s="5" t="s">
        <v>1887</v>
      </c>
      <c r="B112" s="5" t="s">
        <v>1880</v>
      </c>
      <c r="C112" s="5" t="s">
        <v>1107</v>
      </c>
      <c r="D112" s="5" t="s">
        <v>556</v>
      </c>
      <c r="E112" s="5" t="s">
        <v>590</v>
      </c>
      <c r="F112" s="5" t="s">
        <v>589</v>
      </c>
      <c r="G112" s="5" t="s">
        <v>469</v>
      </c>
      <c r="H112" s="5">
        <v>100</v>
      </c>
      <c r="I112" s="6">
        <v>350</v>
      </c>
      <c r="J112" s="6">
        <f t="shared" si="3"/>
        <v>35000</v>
      </c>
      <c r="K112" s="5" t="s">
        <v>1679</v>
      </c>
      <c r="L112" s="5" t="s">
        <v>1682</v>
      </c>
    </row>
    <row r="113" spans="1:12" x14ac:dyDescent="0.3">
      <c r="A113" s="2" t="s">
        <v>1888</v>
      </c>
      <c r="B113" s="2" t="s">
        <v>1868</v>
      </c>
      <c r="C113" s="2" t="s">
        <v>1085</v>
      </c>
      <c r="D113" s="2" t="s">
        <v>473</v>
      </c>
      <c r="E113" s="2" t="s">
        <v>590</v>
      </c>
      <c r="F113" s="2" t="s">
        <v>589</v>
      </c>
      <c r="G113" s="2" t="s">
        <v>469</v>
      </c>
      <c r="H113" s="2">
        <v>14</v>
      </c>
      <c r="I113" s="3">
        <v>350</v>
      </c>
      <c r="J113" s="3">
        <f t="shared" si="3"/>
        <v>4900</v>
      </c>
      <c r="K113" s="2" t="s">
        <v>1689</v>
      </c>
      <c r="L113" s="2" t="s">
        <v>1686</v>
      </c>
    </row>
    <row r="114" spans="1:12" x14ac:dyDescent="0.3">
      <c r="A114" s="5" t="s">
        <v>1889</v>
      </c>
      <c r="B114" s="5" t="s">
        <v>1890</v>
      </c>
      <c r="C114" s="5" t="s">
        <v>985</v>
      </c>
      <c r="D114" s="5" t="s">
        <v>173</v>
      </c>
      <c r="E114" s="5" t="s">
        <v>239</v>
      </c>
      <c r="F114" s="5" t="s">
        <v>238</v>
      </c>
      <c r="G114" s="5" t="s">
        <v>169</v>
      </c>
      <c r="H114" s="5">
        <v>63</v>
      </c>
      <c r="I114" s="6">
        <v>50</v>
      </c>
      <c r="J114" s="6">
        <f t="shared" si="3"/>
        <v>3150</v>
      </c>
      <c r="K114" s="5" t="s">
        <v>1679</v>
      </c>
      <c r="L114" s="5" t="s">
        <v>1682</v>
      </c>
    </row>
    <row r="115" spans="1:12" x14ac:dyDescent="0.3">
      <c r="A115" s="2" t="s">
        <v>1891</v>
      </c>
      <c r="B115" s="2" t="s">
        <v>1892</v>
      </c>
      <c r="C115" s="2" t="s">
        <v>1060</v>
      </c>
      <c r="D115" s="2" t="s">
        <v>342</v>
      </c>
      <c r="E115" s="2" t="s">
        <v>407</v>
      </c>
      <c r="F115" s="2" t="s">
        <v>406</v>
      </c>
      <c r="G115" s="2" t="s">
        <v>330</v>
      </c>
      <c r="H115" s="2">
        <v>85</v>
      </c>
      <c r="I115" s="3">
        <v>500</v>
      </c>
      <c r="J115" s="3">
        <f t="shared" si="3"/>
        <v>42500</v>
      </c>
      <c r="K115" s="2" t="s">
        <v>1679</v>
      </c>
      <c r="L115" s="2" t="s">
        <v>1676</v>
      </c>
    </row>
    <row r="116" spans="1:12" x14ac:dyDescent="0.3">
      <c r="A116" s="5" t="s">
        <v>1893</v>
      </c>
      <c r="B116" s="5" t="s">
        <v>1894</v>
      </c>
      <c r="C116" s="5" t="s">
        <v>1064</v>
      </c>
      <c r="D116" s="5" t="s">
        <v>363</v>
      </c>
      <c r="E116" s="5" t="s">
        <v>341</v>
      </c>
      <c r="F116" s="5" t="s">
        <v>340</v>
      </c>
      <c r="G116" s="5" t="s">
        <v>330</v>
      </c>
      <c r="H116" s="5">
        <v>38</v>
      </c>
      <c r="I116" s="6">
        <v>2500</v>
      </c>
      <c r="J116" s="6">
        <f t="shared" si="3"/>
        <v>95000</v>
      </c>
      <c r="K116" s="5" t="s">
        <v>1679</v>
      </c>
      <c r="L116" s="5" t="s">
        <v>1676</v>
      </c>
    </row>
    <row r="117" spans="1:12" x14ac:dyDescent="0.3">
      <c r="A117" s="2" t="s">
        <v>1895</v>
      </c>
      <c r="B117" s="2" t="s">
        <v>1896</v>
      </c>
      <c r="C117" s="2" t="s">
        <v>1060</v>
      </c>
      <c r="D117" s="2" t="s">
        <v>342</v>
      </c>
      <c r="E117" s="2" t="s">
        <v>457</v>
      </c>
      <c r="F117" s="2" t="s">
        <v>456</v>
      </c>
      <c r="G117" s="2" t="s">
        <v>330</v>
      </c>
      <c r="H117" s="2">
        <v>48</v>
      </c>
      <c r="I117" s="3">
        <v>1200</v>
      </c>
      <c r="J117" s="3">
        <f t="shared" si="3"/>
        <v>57600</v>
      </c>
      <c r="K117" s="2" t="s">
        <v>1675</v>
      </c>
      <c r="L117" s="2" t="s">
        <v>1686</v>
      </c>
    </row>
    <row r="118" spans="1:12" x14ac:dyDescent="0.3">
      <c r="A118" s="5" t="s">
        <v>1897</v>
      </c>
      <c r="B118" s="5" t="s">
        <v>1898</v>
      </c>
      <c r="C118" s="5" t="s">
        <v>1064</v>
      </c>
      <c r="D118" s="5" t="s">
        <v>363</v>
      </c>
      <c r="E118" s="5" t="s">
        <v>337</v>
      </c>
      <c r="F118" s="5" t="s">
        <v>336</v>
      </c>
      <c r="G118" s="5" t="s">
        <v>330</v>
      </c>
      <c r="H118" s="5">
        <v>94</v>
      </c>
      <c r="I118" s="6">
        <v>1500</v>
      </c>
      <c r="J118" s="6">
        <f t="shared" si="3"/>
        <v>141000</v>
      </c>
      <c r="K118" s="5" t="s">
        <v>1675</v>
      </c>
      <c r="L118" s="5" t="s">
        <v>1686</v>
      </c>
    </row>
    <row r="119" spans="1:12" x14ac:dyDescent="0.3">
      <c r="A119" s="2" t="s">
        <v>1899</v>
      </c>
      <c r="B119" s="2" t="s">
        <v>1900</v>
      </c>
      <c r="C119" s="2" t="s">
        <v>1085</v>
      </c>
      <c r="D119" s="2" t="s">
        <v>473</v>
      </c>
      <c r="E119" s="2" t="s">
        <v>502</v>
      </c>
      <c r="F119" s="2" t="s">
        <v>501</v>
      </c>
      <c r="G119" s="2" t="s">
        <v>469</v>
      </c>
      <c r="H119" s="2">
        <v>19</v>
      </c>
      <c r="I119" s="3">
        <v>260</v>
      </c>
      <c r="J119" s="3">
        <f t="shared" si="3"/>
        <v>4940</v>
      </c>
      <c r="K119" s="2" t="s">
        <v>1689</v>
      </c>
      <c r="L119" s="2" t="s">
        <v>1686</v>
      </c>
    </row>
    <row r="120" spans="1:12" x14ac:dyDescent="0.3">
      <c r="A120" s="5" t="s">
        <v>1901</v>
      </c>
      <c r="B120" s="5" t="s">
        <v>1902</v>
      </c>
      <c r="C120" s="5" t="s">
        <v>960</v>
      </c>
      <c r="D120" s="5" t="s">
        <v>114</v>
      </c>
      <c r="E120" s="5" t="s">
        <v>147</v>
      </c>
      <c r="F120" s="5" t="s">
        <v>146</v>
      </c>
      <c r="G120" s="5" t="s">
        <v>17</v>
      </c>
      <c r="H120" s="5">
        <v>25</v>
      </c>
      <c r="I120" s="6">
        <v>72000</v>
      </c>
      <c r="J120" s="6">
        <f t="shared" si="3"/>
        <v>1800000</v>
      </c>
      <c r="K120" s="5" t="s">
        <v>1675</v>
      </c>
      <c r="L120" s="5" t="s">
        <v>1686</v>
      </c>
    </row>
    <row r="121" spans="1:12" x14ac:dyDescent="0.3">
      <c r="A121" s="2" t="s">
        <v>1903</v>
      </c>
      <c r="B121" s="2" t="s">
        <v>1904</v>
      </c>
      <c r="C121" s="2" t="s">
        <v>907</v>
      </c>
      <c r="D121" s="2" t="s">
        <v>21</v>
      </c>
      <c r="E121" s="2" t="s">
        <v>105</v>
      </c>
      <c r="F121" s="2" t="s">
        <v>104</v>
      </c>
      <c r="G121" s="2" t="s">
        <v>17</v>
      </c>
      <c r="H121" s="2">
        <v>71</v>
      </c>
      <c r="I121" s="3">
        <v>42000</v>
      </c>
      <c r="J121" s="3">
        <f t="shared" si="3"/>
        <v>2982000</v>
      </c>
      <c r="K121" s="2" t="s">
        <v>1685</v>
      </c>
      <c r="L121" s="2" t="s">
        <v>1682</v>
      </c>
    </row>
    <row r="122" spans="1:12" x14ac:dyDescent="0.3">
      <c r="A122" s="5" t="s">
        <v>1905</v>
      </c>
      <c r="B122" s="5" t="s">
        <v>1906</v>
      </c>
      <c r="C122" s="5" t="s">
        <v>960</v>
      </c>
      <c r="D122" s="5" t="s">
        <v>114</v>
      </c>
      <c r="E122" s="5" t="s">
        <v>110</v>
      </c>
      <c r="F122" s="5" t="s">
        <v>109</v>
      </c>
      <c r="G122" s="5" t="s">
        <v>17</v>
      </c>
      <c r="H122" s="5">
        <v>19</v>
      </c>
      <c r="I122" s="6">
        <v>68000</v>
      </c>
      <c r="J122" s="6">
        <f t="shared" si="3"/>
        <v>1292000</v>
      </c>
      <c r="K122" s="5" t="s">
        <v>1689</v>
      </c>
      <c r="L122" s="5" t="s">
        <v>1686</v>
      </c>
    </row>
    <row r="123" spans="1:12" x14ac:dyDescent="0.3">
      <c r="A123" s="2" t="s">
        <v>1907</v>
      </c>
      <c r="B123" s="2" t="s">
        <v>1908</v>
      </c>
      <c r="C123" s="2" t="s">
        <v>1055</v>
      </c>
      <c r="D123" s="2" t="s">
        <v>334</v>
      </c>
      <c r="E123" s="2" t="s">
        <v>435</v>
      </c>
      <c r="F123" s="2" t="s">
        <v>434</v>
      </c>
      <c r="G123" s="2" t="s">
        <v>330</v>
      </c>
      <c r="H123" s="2">
        <v>61</v>
      </c>
      <c r="I123" s="3">
        <v>1800</v>
      </c>
      <c r="J123" s="3">
        <f t="shared" si="3"/>
        <v>109800</v>
      </c>
      <c r="K123" s="2" t="s">
        <v>1689</v>
      </c>
      <c r="L123" s="2" t="s">
        <v>1682</v>
      </c>
    </row>
    <row r="124" spans="1:12" x14ac:dyDescent="0.3">
      <c r="A124" s="5" t="s">
        <v>1909</v>
      </c>
      <c r="B124" s="5" t="s">
        <v>1910</v>
      </c>
      <c r="C124" s="5" t="s">
        <v>1161</v>
      </c>
      <c r="D124" s="5" t="s">
        <v>603</v>
      </c>
      <c r="E124" s="5" t="s">
        <v>775</v>
      </c>
      <c r="F124" s="5" t="s">
        <v>774</v>
      </c>
      <c r="G124" s="5" t="s">
        <v>731</v>
      </c>
      <c r="H124" s="5">
        <v>94</v>
      </c>
      <c r="I124" s="6">
        <v>280</v>
      </c>
      <c r="J124" s="6">
        <f t="shared" si="3"/>
        <v>26320</v>
      </c>
      <c r="K124" s="5" t="s">
        <v>1689</v>
      </c>
      <c r="L124" s="5" t="s">
        <v>1686</v>
      </c>
    </row>
    <row r="125" spans="1:12" x14ac:dyDescent="0.3">
      <c r="A125" s="2" t="s">
        <v>1911</v>
      </c>
      <c r="B125" s="2" t="s">
        <v>1912</v>
      </c>
      <c r="C125" s="2" t="s">
        <v>1121</v>
      </c>
      <c r="D125" s="2" t="s">
        <v>613</v>
      </c>
      <c r="E125" s="2" t="s">
        <v>720</v>
      </c>
      <c r="F125" s="2" t="s">
        <v>719</v>
      </c>
      <c r="G125" s="2" t="s">
        <v>609</v>
      </c>
      <c r="H125" s="2">
        <v>62</v>
      </c>
      <c r="I125" s="3">
        <v>380</v>
      </c>
      <c r="J125" s="3">
        <f t="shared" si="3"/>
        <v>23560</v>
      </c>
      <c r="K125" s="2" t="s">
        <v>1679</v>
      </c>
      <c r="L125" s="2" t="s">
        <v>1676</v>
      </c>
    </row>
    <row r="126" spans="1:12" x14ac:dyDescent="0.3">
      <c r="A126" s="5" t="s">
        <v>1913</v>
      </c>
      <c r="B126" s="5" t="s">
        <v>1791</v>
      </c>
      <c r="C126" s="5" t="s">
        <v>1107</v>
      </c>
      <c r="D126" s="5" t="s">
        <v>556</v>
      </c>
      <c r="E126" s="5" t="s">
        <v>547</v>
      </c>
      <c r="F126" s="5" t="s">
        <v>546</v>
      </c>
      <c r="G126" s="5" t="s">
        <v>469</v>
      </c>
      <c r="H126" s="5">
        <v>64</v>
      </c>
      <c r="I126" s="6">
        <v>220</v>
      </c>
      <c r="J126" s="6">
        <f t="shared" si="3"/>
        <v>14080</v>
      </c>
      <c r="K126" s="5" t="s">
        <v>1689</v>
      </c>
      <c r="L126" s="5" t="s">
        <v>1686</v>
      </c>
    </row>
    <row r="127" spans="1:12" x14ac:dyDescent="0.3">
      <c r="A127" s="2" t="s">
        <v>1914</v>
      </c>
      <c r="B127" s="2" t="s">
        <v>1915</v>
      </c>
      <c r="C127" s="2" t="s">
        <v>1107</v>
      </c>
      <c r="D127" s="2" t="s">
        <v>556</v>
      </c>
      <c r="E127" s="2" t="s">
        <v>491</v>
      </c>
      <c r="F127" s="2" t="s">
        <v>490</v>
      </c>
      <c r="G127" s="2" t="s">
        <v>469</v>
      </c>
      <c r="H127" s="2">
        <v>7</v>
      </c>
      <c r="I127" s="3">
        <v>55</v>
      </c>
      <c r="J127" s="3">
        <f t="shared" si="3"/>
        <v>385</v>
      </c>
      <c r="K127" s="2" t="s">
        <v>1685</v>
      </c>
      <c r="L127" s="2" t="s">
        <v>1682</v>
      </c>
    </row>
    <row r="128" spans="1:12" x14ac:dyDescent="0.3">
      <c r="A128" s="5" t="s">
        <v>1916</v>
      </c>
      <c r="B128" s="5" t="s">
        <v>1917</v>
      </c>
      <c r="C128" s="5" t="s">
        <v>1144</v>
      </c>
      <c r="D128" s="5" t="s">
        <v>825</v>
      </c>
      <c r="E128" s="5" t="s">
        <v>881</v>
      </c>
      <c r="F128" s="5" t="s">
        <v>880</v>
      </c>
      <c r="G128" s="5" t="s">
        <v>816</v>
      </c>
      <c r="H128" s="5">
        <v>43</v>
      </c>
      <c r="I128" s="6">
        <v>2500</v>
      </c>
      <c r="J128" s="6">
        <f t="shared" si="3"/>
        <v>107500</v>
      </c>
      <c r="K128" s="5" t="s">
        <v>1679</v>
      </c>
      <c r="L128" s="5" t="s">
        <v>1676</v>
      </c>
    </row>
    <row r="129" spans="1:12" x14ac:dyDescent="0.3">
      <c r="A129" s="2" t="s">
        <v>1918</v>
      </c>
      <c r="B129" s="2" t="s">
        <v>1919</v>
      </c>
      <c r="C129" s="2" t="s">
        <v>1064</v>
      </c>
      <c r="D129" s="2" t="s">
        <v>363</v>
      </c>
      <c r="E129" s="2" t="s">
        <v>416</v>
      </c>
      <c r="F129" s="2" t="s">
        <v>415</v>
      </c>
      <c r="G129" s="2" t="s">
        <v>330</v>
      </c>
      <c r="H129" s="2">
        <v>25</v>
      </c>
      <c r="I129" s="3">
        <v>2800</v>
      </c>
      <c r="J129" s="3">
        <f t="shared" si="3"/>
        <v>70000</v>
      </c>
      <c r="K129" s="2" t="s">
        <v>1675</v>
      </c>
      <c r="L129" s="2" t="s">
        <v>1682</v>
      </c>
    </row>
    <row r="130" spans="1:12" x14ac:dyDescent="0.3">
      <c r="A130" s="5" t="s">
        <v>1920</v>
      </c>
      <c r="B130" s="5" t="s">
        <v>1921</v>
      </c>
      <c r="C130" s="5" t="s">
        <v>1139</v>
      </c>
      <c r="D130" s="5" t="s">
        <v>820</v>
      </c>
      <c r="E130" s="5" t="s">
        <v>862</v>
      </c>
      <c r="F130" s="5" t="s">
        <v>861</v>
      </c>
      <c r="G130" s="5" t="s">
        <v>816</v>
      </c>
      <c r="H130" s="5">
        <v>12</v>
      </c>
      <c r="I130" s="6">
        <v>14000</v>
      </c>
      <c r="J130" s="6">
        <f t="shared" si="3"/>
        <v>168000</v>
      </c>
      <c r="K130" s="5" t="s">
        <v>1679</v>
      </c>
      <c r="L130" s="5" t="s">
        <v>1686</v>
      </c>
    </row>
    <row r="131" spans="1:12" x14ac:dyDescent="0.3">
      <c r="A131" s="2" t="s">
        <v>1922</v>
      </c>
      <c r="B131" s="2" t="s">
        <v>1923</v>
      </c>
      <c r="C131" s="2" t="s">
        <v>985</v>
      </c>
      <c r="D131" s="2" t="s">
        <v>173</v>
      </c>
      <c r="E131" s="2" t="s">
        <v>195</v>
      </c>
      <c r="F131" s="2" t="s">
        <v>194</v>
      </c>
      <c r="G131" s="2" t="s">
        <v>169</v>
      </c>
      <c r="H131" s="2">
        <v>8</v>
      </c>
      <c r="I131" s="3">
        <v>2000</v>
      </c>
      <c r="J131" s="3">
        <f t="shared" ref="J131:J162" si="4">H131*I131</f>
        <v>16000</v>
      </c>
      <c r="K131" s="2" t="s">
        <v>1679</v>
      </c>
      <c r="L131" s="2" t="s">
        <v>1686</v>
      </c>
    </row>
    <row r="132" spans="1:12" x14ac:dyDescent="0.3">
      <c r="A132" s="5" t="s">
        <v>1924</v>
      </c>
      <c r="B132" s="5" t="s">
        <v>1925</v>
      </c>
      <c r="C132" s="5" t="s">
        <v>965</v>
      </c>
      <c r="D132" s="5" t="s">
        <v>133</v>
      </c>
      <c r="E132" s="5" t="s">
        <v>64</v>
      </c>
      <c r="F132" s="5" t="s">
        <v>63</v>
      </c>
      <c r="G132" s="5" t="s">
        <v>17</v>
      </c>
      <c r="H132" s="5">
        <v>36</v>
      </c>
      <c r="I132" s="6">
        <v>115000</v>
      </c>
      <c r="J132" s="6">
        <f t="shared" si="4"/>
        <v>4140000</v>
      </c>
      <c r="K132" s="5" t="s">
        <v>1675</v>
      </c>
      <c r="L132" s="5" t="s">
        <v>1676</v>
      </c>
    </row>
    <row r="133" spans="1:12" x14ac:dyDescent="0.3">
      <c r="A133" s="2" t="s">
        <v>1926</v>
      </c>
      <c r="B133" s="2" t="s">
        <v>1927</v>
      </c>
      <c r="C133" s="2" t="s">
        <v>1161</v>
      </c>
      <c r="D133" s="2" t="s">
        <v>603</v>
      </c>
      <c r="E133" s="2" t="s">
        <v>744</v>
      </c>
      <c r="F133" s="2" t="s">
        <v>743</v>
      </c>
      <c r="G133" s="2" t="s">
        <v>731</v>
      </c>
      <c r="H133" s="2">
        <v>63</v>
      </c>
      <c r="I133" s="3">
        <v>150</v>
      </c>
      <c r="J133" s="3">
        <f t="shared" si="4"/>
        <v>9450</v>
      </c>
      <c r="K133" s="2" t="s">
        <v>1685</v>
      </c>
      <c r="L133" s="2" t="s">
        <v>1676</v>
      </c>
    </row>
    <row r="134" spans="1:12" x14ac:dyDescent="0.3">
      <c r="A134" s="5" t="s">
        <v>1928</v>
      </c>
      <c r="B134" s="5" t="s">
        <v>1688</v>
      </c>
      <c r="C134" s="5" t="s">
        <v>1019</v>
      </c>
      <c r="D134" s="5" t="s">
        <v>691</v>
      </c>
      <c r="E134" s="5" t="s">
        <v>690</v>
      </c>
      <c r="F134" s="5" t="s">
        <v>689</v>
      </c>
      <c r="G134" s="5" t="s">
        <v>609</v>
      </c>
      <c r="H134" s="5">
        <v>50</v>
      </c>
      <c r="I134" s="6">
        <v>750</v>
      </c>
      <c r="J134" s="6">
        <f t="shared" si="4"/>
        <v>37500</v>
      </c>
      <c r="K134" s="5" t="s">
        <v>1685</v>
      </c>
      <c r="L134" s="5" t="s">
        <v>1676</v>
      </c>
    </row>
    <row r="135" spans="1:12" x14ac:dyDescent="0.3">
      <c r="A135" s="2" t="s">
        <v>1929</v>
      </c>
      <c r="B135" s="2" t="s">
        <v>1930</v>
      </c>
      <c r="C135" s="2" t="s">
        <v>985</v>
      </c>
      <c r="D135" s="2" t="s">
        <v>173</v>
      </c>
      <c r="E135" s="2" t="s">
        <v>292</v>
      </c>
      <c r="F135" s="2" t="s">
        <v>291</v>
      </c>
      <c r="G135" s="2" t="s">
        <v>169</v>
      </c>
      <c r="H135" s="2">
        <v>23</v>
      </c>
      <c r="I135" s="3">
        <v>250</v>
      </c>
      <c r="J135" s="3">
        <f t="shared" si="4"/>
        <v>5750</v>
      </c>
      <c r="K135" s="2" t="s">
        <v>1679</v>
      </c>
      <c r="L135" s="2" t="s">
        <v>1676</v>
      </c>
    </row>
    <row r="136" spans="1:12" x14ac:dyDescent="0.3">
      <c r="A136" s="5" t="s">
        <v>1931</v>
      </c>
      <c r="B136" s="5" t="s">
        <v>1932</v>
      </c>
      <c r="C136" s="5" t="s">
        <v>1161</v>
      </c>
      <c r="D136" s="5" t="s">
        <v>603</v>
      </c>
      <c r="E136" s="5" t="s">
        <v>775</v>
      </c>
      <c r="F136" s="5" t="s">
        <v>774</v>
      </c>
      <c r="G136" s="5" t="s">
        <v>731</v>
      </c>
      <c r="H136" s="5">
        <v>42</v>
      </c>
      <c r="I136" s="6">
        <v>280</v>
      </c>
      <c r="J136" s="6">
        <f t="shared" si="4"/>
        <v>11760</v>
      </c>
      <c r="K136" s="5" t="s">
        <v>1685</v>
      </c>
      <c r="L136" s="5" t="s">
        <v>1686</v>
      </c>
    </row>
    <row r="137" spans="1:12" x14ac:dyDescent="0.3">
      <c r="A137" s="2" t="s">
        <v>1933</v>
      </c>
      <c r="B137" s="2" t="s">
        <v>1915</v>
      </c>
      <c r="C137" s="2" t="s">
        <v>1064</v>
      </c>
      <c r="D137" s="2" t="s">
        <v>363</v>
      </c>
      <c r="E137" s="2" t="s">
        <v>467</v>
      </c>
      <c r="F137" s="2" t="s">
        <v>466</v>
      </c>
      <c r="G137" s="2" t="s">
        <v>330</v>
      </c>
      <c r="H137" s="2">
        <v>47</v>
      </c>
      <c r="I137" s="3">
        <v>550</v>
      </c>
      <c r="J137" s="3">
        <f t="shared" si="4"/>
        <v>25850</v>
      </c>
      <c r="K137" s="2" t="s">
        <v>1685</v>
      </c>
      <c r="L137" s="2" t="s">
        <v>1686</v>
      </c>
    </row>
    <row r="138" spans="1:12" x14ac:dyDescent="0.3">
      <c r="A138" s="5" t="s">
        <v>1934</v>
      </c>
      <c r="B138" s="5" t="s">
        <v>1935</v>
      </c>
      <c r="C138" s="5" t="s">
        <v>960</v>
      </c>
      <c r="D138" s="5" t="s">
        <v>114</v>
      </c>
      <c r="E138" s="5" t="s">
        <v>136</v>
      </c>
      <c r="F138" s="5" t="s">
        <v>135</v>
      </c>
      <c r="G138" s="5" t="s">
        <v>17</v>
      </c>
      <c r="H138" s="5">
        <v>90</v>
      </c>
      <c r="I138" s="6">
        <v>75000</v>
      </c>
      <c r="J138" s="6">
        <f t="shared" si="4"/>
        <v>6750000</v>
      </c>
      <c r="K138" s="5" t="s">
        <v>1685</v>
      </c>
      <c r="L138" s="5" t="s">
        <v>1686</v>
      </c>
    </row>
    <row r="139" spans="1:12" x14ac:dyDescent="0.3">
      <c r="A139" s="2" t="s">
        <v>1936</v>
      </c>
      <c r="B139" s="2" t="s">
        <v>1937</v>
      </c>
      <c r="C139" s="2" t="s">
        <v>1103</v>
      </c>
      <c r="D139" s="2" t="s">
        <v>503</v>
      </c>
      <c r="E139" s="2" t="s">
        <v>516</v>
      </c>
      <c r="F139" s="2" t="s">
        <v>515</v>
      </c>
      <c r="G139" s="2" t="s">
        <v>469</v>
      </c>
      <c r="H139" s="2">
        <v>13</v>
      </c>
      <c r="I139" s="3">
        <v>3600</v>
      </c>
      <c r="J139" s="3">
        <f t="shared" si="4"/>
        <v>46800</v>
      </c>
      <c r="K139" s="2" t="s">
        <v>1679</v>
      </c>
      <c r="L139" s="2" t="s">
        <v>1682</v>
      </c>
    </row>
    <row r="140" spans="1:12" x14ac:dyDescent="0.3">
      <c r="A140" s="5" t="s">
        <v>1938</v>
      </c>
      <c r="B140" s="5" t="s">
        <v>1939</v>
      </c>
      <c r="C140" s="5" t="s">
        <v>1103</v>
      </c>
      <c r="D140" s="5" t="s">
        <v>503</v>
      </c>
      <c r="E140" s="5" t="s">
        <v>599</v>
      </c>
      <c r="F140" s="5" t="s">
        <v>598</v>
      </c>
      <c r="G140" s="5" t="s">
        <v>469</v>
      </c>
      <c r="H140" s="5">
        <v>41</v>
      </c>
      <c r="I140" s="6">
        <v>600</v>
      </c>
      <c r="J140" s="6">
        <f t="shared" si="4"/>
        <v>24600</v>
      </c>
      <c r="K140" s="5" t="s">
        <v>1679</v>
      </c>
      <c r="L140" s="5" t="s">
        <v>1676</v>
      </c>
    </row>
    <row r="141" spans="1:12" x14ac:dyDescent="0.3">
      <c r="A141" s="2" t="s">
        <v>1940</v>
      </c>
      <c r="B141" s="2" t="s">
        <v>1941</v>
      </c>
      <c r="C141" s="2" t="s">
        <v>1064</v>
      </c>
      <c r="D141" s="2" t="s">
        <v>363</v>
      </c>
      <c r="E141" s="2" t="s">
        <v>467</v>
      </c>
      <c r="F141" s="2" t="s">
        <v>466</v>
      </c>
      <c r="G141" s="2" t="s">
        <v>330</v>
      </c>
      <c r="H141" s="2">
        <v>10</v>
      </c>
      <c r="I141" s="3">
        <v>550</v>
      </c>
      <c r="J141" s="3">
        <f t="shared" si="4"/>
        <v>5500</v>
      </c>
      <c r="K141" s="2" t="s">
        <v>1679</v>
      </c>
      <c r="L141" s="2" t="s">
        <v>1676</v>
      </c>
    </row>
    <row r="142" spans="1:12" x14ac:dyDescent="0.3">
      <c r="A142" s="5" t="s">
        <v>1942</v>
      </c>
      <c r="B142" s="5" t="s">
        <v>1906</v>
      </c>
      <c r="C142" s="5" t="s">
        <v>1060</v>
      </c>
      <c r="D142" s="5" t="s">
        <v>342</v>
      </c>
      <c r="E142" s="5" t="s">
        <v>403</v>
      </c>
      <c r="F142" s="5" t="s">
        <v>402</v>
      </c>
      <c r="G142" s="5" t="s">
        <v>330</v>
      </c>
      <c r="H142" s="5">
        <v>20</v>
      </c>
      <c r="I142" s="6">
        <v>1800</v>
      </c>
      <c r="J142" s="6">
        <f t="shared" si="4"/>
        <v>36000</v>
      </c>
      <c r="K142" s="5" t="s">
        <v>1689</v>
      </c>
      <c r="L142" s="5" t="s">
        <v>1676</v>
      </c>
    </row>
    <row r="143" spans="1:12" x14ac:dyDescent="0.3">
      <c r="A143" s="2" t="s">
        <v>1943</v>
      </c>
      <c r="B143" s="2" t="s">
        <v>1944</v>
      </c>
      <c r="C143" s="2" t="s">
        <v>1121</v>
      </c>
      <c r="D143" s="2" t="s">
        <v>613</v>
      </c>
      <c r="E143" s="2" t="s">
        <v>630</v>
      </c>
      <c r="F143" s="2" t="s">
        <v>629</v>
      </c>
      <c r="G143" s="2" t="s">
        <v>609</v>
      </c>
      <c r="H143" s="2">
        <v>67</v>
      </c>
      <c r="I143" s="3">
        <v>120</v>
      </c>
      <c r="J143" s="3">
        <f t="shared" si="4"/>
        <v>8040</v>
      </c>
      <c r="K143" s="2" t="s">
        <v>1675</v>
      </c>
      <c r="L143" s="2" t="s">
        <v>1682</v>
      </c>
    </row>
    <row r="144" spans="1:12" x14ac:dyDescent="0.3">
      <c r="A144" s="5" t="s">
        <v>1945</v>
      </c>
      <c r="B144" s="5" t="s">
        <v>1946</v>
      </c>
      <c r="C144" s="5" t="s">
        <v>1085</v>
      </c>
      <c r="D144" s="5" t="s">
        <v>473</v>
      </c>
      <c r="E144" s="5" t="s">
        <v>539</v>
      </c>
      <c r="F144" s="5" t="s">
        <v>538</v>
      </c>
      <c r="G144" s="5" t="s">
        <v>469</v>
      </c>
      <c r="H144" s="5">
        <v>100</v>
      </c>
      <c r="I144" s="6">
        <v>180</v>
      </c>
      <c r="J144" s="6">
        <f t="shared" si="4"/>
        <v>18000</v>
      </c>
      <c r="K144" s="5" t="s">
        <v>1675</v>
      </c>
      <c r="L144" s="5" t="s">
        <v>1676</v>
      </c>
    </row>
    <row r="145" spans="1:12" x14ac:dyDescent="0.3">
      <c r="A145" s="2" t="s">
        <v>1947</v>
      </c>
      <c r="B145" s="2" t="s">
        <v>1948</v>
      </c>
      <c r="C145" s="2" t="s">
        <v>985</v>
      </c>
      <c r="D145" s="2" t="s">
        <v>173</v>
      </c>
      <c r="E145" s="2" t="s">
        <v>203</v>
      </c>
      <c r="F145" s="2" t="s">
        <v>202</v>
      </c>
      <c r="G145" s="2" t="s">
        <v>169</v>
      </c>
      <c r="H145" s="2">
        <v>62</v>
      </c>
      <c r="I145" s="3">
        <v>1900</v>
      </c>
      <c r="J145" s="3">
        <f t="shared" si="4"/>
        <v>117800</v>
      </c>
      <c r="K145" s="2" t="s">
        <v>1689</v>
      </c>
      <c r="L145" s="2" t="s">
        <v>1682</v>
      </c>
    </row>
    <row r="146" spans="1:12" x14ac:dyDescent="0.3">
      <c r="A146" s="5" t="s">
        <v>1949</v>
      </c>
      <c r="B146" s="5" t="s">
        <v>1799</v>
      </c>
      <c r="C146" s="5" t="s">
        <v>998</v>
      </c>
      <c r="D146" s="5" t="s">
        <v>218</v>
      </c>
      <c r="E146" s="5" t="s">
        <v>222</v>
      </c>
      <c r="F146" s="5" t="s">
        <v>221</v>
      </c>
      <c r="G146" s="5" t="s">
        <v>169</v>
      </c>
      <c r="H146" s="5">
        <v>59</v>
      </c>
      <c r="I146" s="6">
        <v>95</v>
      </c>
      <c r="J146" s="6">
        <f t="shared" si="4"/>
        <v>5605</v>
      </c>
      <c r="K146" s="5" t="s">
        <v>1679</v>
      </c>
      <c r="L146" s="5" t="s">
        <v>1686</v>
      </c>
    </row>
    <row r="147" spans="1:12" x14ac:dyDescent="0.3">
      <c r="A147" s="2" t="s">
        <v>1950</v>
      </c>
      <c r="B147" s="2" t="s">
        <v>1951</v>
      </c>
      <c r="C147" s="2" t="s">
        <v>985</v>
      </c>
      <c r="D147" s="2" t="s">
        <v>173</v>
      </c>
      <c r="E147" s="2" t="s">
        <v>222</v>
      </c>
      <c r="F147" s="2" t="s">
        <v>221</v>
      </c>
      <c r="G147" s="2" t="s">
        <v>169</v>
      </c>
      <c r="H147" s="2">
        <v>97</v>
      </c>
      <c r="I147" s="3">
        <v>95</v>
      </c>
      <c r="J147" s="3">
        <f t="shared" si="4"/>
        <v>9215</v>
      </c>
      <c r="K147" s="2" t="s">
        <v>1685</v>
      </c>
      <c r="L147" s="2" t="s">
        <v>1686</v>
      </c>
    </row>
    <row r="148" spans="1:12" x14ac:dyDescent="0.3">
      <c r="A148" s="5" t="s">
        <v>1952</v>
      </c>
      <c r="B148" s="5" t="s">
        <v>1953</v>
      </c>
      <c r="C148" s="5" t="s">
        <v>907</v>
      </c>
      <c r="D148" s="5" t="s">
        <v>21</v>
      </c>
      <c r="E148" s="5" t="s">
        <v>158</v>
      </c>
      <c r="F148" s="5" t="s">
        <v>157</v>
      </c>
      <c r="G148" s="5" t="s">
        <v>17</v>
      </c>
      <c r="H148" s="5">
        <v>78</v>
      </c>
      <c r="I148" s="6">
        <v>75000</v>
      </c>
      <c r="J148" s="6">
        <f t="shared" si="4"/>
        <v>5850000</v>
      </c>
      <c r="K148" s="5" t="s">
        <v>1675</v>
      </c>
      <c r="L148" s="5" t="s">
        <v>1682</v>
      </c>
    </row>
    <row r="149" spans="1:12" x14ac:dyDescent="0.3">
      <c r="A149" s="2" t="s">
        <v>1954</v>
      </c>
      <c r="B149" s="2" t="s">
        <v>1955</v>
      </c>
      <c r="C149" s="2" t="s">
        <v>1107</v>
      </c>
      <c r="D149" s="2" t="s">
        <v>556</v>
      </c>
      <c r="E149" s="2" t="s">
        <v>571</v>
      </c>
      <c r="F149" s="2" t="s">
        <v>570</v>
      </c>
      <c r="G149" s="2" t="s">
        <v>469</v>
      </c>
      <c r="H149" s="2">
        <v>28</v>
      </c>
      <c r="I149" s="3">
        <v>120</v>
      </c>
      <c r="J149" s="3">
        <f t="shared" si="4"/>
        <v>3360</v>
      </c>
      <c r="K149" s="2" t="s">
        <v>1679</v>
      </c>
      <c r="L149" s="2" t="s">
        <v>1676</v>
      </c>
    </row>
    <row r="150" spans="1:12" x14ac:dyDescent="0.3">
      <c r="A150" s="5" t="s">
        <v>1956</v>
      </c>
      <c r="B150" s="5" t="s">
        <v>1957</v>
      </c>
      <c r="C150" s="5" t="s">
        <v>1019</v>
      </c>
      <c r="D150" s="5" t="s">
        <v>691</v>
      </c>
      <c r="E150" s="5" t="s">
        <v>699</v>
      </c>
      <c r="F150" s="5" t="s">
        <v>698</v>
      </c>
      <c r="G150" s="5" t="s">
        <v>609</v>
      </c>
      <c r="H150" s="5">
        <v>74</v>
      </c>
      <c r="I150" s="6">
        <v>120</v>
      </c>
      <c r="J150" s="6">
        <f t="shared" si="4"/>
        <v>8880</v>
      </c>
      <c r="K150" s="5" t="s">
        <v>1675</v>
      </c>
      <c r="L150" s="5" t="s">
        <v>1682</v>
      </c>
    </row>
    <row r="151" spans="1:12" x14ac:dyDescent="0.3">
      <c r="A151" s="2" t="s">
        <v>1958</v>
      </c>
      <c r="B151" s="2" t="s">
        <v>1959</v>
      </c>
      <c r="C151" s="2" t="s">
        <v>998</v>
      </c>
      <c r="D151" s="2" t="s">
        <v>218</v>
      </c>
      <c r="E151" s="2" t="s">
        <v>259</v>
      </c>
      <c r="F151" s="2" t="s">
        <v>258</v>
      </c>
      <c r="G151" s="2" t="s">
        <v>169</v>
      </c>
      <c r="H151" s="2">
        <v>96</v>
      </c>
      <c r="I151" s="3">
        <v>650</v>
      </c>
      <c r="J151" s="3">
        <f t="shared" si="4"/>
        <v>62400</v>
      </c>
      <c r="K151" s="2" t="s">
        <v>1685</v>
      </c>
      <c r="L151" s="2" t="s">
        <v>1686</v>
      </c>
    </row>
    <row r="152" spans="1:12" x14ac:dyDescent="0.3">
      <c r="A152" s="5" t="s">
        <v>1960</v>
      </c>
      <c r="B152" s="5" t="s">
        <v>1807</v>
      </c>
      <c r="C152" s="5" t="s">
        <v>1019</v>
      </c>
      <c r="D152" s="5" t="s">
        <v>691</v>
      </c>
      <c r="E152" s="5" t="s">
        <v>639</v>
      </c>
      <c r="F152" s="5" t="s">
        <v>638</v>
      </c>
      <c r="G152" s="5" t="s">
        <v>609</v>
      </c>
      <c r="H152" s="5">
        <v>27</v>
      </c>
      <c r="I152" s="6">
        <v>180</v>
      </c>
      <c r="J152" s="6">
        <f t="shared" si="4"/>
        <v>4860</v>
      </c>
      <c r="K152" s="5" t="s">
        <v>1689</v>
      </c>
      <c r="L152" s="5" t="s">
        <v>1676</v>
      </c>
    </row>
    <row r="153" spans="1:12" x14ac:dyDescent="0.3">
      <c r="A153" s="2" t="s">
        <v>1961</v>
      </c>
      <c r="B153" s="2" t="s">
        <v>1840</v>
      </c>
      <c r="C153" s="2" t="s">
        <v>1060</v>
      </c>
      <c r="D153" s="2" t="s">
        <v>342</v>
      </c>
      <c r="E153" s="2" t="s">
        <v>445</v>
      </c>
      <c r="F153" s="2" t="s">
        <v>444</v>
      </c>
      <c r="G153" s="2" t="s">
        <v>330</v>
      </c>
      <c r="H153" s="2">
        <v>70</v>
      </c>
      <c r="I153" s="3">
        <v>250</v>
      </c>
      <c r="J153" s="3">
        <f t="shared" si="4"/>
        <v>17500</v>
      </c>
      <c r="K153" s="2" t="s">
        <v>1675</v>
      </c>
      <c r="L153" s="2" t="s">
        <v>1686</v>
      </c>
    </row>
    <row r="154" spans="1:12" x14ac:dyDescent="0.3">
      <c r="A154" s="5" t="s">
        <v>1962</v>
      </c>
      <c r="B154" s="5" t="s">
        <v>1768</v>
      </c>
      <c r="C154" s="5" t="s">
        <v>1107</v>
      </c>
      <c r="D154" s="5" t="s">
        <v>556</v>
      </c>
      <c r="E154" s="5" t="s">
        <v>566</v>
      </c>
      <c r="F154" s="5" t="s">
        <v>565</v>
      </c>
      <c r="G154" s="5" t="s">
        <v>469</v>
      </c>
      <c r="H154" s="5">
        <v>16</v>
      </c>
      <c r="I154" s="6">
        <v>180</v>
      </c>
      <c r="J154" s="6">
        <f t="shared" si="4"/>
        <v>2880</v>
      </c>
      <c r="K154" s="5" t="s">
        <v>1679</v>
      </c>
      <c r="L154" s="5" t="s">
        <v>1676</v>
      </c>
    </row>
    <row r="155" spans="1:12" x14ac:dyDescent="0.3">
      <c r="A155" s="2" t="s">
        <v>1963</v>
      </c>
      <c r="B155" s="2" t="s">
        <v>1964</v>
      </c>
      <c r="C155" s="2" t="s">
        <v>1156</v>
      </c>
      <c r="D155" s="2" t="s">
        <v>740</v>
      </c>
      <c r="E155" s="2" t="s">
        <v>787</v>
      </c>
      <c r="F155" s="2" t="s">
        <v>786</v>
      </c>
      <c r="G155" s="2" t="s">
        <v>731</v>
      </c>
      <c r="H155" s="2">
        <v>39</v>
      </c>
      <c r="I155" s="3">
        <v>650</v>
      </c>
      <c r="J155" s="3">
        <f t="shared" si="4"/>
        <v>25350</v>
      </c>
      <c r="K155" s="2" t="s">
        <v>1679</v>
      </c>
      <c r="L155" s="2" t="s">
        <v>1686</v>
      </c>
    </row>
    <row r="156" spans="1:12" x14ac:dyDescent="0.3">
      <c r="A156" s="5" t="s">
        <v>1965</v>
      </c>
      <c r="B156" s="5" t="s">
        <v>1966</v>
      </c>
      <c r="C156" s="5" t="s">
        <v>1060</v>
      </c>
      <c r="D156" s="5" t="s">
        <v>342</v>
      </c>
      <c r="E156" s="5" t="s">
        <v>383</v>
      </c>
      <c r="F156" s="5" t="s">
        <v>382</v>
      </c>
      <c r="G156" s="5" t="s">
        <v>330</v>
      </c>
      <c r="H156" s="5">
        <v>73</v>
      </c>
      <c r="I156" s="6">
        <v>3200</v>
      </c>
      <c r="J156" s="6">
        <f t="shared" si="4"/>
        <v>233600</v>
      </c>
      <c r="K156" s="5" t="s">
        <v>1685</v>
      </c>
      <c r="L156" s="5" t="s">
        <v>1676</v>
      </c>
    </row>
    <row r="157" spans="1:12" x14ac:dyDescent="0.3">
      <c r="A157" s="2" t="s">
        <v>1967</v>
      </c>
      <c r="B157" s="2" t="s">
        <v>1731</v>
      </c>
      <c r="C157" s="2" t="s">
        <v>1148</v>
      </c>
      <c r="D157" s="2" t="s">
        <v>854</v>
      </c>
      <c r="E157" s="2" t="s">
        <v>834</v>
      </c>
      <c r="F157" s="2" t="s">
        <v>833</v>
      </c>
      <c r="G157" s="2" t="s">
        <v>816</v>
      </c>
      <c r="H157" s="2">
        <v>86</v>
      </c>
      <c r="I157" s="3">
        <v>1200</v>
      </c>
      <c r="J157" s="3">
        <f t="shared" si="4"/>
        <v>103200</v>
      </c>
      <c r="K157" s="2" t="s">
        <v>1679</v>
      </c>
      <c r="L157" s="2" t="s">
        <v>1682</v>
      </c>
    </row>
    <row r="158" spans="1:12" x14ac:dyDescent="0.3">
      <c r="A158" s="5" t="s">
        <v>1968</v>
      </c>
      <c r="B158" s="5" t="s">
        <v>1969</v>
      </c>
      <c r="C158" s="5" t="s">
        <v>960</v>
      </c>
      <c r="D158" s="5" t="s">
        <v>114</v>
      </c>
      <c r="E158" s="5" t="s">
        <v>34</v>
      </c>
      <c r="F158" s="5" t="s">
        <v>33</v>
      </c>
      <c r="G158" s="5" t="s">
        <v>17</v>
      </c>
      <c r="H158" s="5">
        <v>87</v>
      </c>
      <c r="I158" s="6">
        <v>185000</v>
      </c>
      <c r="J158" s="6">
        <f t="shared" si="4"/>
        <v>16095000</v>
      </c>
      <c r="K158" s="5" t="s">
        <v>1675</v>
      </c>
      <c r="L158" s="5" t="s">
        <v>1686</v>
      </c>
    </row>
    <row r="159" spans="1:12" x14ac:dyDescent="0.3">
      <c r="A159" s="2" t="s">
        <v>1970</v>
      </c>
      <c r="B159" s="2" t="s">
        <v>1971</v>
      </c>
      <c r="C159" s="2" t="s">
        <v>1121</v>
      </c>
      <c r="D159" s="2" t="s">
        <v>613</v>
      </c>
      <c r="E159" s="2" t="s">
        <v>677</v>
      </c>
      <c r="F159" s="2" t="s">
        <v>676</v>
      </c>
      <c r="G159" s="2" t="s">
        <v>609</v>
      </c>
      <c r="H159" s="2">
        <v>25</v>
      </c>
      <c r="I159" s="3">
        <v>2800</v>
      </c>
      <c r="J159" s="3">
        <f t="shared" si="4"/>
        <v>70000</v>
      </c>
      <c r="K159" s="2" t="s">
        <v>1679</v>
      </c>
      <c r="L159" s="2" t="s">
        <v>1686</v>
      </c>
    </row>
    <row r="160" spans="1:12" x14ac:dyDescent="0.3">
      <c r="A160" s="5" t="s">
        <v>1972</v>
      </c>
      <c r="B160" s="5" t="s">
        <v>1884</v>
      </c>
      <c r="C160" s="5" t="s">
        <v>1103</v>
      </c>
      <c r="D160" s="5" t="s">
        <v>503</v>
      </c>
      <c r="E160" s="5" t="s">
        <v>521</v>
      </c>
      <c r="F160" s="5" t="s">
        <v>520</v>
      </c>
      <c r="G160" s="5" t="s">
        <v>469</v>
      </c>
      <c r="H160" s="5">
        <v>13</v>
      </c>
      <c r="I160" s="6">
        <v>3200</v>
      </c>
      <c r="J160" s="6">
        <f t="shared" si="4"/>
        <v>41600</v>
      </c>
      <c r="K160" s="5" t="s">
        <v>1679</v>
      </c>
      <c r="L160" s="5" t="s">
        <v>1676</v>
      </c>
    </row>
    <row r="161" spans="1:12" x14ac:dyDescent="0.3">
      <c r="A161" s="2" t="s">
        <v>1973</v>
      </c>
      <c r="B161" s="2" t="s">
        <v>1974</v>
      </c>
      <c r="C161" s="2" t="s">
        <v>1019</v>
      </c>
      <c r="D161" s="2" t="s">
        <v>691</v>
      </c>
      <c r="E161" s="2" t="s">
        <v>712</v>
      </c>
      <c r="F161" s="2" t="s">
        <v>711</v>
      </c>
      <c r="G161" s="2" t="s">
        <v>609</v>
      </c>
      <c r="H161" s="2">
        <v>39</v>
      </c>
      <c r="I161" s="3">
        <v>200</v>
      </c>
      <c r="J161" s="3">
        <f t="shared" si="4"/>
        <v>7800</v>
      </c>
      <c r="K161" s="2" t="s">
        <v>1679</v>
      </c>
      <c r="L161" s="2" t="s">
        <v>1682</v>
      </c>
    </row>
    <row r="162" spans="1:12" x14ac:dyDescent="0.3">
      <c r="A162" s="5" t="s">
        <v>1975</v>
      </c>
      <c r="B162" s="5" t="s">
        <v>1976</v>
      </c>
      <c r="C162" s="5" t="s">
        <v>1107</v>
      </c>
      <c r="D162" s="5" t="s">
        <v>556</v>
      </c>
      <c r="E162" s="5" t="s">
        <v>486</v>
      </c>
      <c r="F162" s="5" t="s">
        <v>485</v>
      </c>
      <c r="G162" s="5" t="s">
        <v>469</v>
      </c>
      <c r="H162" s="5">
        <v>99</v>
      </c>
      <c r="I162" s="6">
        <v>14000</v>
      </c>
      <c r="J162" s="6">
        <f t="shared" si="4"/>
        <v>1386000</v>
      </c>
      <c r="K162" s="5" t="s">
        <v>1675</v>
      </c>
      <c r="L162" s="5" t="s">
        <v>1682</v>
      </c>
    </row>
    <row r="163" spans="1:12" x14ac:dyDescent="0.3">
      <c r="A163" s="2" t="s">
        <v>1977</v>
      </c>
      <c r="B163" s="2" t="s">
        <v>1978</v>
      </c>
      <c r="C163" s="2" t="s">
        <v>960</v>
      </c>
      <c r="D163" s="2" t="s">
        <v>114</v>
      </c>
      <c r="E163" s="2" t="s">
        <v>53</v>
      </c>
      <c r="F163" s="2" t="s">
        <v>52</v>
      </c>
      <c r="G163" s="2" t="s">
        <v>17</v>
      </c>
      <c r="H163" s="2">
        <v>72</v>
      </c>
      <c r="I163" s="3">
        <v>52000</v>
      </c>
      <c r="J163" s="3">
        <f t="shared" ref="J163:J194" si="5">H163*I163</f>
        <v>3744000</v>
      </c>
      <c r="K163" s="2" t="s">
        <v>1689</v>
      </c>
      <c r="L163" s="2" t="s">
        <v>1682</v>
      </c>
    </row>
    <row r="164" spans="1:12" x14ac:dyDescent="0.3">
      <c r="A164" s="5" t="s">
        <v>1979</v>
      </c>
      <c r="B164" s="5" t="s">
        <v>1787</v>
      </c>
      <c r="C164" s="5" t="s">
        <v>1064</v>
      </c>
      <c r="D164" s="5" t="s">
        <v>363</v>
      </c>
      <c r="E164" s="5" t="s">
        <v>355</v>
      </c>
      <c r="F164" s="5" t="s">
        <v>354</v>
      </c>
      <c r="G164" s="5" t="s">
        <v>330</v>
      </c>
      <c r="H164" s="5">
        <v>82</v>
      </c>
      <c r="I164" s="6">
        <v>1400</v>
      </c>
      <c r="J164" s="6">
        <f t="shared" si="5"/>
        <v>114800</v>
      </c>
      <c r="K164" s="5" t="s">
        <v>1685</v>
      </c>
      <c r="L164" s="5" t="s">
        <v>1686</v>
      </c>
    </row>
    <row r="165" spans="1:12" x14ac:dyDescent="0.3">
      <c r="A165" s="2" t="s">
        <v>1980</v>
      </c>
      <c r="B165" s="2" t="s">
        <v>1981</v>
      </c>
      <c r="C165" s="2" t="s">
        <v>960</v>
      </c>
      <c r="D165" s="2" t="s">
        <v>114</v>
      </c>
      <c r="E165" s="2" t="s">
        <v>161</v>
      </c>
      <c r="F165" s="2" t="s">
        <v>160</v>
      </c>
      <c r="G165" s="2" t="s">
        <v>17</v>
      </c>
      <c r="H165" s="2">
        <v>97</v>
      </c>
      <c r="I165" s="3">
        <v>22000</v>
      </c>
      <c r="J165" s="3">
        <f t="shared" si="5"/>
        <v>2134000</v>
      </c>
      <c r="K165" s="2" t="s">
        <v>1685</v>
      </c>
      <c r="L165" s="2" t="s">
        <v>1686</v>
      </c>
    </row>
    <row r="166" spans="1:12" x14ac:dyDescent="0.3">
      <c r="A166" s="5" t="s">
        <v>1982</v>
      </c>
      <c r="B166" s="5" t="s">
        <v>1983</v>
      </c>
      <c r="C166" s="5" t="s">
        <v>998</v>
      </c>
      <c r="D166" s="5" t="s">
        <v>218</v>
      </c>
      <c r="E166" s="5" t="s">
        <v>298</v>
      </c>
      <c r="F166" s="5" t="s">
        <v>297</v>
      </c>
      <c r="G166" s="5" t="s">
        <v>169</v>
      </c>
      <c r="H166" s="5">
        <v>42</v>
      </c>
      <c r="I166" s="6">
        <v>185</v>
      </c>
      <c r="J166" s="6">
        <f t="shared" si="5"/>
        <v>7770</v>
      </c>
      <c r="K166" s="5" t="s">
        <v>1685</v>
      </c>
      <c r="L166" s="5" t="s">
        <v>1682</v>
      </c>
    </row>
    <row r="167" spans="1:12" x14ac:dyDescent="0.3">
      <c r="A167" s="2" t="s">
        <v>1984</v>
      </c>
      <c r="B167" s="2" t="s">
        <v>1799</v>
      </c>
      <c r="C167" s="2" t="s">
        <v>960</v>
      </c>
      <c r="D167" s="2" t="s">
        <v>114</v>
      </c>
      <c r="E167" s="2" t="s">
        <v>132</v>
      </c>
      <c r="F167" s="2" t="s">
        <v>131</v>
      </c>
      <c r="G167" s="2" t="s">
        <v>17</v>
      </c>
      <c r="H167" s="2">
        <v>85</v>
      </c>
      <c r="I167" s="3">
        <v>95000</v>
      </c>
      <c r="J167" s="3">
        <f t="shared" si="5"/>
        <v>8075000</v>
      </c>
      <c r="K167" s="2" t="s">
        <v>1689</v>
      </c>
      <c r="L167" s="2" t="s">
        <v>1686</v>
      </c>
    </row>
    <row r="168" spans="1:12" x14ac:dyDescent="0.3">
      <c r="A168" s="5" t="s">
        <v>1985</v>
      </c>
      <c r="B168" s="5" t="s">
        <v>1986</v>
      </c>
      <c r="C168" s="5" t="s">
        <v>1060</v>
      </c>
      <c r="D168" s="5" t="s">
        <v>342</v>
      </c>
      <c r="E168" s="5" t="s">
        <v>467</v>
      </c>
      <c r="F168" s="5" t="s">
        <v>466</v>
      </c>
      <c r="G168" s="5" t="s">
        <v>330</v>
      </c>
      <c r="H168" s="5">
        <v>26</v>
      </c>
      <c r="I168" s="6">
        <v>550</v>
      </c>
      <c r="J168" s="6">
        <f t="shared" si="5"/>
        <v>14300</v>
      </c>
      <c r="K168" s="5" t="s">
        <v>1685</v>
      </c>
      <c r="L168" s="5" t="s">
        <v>1676</v>
      </c>
    </row>
    <row r="169" spans="1:12" x14ac:dyDescent="0.3">
      <c r="A169" s="2" t="s">
        <v>1987</v>
      </c>
      <c r="B169" s="2" t="s">
        <v>1707</v>
      </c>
      <c r="C169" s="2" t="s">
        <v>1107</v>
      </c>
      <c r="D169" s="2" t="s">
        <v>556</v>
      </c>
      <c r="E169" s="2" t="s">
        <v>607</v>
      </c>
      <c r="F169" s="2" t="s">
        <v>606</v>
      </c>
      <c r="G169" s="2" t="s">
        <v>469</v>
      </c>
      <c r="H169" s="2">
        <v>26</v>
      </c>
      <c r="I169" s="3">
        <v>450</v>
      </c>
      <c r="J169" s="3">
        <f t="shared" si="5"/>
        <v>11700</v>
      </c>
      <c r="K169" s="2" t="s">
        <v>1675</v>
      </c>
      <c r="L169" s="2" t="s">
        <v>1686</v>
      </c>
    </row>
    <row r="170" spans="1:12" x14ac:dyDescent="0.3">
      <c r="A170" s="5" t="s">
        <v>1988</v>
      </c>
      <c r="B170" s="5" t="s">
        <v>1684</v>
      </c>
      <c r="C170" s="5" t="s">
        <v>1103</v>
      </c>
      <c r="D170" s="5" t="s">
        <v>503</v>
      </c>
      <c r="E170" s="5" t="s">
        <v>472</v>
      </c>
      <c r="F170" s="5" t="s">
        <v>471</v>
      </c>
      <c r="G170" s="5" t="s">
        <v>469</v>
      </c>
      <c r="H170" s="5">
        <v>25</v>
      </c>
      <c r="I170" s="6">
        <v>850</v>
      </c>
      <c r="J170" s="6">
        <f t="shared" si="5"/>
        <v>21250</v>
      </c>
      <c r="K170" s="5" t="s">
        <v>1685</v>
      </c>
      <c r="L170" s="5" t="s">
        <v>1676</v>
      </c>
    </row>
    <row r="171" spans="1:12" x14ac:dyDescent="0.3">
      <c r="A171" s="2" t="s">
        <v>1989</v>
      </c>
      <c r="B171" s="2" t="s">
        <v>1990</v>
      </c>
      <c r="C171" s="2" t="s">
        <v>1019</v>
      </c>
      <c r="D171" s="2" t="s">
        <v>691</v>
      </c>
      <c r="E171" s="2" t="s">
        <v>699</v>
      </c>
      <c r="F171" s="2" t="s">
        <v>698</v>
      </c>
      <c r="G171" s="2" t="s">
        <v>609</v>
      </c>
      <c r="H171" s="2">
        <v>21</v>
      </c>
      <c r="I171" s="3">
        <v>120</v>
      </c>
      <c r="J171" s="3">
        <f t="shared" si="5"/>
        <v>2520</v>
      </c>
      <c r="K171" s="2" t="s">
        <v>1675</v>
      </c>
      <c r="L171" s="2" t="s">
        <v>1676</v>
      </c>
    </row>
    <row r="172" spans="1:12" x14ac:dyDescent="0.3">
      <c r="A172" s="5" t="s">
        <v>1991</v>
      </c>
      <c r="B172" s="5" t="s">
        <v>1941</v>
      </c>
      <c r="C172" s="5" t="s">
        <v>998</v>
      </c>
      <c r="D172" s="5" t="s">
        <v>218</v>
      </c>
      <c r="E172" s="5" t="s">
        <v>200</v>
      </c>
      <c r="F172" s="5" t="s">
        <v>199</v>
      </c>
      <c r="G172" s="5" t="s">
        <v>169</v>
      </c>
      <c r="H172" s="5">
        <v>73</v>
      </c>
      <c r="I172" s="6">
        <v>430</v>
      </c>
      <c r="J172" s="6">
        <f t="shared" si="5"/>
        <v>31390</v>
      </c>
      <c r="K172" s="5" t="s">
        <v>1679</v>
      </c>
      <c r="L172" s="5" t="s">
        <v>1676</v>
      </c>
    </row>
    <row r="173" spans="1:12" x14ac:dyDescent="0.3">
      <c r="A173" s="2" t="s">
        <v>1992</v>
      </c>
      <c r="B173" s="2" t="s">
        <v>1852</v>
      </c>
      <c r="C173" s="2" t="s">
        <v>1060</v>
      </c>
      <c r="D173" s="2" t="s">
        <v>342</v>
      </c>
      <c r="E173" s="2" t="s">
        <v>337</v>
      </c>
      <c r="F173" s="2" t="s">
        <v>336</v>
      </c>
      <c r="G173" s="2" t="s">
        <v>330</v>
      </c>
      <c r="H173" s="2">
        <v>64</v>
      </c>
      <c r="I173" s="3">
        <v>1500</v>
      </c>
      <c r="J173" s="3">
        <f t="shared" si="5"/>
        <v>96000</v>
      </c>
      <c r="K173" s="2" t="s">
        <v>1685</v>
      </c>
      <c r="L173" s="2" t="s">
        <v>1686</v>
      </c>
    </row>
    <row r="174" spans="1:12" x14ac:dyDescent="0.3">
      <c r="A174" s="5" t="s">
        <v>1993</v>
      </c>
      <c r="B174" s="5" t="s">
        <v>1946</v>
      </c>
      <c r="C174" s="5" t="s">
        <v>907</v>
      </c>
      <c r="D174" s="5" t="s">
        <v>21</v>
      </c>
      <c r="E174" s="5" t="s">
        <v>99</v>
      </c>
      <c r="F174" s="5" t="s">
        <v>98</v>
      </c>
      <c r="G174" s="5" t="s">
        <v>17</v>
      </c>
      <c r="H174" s="5">
        <v>88</v>
      </c>
      <c r="I174" s="6">
        <v>78000</v>
      </c>
      <c r="J174" s="6">
        <f t="shared" si="5"/>
        <v>6864000</v>
      </c>
      <c r="K174" s="5" t="s">
        <v>1685</v>
      </c>
      <c r="L174" s="5" t="s">
        <v>1676</v>
      </c>
    </row>
    <row r="175" spans="1:12" x14ac:dyDescent="0.3">
      <c r="A175" s="2" t="s">
        <v>1994</v>
      </c>
      <c r="B175" s="2" t="s">
        <v>1948</v>
      </c>
      <c r="C175" s="2" t="s">
        <v>965</v>
      </c>
      <c r="D175" s="2" t="s">
        <v>133</v>
      </c>
      <c r="E175" s="2" t="s">
        <v>99</v>
      </c>
      <c r="F175" s="2" t="s">
        <v>98</v>
      </c>
      <c r="G175" s="2" t="s">
        <v>17</v>
      </c>
      <c r="H175" s="2">
        <v>77</v>
      </c>
      <c r="I175" s="3">
        <v>78000</v>
      </c>
      <c r="J175" s="3">
        <f t="shared" si="5"/>
        <v>6006000</v>
      </c>
      <c r="K175" s="2" t="s">
        <v>1679</v>
      </c>
      <c r="L175" s="2" t="s">
        <v>1686</v>
      </c>
    </row>
    <row r="176" spans="1:12" x14ac:dyDescent="0.3">
      <c r="A176" s="5" t="s">
        <v>1995</v>
      </c>
      <c r="B176" s="5" t="s">
        <v>1996</v>
      </c>
      <c r="C176" s="5" t="s">
        <v>1156</v>
      </c>
      <c r="D176" s="5" t="s">
        <v>740</v>
      </c>
      <c r="E176" s="5" t="s">
        <v>747</v>
      </c>
      <c r="F176" s="5" t="s">
        <v>746</v>
      </c>
      <c r="G176" s="5" t="s">
        <v>731</v>
      </c>
      <c r="H176" s="5">
        <v>78</v>
      </c>
      <c r="I176" s="6">
        <v>180</v>
      </c>
      <c r="J176" s="6">
        <f t="shared" si="5"/>
        <v>14040</v>
      </c>
      <c r="K176" s="5" t="s">
        <v>1685</v>
      </c>
      <c r="L176" s="5" t="s">
        <v>1682</v>
      </c>
    </row>
    <row r="177" spans="1:12" x14ac:dyDescent="0.3">
      <c r="A177" s="2" t="s">
        <v>1997</v>
      </c>
      <c r="B177" s="2" t="s">
        <v>1998</v>
      </c>
      <c r="C177" s="2" t="s">
        <v>1055</v>
      </c>
      <c r="D177" s="2" t="s">
        <v>334</v>
      </c>
      <c r="E177" s="2" t="s">
        <v>333</v>
      </c>
      <c r="F177" s="2" t="s">
        <v>332</v>
      </c>
      <c r="G177" s="2" t="s">
        <v>330</v>
      </c>
      <c r="H177" s="2">
        <v>69</v>
      </c>
      <c r="I177" s="3">
        <v>1200</v>
      </c>
      <c r="J177" s="3">
        <f t="shared" si="5"/>
        <v>82800</v>
      </c>
      <c r="K177" s="2" t="s">
        <v>1689</v>
      </c>
      <c r="L177" s="2" t="s">
        <v>1682</v>
      </c>
    </row>
    <row r="178" spans="1:12" x14ac:dyDescent="0.3">
      <c r="A178" s="5" t="s">
        <v>1999</v>
      </c>
      <c r="B178" s="5" t="s">
        <v>1779</v>
      </c>
      <c r="C178" s="5" t="s">
        <v>1107</v>
      </c>
      <c r="D178" s="5" t="s">
        <v>556</v>
      </c>
      <c r="E178" s="5" t="s">
        <v>513</v>
      </c>
      <c r="F178" s="5" t="s">
        <v>512</v>
      </c>
      <c r="G178" s="5" t="s">
        <v>469</v>
      </c>
      <c r="H178" s="5">
        <v>94</v>
      </c>
      <c r="I178" s="6">
        <v>2800</v>
      </c>
      <c r="J178" s="6">
        <f t="shared" si="5"/>
        <v>263200</v>
      </c>
      <c r="K178" s="5" t="s">
        <v>1675</v>
      </c>
      <c r="L178" s="5" t="s">
        <v>1686</v>
      </c>
    </row>
    <row r="179" spans="1:12" x14ac:dyDescent="0.3">
      <c r="A179" s="2" t="s">
        <v>2000</v>
      </c>
      <c r="B179" s="2" t="s">
        <v>2001</v>
      </c>
      <c r="C179" s="2" t="s">
        <v>1103</v>
      </c>
      <c r="D179" s="2" t="s">
        <v>503</v>
      </c>
      <c r="E179" s="2" t="s">
        <v>526</v>
      </c>
      <c r="F179" s="2" t="s">
        <v>525</v>
      </c>
      <c r="G179" s="2" t="s">
        <v>469</v>
      </c>
      <c r="H179" s="2">
        <v>41</v>
      </c>
      <c r="I179" s="3">
        <v>1200</v>
      </c>
      <c r="J179" s="3">
        <f t="shared" si="5"/>
        <v>49200</v>
      </c>
      <c r="K179" s="2" t="s">
        <v>1689</v>
      </c>
      <c r="L179" s="2" t="s">
        <v>1676</v>
      </c>
    </row>
    <row r="180" spans="1:12" x14ac:dyDescent="0.3">
      <c r="A180" s="5" t="s">
        <v>2002</v>
      </c>
      <c r="B180" s="5" t="s">
        <v>1860</v>
      </c>
      <c r="C180" s="5" t="s">
        <v>998</v>
      </c>
      <c r="D180" s="5" t="s">
        <v>218</v>
      </c>
      <c r="E180" s="5" t="s">
        <v>287</v>
      </c>
      <c r="F180" s="5" t="s">
        <v>286</v>
      </c>
      <c r="G180" s="5" t="s">
        <v>169</v>
      </c>
      <c r="H180" s="5">
        <v>79</v>
      </c>
      <c r="I180" s="6">
        <v>180</v>
      </c>
      <c r="J180" s="6">
        <f t="shared" si="5"/>
        <v>14220</v>
      </c>
      <c r="K180" s="5" t="s">
        <v>1689</v>
      </c>
      <c r="L180" s="5" t="s">
        <v>1676</v>
      </c>
    </row>
    <row r="181" spans="1:12" x14ac:dyDescent="0.3">
      <c r="A181" s="2" t="s">
        <v>2003</v>
      </c>
      <c r="B181" s="2" t="s">
        <v>2004</v>
      </c>
      <c r="C181" s="2" t="s">
        <v>1060</v>
      </c>
      <c r="D181" s="2" t="s">
        <v>342</v>
      </c>
      <c r="E181" s="2" t="s">
        <v>431</v>
      </c>
      <c r="F181" s="2" t="s">
        <v>430</v>
      </c>
      <c r="G181" s="2" t="s">
        <v>330</v>
      </c>
      <c r="H181" s="2">
        <v>46</v>
      </c>
      <c r="I181" s="3">
        <v>2200</v>
      </c>
      <c r="J181" s="3">
        <f t="shared" si="5"/>
        <v>101200</v>
      </c>
      <c r="K181" s="2" t="s">
        <v>1685</v>
      </c>
      <c r="L181" s="2" t="s">
        <v>1676</v>
      </c>
    </row>
    <row r="182" spans="1:12" x14ac:dyDescent="0.3">
      <c r="A182" s="5" t="s">
        <v>2005</v>
      </c>
      <c r="B182" s="5" t="s">
        <v>2006</v>
      </c>
      <c r="C182" s="5" t="s">
        <v>907</v>
      </c>
      <c r="D182" s="5" t="s">
        <v>21</v>
      </c>
      <c r="E182" s="5" t="s">
        <v>139</v>
      </c>
      <c r="F182" s="5" t="s">
        <v>138</v>
      </c>
      <c r="G182" s="5" t="s">
        <v>17</v>
      </c>
      <c r="H182" s="5">
        <v>18</v>
      </c>
      <c r="I182" s="6">
        <v>80000</v>
      </c>
      <c r="J182" s="6">
        <f t="shared" si="5"/>
        <v>1440000</v>
      </c>
      <c r="K182" s="5" t="s">
        <v>1685</v>
      </c>
      <c r="L182" s="5" t="s">
        <v>1686</v>
      </c>
    </row>
    <row r="183" spans="1:12" x14ac:dyDescent="0.3">
      <c r="A183" s="2" t="s">
        <v>2007</v>
      </c>
      <c r="B183" s="2" t="s">
        <v>2008</v>
      </c>
      <c r="C183" s="2" t="s">
        <v>998</v>
      </c>
      <c r="D183" s="2" t="s">
        <v>218</v>
      </c>
      <c r="E183" s="2" t="s">
        <v>208</v>
      </c>
      <c r="F183" s="2" t="s">
        <v>207</v>
      </c>
      <c r="G183" s="2" t="s">
        <v>169</v>
      </c>
      <c r="H183" s="2">
        <v>92</v>
      </c>
      <c r="I183" s="3">
        <v>1100</v>
      </c>
      <c r="J183" s="3">
        <f t="shared" si="5"/>
        <v>101200</v>
      </c>
      <c r="K183" s="2" t="s">
        <v>1679</v>
      </c>
      <c r="L183" s="2" t="s">
        <v>1676</v>
      </c>
    </row>
    <row r="184" spans="1:12" x14ac:dyDescent="0.3">
      <c r="A184" s="5" t="s">
        <v>2009</v>
      </c>
      <c r="B184" s="5" t="s">
        <v>1959</v>
      </c>
      <c r="C184" s="5" t="s">
        <v>1103</v>
      </c>
      <c r="D184" s="5" t="s">
        <v>503</v>
      </c>
      <c r="E184" s="5" t="s">
        <v>602</v>
      </c>
      <c r="F184" s="5" t="s">
        <v>601</v>
      </c>
      <c r="G184" s="5" t="s">
        <v>469</v>
      </c>
      <c r="H184" s="5">
        <v>86</v>
      </c>
      <c r="I184" s="6">
        <v>280</v>
      </c>
      <c r="J184" s="6">
        <f t="shared" si="5"/>
        <v>24080</v>
      </c>
      <c r="K184" s="5" t="s">
        <v>1679</v>
      </c>
      <c r="L184" s="5" t="s">
        <v>1686</v>
      </c>
    </row>
    <row r="185" spans="1:12" x14ac:dyDescent="0.3">
      <c r="A185" s="2" t="s">
        <v>2010</v>
      </c>
      <c r="B185" s="2" t="s">
        <v>2011</v>
      </c>
      <c r="C185" s="2" t="s">
        <v>998</v>
      </c>
      <c r="D185" s="2" t="s">
        <v>218</v>
      </c>
      <c r="E185" s="2" t="s">
        <v>225</v>
      </c>
      <c r="F185" s="2" t="s">
        <v>224</v>
      </c>
      <c r="G185" s="2" t="s">
        <v>169</v>
      </c>
      <c r="H185" s="2">
        <v>97</v>
      </c>
      <c r="I185" s="3">
        <v>75</v>
      </c>
      <c r="J185" s="3">
        <f t="shared" si="5"/>
        <v>7275</v>
      </c>
      <c r="K185" s="2" t="s">
        <v>1675</v>
      </c>
      <c r="L185" s="2" t="s">
        <v>1676</v>
      </c>
    </row>
    <row r="186" spans="1:12" x14ac:dyDescent="0.3">
      <c r="A186" s="5" t="s">
        <v>2012</v>
      </c>
      <c r="B186" s="5" t="s">
        <v>2013</v>
      </c>
      <c r="C186" s="5" t="s">
        <v>960</v>
      </c>
      <c r="D186" s="5" t="s">
        <v>114</v>
      </c>
      <c r="E186" s="5" t="s">
        <v>29</v>
      </c>
      <c r="F186" s="5" t="s">
        <v>28</v>
      </c>
      <c r="G186" s="5" t="s">
        <v>17</v>
      </c>
      <c r="H186" s="5">
        <v>65</v>
      </c>
      <c r="I186" s="6">
        <v>240000</v>
      </c>
      <c r="J186" s="6">
        <f t="shared" si="5"/>
        <v>15600000</v>
      </c>
      <c r="K186" s="5" t="s">
        <v>1679</v>
      </c>
      <c r="L186" s="5" t="s">
        <v>1686</v>
      </c>
    </row>
    <row r="187" spans="1:12" x14ac:dyDescent="0.3">
      <c r="A187" s="2" t="s">
        <v>2014</v>
      </c>
      <c r="B187" s="2" t="s">
        <v>1935</v>
      </c>
      <c r="C187" s="2" t="s">
        <v>1126</v>
      </c>
      <c r="D187" s="2" t="s">
        <v>621</v>
      </c>
      <c r="E187" s="2" t="s">
        <v>652</v>
      </c>
      <c r="F187" s="2" t="s">
        <v>651</v>
      </c>
      <c r="G187" s="2" t="s">
        <v>609</v>
      </c>
      <c r="H187" s="2">
        <v>77</v>
      </c>
      <c r="I187" s="3">
        <v>145</v>
      </c>
      <c r="J187" s="3">
        <f t="shared" si="5"/>
        <v>11165</v>
      </c>
      <c r="K187" s="2" t="s">
        <v>1679</v>
      </c>
      <c r="L187" s="2" t="s">
        <v>1676</v>
      </c>
    </row>
    <row r="188" spans="1:12" x14ac:dyDescent="0.3">
      <c r="A188" s="5" t="s">
        <v>2015</v>
      </c>
      <c r="B188" s="5" t="s">
        <v>1824</v>
      </c>
      <c r="C188" s="5" t="s">
        <v>1064</v>
      </c>
      <c r="D188" s="5" t="s">
        <v>363</v>
      </c>
      <c r="E188" s="5" t="s">
        <v>337</v>
      </c>
      <c r="F188" s="5" t="s">
        <v>336</v>
      </c>
      <c r="G188" s="5" t="s">
        <v>330</v>
      </c>
      <c r="H188" s="5">
        <v>27</v>
      </c>
      <c r="I188" s="6">
        <v>1500</v>
      </c>
      <c r="J188" s="6">
        <f t="shared" si="5"/>
        <v>40500</v>
      </c>
      <c r="K188" s="5" t="s">
        <v>1675</v>
      </c>
      <c r="L188" s="5" t="s">
        <v>1676</v>
      </c>
    </row>
    <row r="189" spans="1:12" x14ac:dyDescent="0.3">
      <c r="A189" s="2" t="s">
        <v>2016</v>
      </c>
      <c r="B189" s="2" t="s">
        <v>1703</v>
      </c>
      <c r="C189" s="2" t="s">
        <v>1019</v>
      </c>
      <c r="D189" s="2" t="s">
        <v>691</v>
      </c>
      <c r="E189" s="2" t="s">
        <v>684</v>
      </c>
      <c r="F189" s="2" t="s">
        <v>683</v>
      </c>
      <c r="G189" s="2" t="s">
        <v>609</v>
      </c>
      <c r="H189" s="2">
        <v>44</v>
      </c>
      <c r="I189" s="3">
        <v>3500</v>
      </c>
      <c r="J189" s="3">
        <f t="shared" si="5"/>
        <v>154000</v>
      </c>
      <c r="K189" s="2" t="s">
        <v>1685</v>
      </c>
      <c r="L189" s="2" t="s">
        <v>1676</v>
      </c>
    </row>
    <row r="190" spans="1:12" x14ac:dyDescent="0.3">
      <c r="A190" s="5" t="s">
        <v>2017</v>
      </c>
      <c r="B190" s="5" t="s">
        <v>2018</v>
      </c>
      <c r="C190" s="5" t="s">
        <v>985</v>
      </c>
      <c r="D190" s="5" t="s">
        <v>173</v>
      </c>
      <c r="E190" s="5" t="s">
        <v>195</v>
      </c>
      <c r="F190" s="5" t="s">
        <v>194</v>
      </c>
      <c r="G190" s="5" t="s">
        <v>169</v>
      </c>
      <c r="H190" s="5">
        <v>53</v>
      </c>
      <c r="I190" s="6">
        <v>2000</v>
      </c>
      <c r="J190" s="6">
        <f t="shared" si="5"/>
        <v>106000</v>
      </c>
      <c r="K190" s="5" t="s">
        <v>1675</v>
      </c>
      <c r="L190" s="5" t="s">
        <v>1686</v>
      </c>
    </row>
    <row r="191" spans="1:12" x14ac:dyDescent="0.3">
      <c r="A191" s="2" t="s">
        <v>2019</v>
      </c>
      <c r="B191" s="2" t="s">
        <v>2020</v>
      </c>
      <c r="C191" s="2" t="s">
        <v>1064</v>
      </c>
      <c r="D191" s="2" t="s">
        <v>363</v>
      </c>
      <c r="E191" s="2" t="s">
        <v>451</v>
      </c>
      <c r="F191" s="2" t="s">
        <v>450</v>
      </c>
      <c r="G191" s="2" t="s">
        <v>330</v>
      </c>
      <c r="H191" s="2">
        <v>77</v>
      </c>
      <c r="I191" s="3">
        <v>200</v>
      </c>
      <c r="J191" s="3">
        <f t="shared" si="5"/>
        <v>15400</v>
      </c>
      <c r="K191" s="2" t="s">
        <v>1675</v>
      </c>
      <c r="L191" s="2" t="s">
        <v>1676</v>
      </c>
    </row>
    <row r="192" spans="1:12" x14ac:dyDescent="0.3">
      <c r="A192" s="5" t="s">
        <v>2021</v>
      </c>
      <c r="B192" s="5" t="s">
        <v>2022</v>
      </c>
      <c r="C192" s="5" t="s">
        <v>998</v>
      </c>
      <c r="D192" s="5" t="s">
        <v>218</v>
      </c>
      <c r="E192" s="5" t="s">
        <v>195</v>
      </c>
      <c r="F192" s="5" t="s">
        <v>194</v>
      </c>
      <c r="G192" s="5" t="s">
        <v>169</v>
      </c>
      <c r="H192" s="5">
        <v>40</v>
      </c>
      <c r="I192" s="6">
        <v>2000</v>
      </c>
      <c r="J192" s="6">
        <f t="shared" si="5"/>
        <v>80000</v>
      </c>
      <c r="K192" s="5" t="s">
        <v>1689</v>
      </c>
      <c r="L192" s="5" t="s">
        <v>1676</v>
      </c>
    </row>
    <row r="193" spans="1:12" x14ac:dyDescent="0.3">
      <c r="A193" s="2" t="s">
        <v>2023</v>
      </c>
      <c r="B193" s="2" t="s">
        <v>1868</v>
      </c>
      <c r="C193" s="2" t="s">
        <v>1107</v>
      </c>
      <c r="D193" s="2" t="s">
        <v>556</v>
      </c>
      <c r="E193" s="2" t="s">
        <v>560</v>
      </c>
      <c r="F193" s="2" t="s">
        <v>559</v>
      </c>
      <c r="G193" s="2" t="s">
        <v>469</v>
      </c>
      <c r="H193" s="2">
        <v>96</v>
      </c>
      <c r="I193" s="3">
        <v>65</v>
      </c>
      <c r="J193" s="3">
        <f t="shared" si="5"/>
        <v>6240</v>
      </c>
      <c r="K193" s="2" t="s">
        <v>1689</v>
      </c>
      <c r="L193" s="2" t="s">
        <v>1686</v>
      </c>
    </row>
    <row r="194" spans="1:12" x14ac:dyDescent="0.3">
      <c r="A194" s="5" t="s">
        <v>2024</v>
      </c>
      <c r="B194" s="5" t="s">
        <v>2025</v>
      </c>
      <c r="C194" s="5" t="s">
        <v>1064</v>
      </c>
      <c r="D194" s="5" t="s">
        <v>363</v>
      </c>
      <c r="E194" s="5" t="s">
        <v>383</v>
      </c>
      <c r="F194" s="5" t="s">
        <v>382</v>
      </c>
      <c r="G194" s="5" t="s">
        <v>330</v>
      </c>
      <c r="H194" s="5">
        <v>33</v>
      </c>
      <c r="I194" s="6">
        <v>3200</v>
      </c>
      <c r="J194" s="6">
        <f t="shared" si="5"/>
        <v>105600</v>
      </c>
      <c r="K194" s="5" t="s">
        <v>1685</v>
      </c>
      <c r="L194" s="5" t="s">
        <v>1682</v>
      </c>
    </row>
    <row r="195" spans="1:12" x14ac:dyDescent="0.3">
      <c r="A195" s="2" t="s">
        <v>2026</v>
      </c>
      <c r="B195" s="2" t="s">
        <v>2022</v>
      </c>
      <c r="C195" s="2" t="s">
        <v>965</v>
      </c>
      <c r="D195" s="2" t="s">
        <v>133</v>
      </c>
      <c r="E195" s="2" t="s">
        <v>58</v>
      </c>
      <c r="F195" s="2" t="s">
        <v>57</v>
      </c>
      <c r="G195" s="2" t="s">
        <v>17</v>
      </c>
      <c r="H195" s="2">
        <v>6</v>
      </c>
      <c r="I195" s="3">
        <v>34000</v>
      </c>
      <c r="J195" s="3">
        <f t="shared" ref="J195:J202" si="6">H195*I195</f>
        <v>204000</v>
      </c>
      <c r="K195" s="2" t="s">
        <v>1679</v>
      </c>
      <c r="L195" s="2" t="s">
        <v>1676</v>
      </c>
    </row>
    <row r="196" spans="1:12" x14ac:dyDescent="0.3">
      <c r="A196" s="5" t="s">
        <v>2027</v>
      </c>
      <c r="B196" s="5" t="s">
        <v>2028</v>
      </c>
      <c r="C196" s="5" t="s">
        <v>994</v>
      </c>
      <c r="D196" s="5" t="s">
        <v>189</v>
      </c>
      <c r="E196" s="5" t="s">
        <v>236</v>
      </c>
      <c r="F196" s="5" t="s">
        <v>235</v>
      </c>
      <c r="G196" s="5" t="s">
        <v>169</v>
      </c>
      <c r="H196" s="5">
        <v>36</v>
      </c>
      <c r="I196" s="6">
        <v>75</v>
      </c>
      <c r="J196" s="6">
        <f t="shared" si="6"/>
        <v>2700</v>
      </c>
      <c r="K196" s="5" t="s">
        <v>1675</v>
      </c>
      <c r="L196" s="5" t="s">
        <v>1686</v>
      </c>
    </row>
    <row r="197" spans="1:12" x14ac:dyDescent="0.3">
      <c r="A197" s="2" t="s">
        <v>2029</v>
      </c>
      <c r="B197" s="2" t="s">
        <v>1951</v>
      </c>
      <c r="C197" s="2" t="s">
        <v>1156</v>
      </c>
      <c r="D197" s="2" t="s">
        <v>740</v>
      </c>
      <c r="E197" s="2" t="s">
        <v>791</v>
      </c>
      <c r="F197" s="2" t="s">
        <v>790</v>
      </c>
      <c r="G197" s="2" t="s">
        <v>731</v>
      </c>
      <c r="H197" s="2">
        <v>62</v>
      </c>
      <c r="I197" s="3">
        <v>120</v>
      </c>
      <c r="J197" s="3">
        <f t="shared" si="6"/>
        <v>7440</v>
      </c>
      <c r="K197" s="2" t="s">
        <v>1685</v>
      </c>
      <c r="L197" s="2" t="s">
        <v>1682</v>
      </c>
    </row>
    <row r="198" spans="1:12" x14ac:dyDescent="0.3">
      <c r="A198" s="5" t="s">
        <v>2030</v>
      </c>
      <c r="B198" s="5" t="s">
        <v>2031</v>
      </c>
      <c r="C198" s="5" t="s">
        <v>1121</v>
      </c>
      <c r="D198" s="5" t="s">
        <v>613</v>
      </c>
      <c r="E198" s="5" t="s">
        <v>684</v>
      </c>
      <c r="F198" s="5" t="s">
        <v>683</v>
      </c>
      <c r="G198" s="5" t="s">
        <v>609</v>
      </c>
      <c r="H198" s="5">
        <v>27</v>
      </c>
      <c r="I198" s="6">
        <v>3500</v>
      </c>
      <c r="J198" s="6">
        <f t="shared" si="6"/>
        <v>94500</v>
      </c>
      <c r="K198" s="5" t="s">
        <v>1679</v>
      </c>
      <c r="L198" s="5" t="s">
        <v>1682</v>
      </c>
    </row>
    <row r="199" spans="1:12" x14ac:dyDescent="0.3">
      <c r="A199" s="2" t="s">
        <v>2032</v>
      </c>
      <c r="B199" s="2" t="s">
        <v>1709</v>
      </c>
      <c r="C199" s="2" t="s">
        <v>960</v>
      </c>
      <c r="D199" s="2" t="s">
        <v>114</v>
      </c>
      <c r="E199" s="2" t="s">
        <v>50</v>
      </c>
      <c r="F199" s="2" t="s">
        <v>49</v>
      </c>
      <c r="G199" s="2" t="s">
        <v>17</v>
      </c>
      <c r="H199" s="2">
        <v>24</v>
      </c>
      <c r="I199" s="3">
        <v>82000</v>
      </c>
      <c r="J199" s="3">
        <f t="shared" si="6"/>
        <v>1968000</v>
      </c>
      <c r="K199" s="2" t="s">
        <v>1689</v>
      </c>
      <c r="L199" s="2" t="s">
        <v>1686</v>
      </c>
    </row>
    <row r="200" spans="1:12" x14ac:dyDescent="0.3">
      <c r="A200" s="5" t="s">
        <v>2033</v>
      </c>
      <c r="B200" s="5" t="s">
        <v>1890</v>
      </c>
      <c r="C200" s="5" t="s">
        <v>1139</v>
      </c>
      <c r="D200" s="5" t="s">
        <v>820</v>
      </c>
      <c r="E200" s="5" t="s">
        <v>881</v>
      </c>
      <c r="F200" s="5" t="s">
        <v>880</v>
      </c>
      <c r="G200" s="5" t="s">
        <v>816</v>
      </c>
      <c r="H200" s="5">
        <v>65</v>
      </c>
      <c r="I200" s="6">
        <v>2500</v>
      </c>
      <c r="J200" s="6">
        <f t="shared" si="6"/>
        <v>162500</v>
      </c>
      <c r="K200" s="5" t="s">
        <v>1675</v>
      </c>
      <c r="L200" s="5" t="s">
        <v>1686</v>
      </c>
    </row>
    <row r="201" spans="1:12" x14ac:dyDescent="0.3">
      <c r="A201" s="2" t="s">
        <v>2034</v>
      </c>
      <c r="B201" s="2" t="s">
        <v>1752</v>
      </c>
      <c r="C201" s="2" t="s">
        <v>994</v>
      </c>
      <c r="D201" s="2" t="s">
        <v>189</v>
      </c>
      <c r="E201" s="2" t="s">
        <v>214</v>
      </c>
      <c r="F201" s="2" t="s">
        <v>213</v>
      </c>
      <c r="G201" s="2" t="s">
        <v>169</v>
      </c>
      <c r="H201" s="2">
        <v>95</v>
      </c>
      <c r="I201" s="3">
        <v>65</v>
      </c>
      <c r="J201" s="3">
        <f t="shared" si="6"/>
        <v>6175</v>
      </c>
      <c r="K201" s="2" t="s">
        <v>1689</v>
      </c>
      <c r="L201" s="2" t="s">
        <v>1686</v>
      </c>
    </row>
    <row r="202" spans="1:12" x14ac:dyDescent="0.3">
      <c r="A202" s="5" t="s">
        <v>2035</v>
      </c>
      <c r="B202" s="5" t="s">
        <v>1935</v>
      </c>
      <c r="C202" s="5" t="s">
        <v>1103</v>
      </c>
      <c r="D202" s="5" t="s">
        <v>503</v>
      </c>
      <c r="E202" s="5" t="s">
        <v>526</v>
      </c>
      <c r="F202" s="5" t="s">
        <v>525</v>
      </c>
      <c r="G202" s="5" t="s">
        <v>469</v>
      </c>
      <c r="H202" s="5">
        <v>10</v>
      </c>
      <c r="I202" s="6">
        <v>1200</v>
      </c>
      <c r="J202" s="6">
        <f t="shared" si="6"/>
        <v>12000</v>
      </c>
      <c r="K202" s="5" t="s">
        <v>1685</v>
      </c>
      <c r="L202" s="5" t="s">
        <v>1676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0BC2-6536-4F40-A84B-BE759743DEB4}">
  <dimension ref="A1:AJ215"/>
  <sheetViews>
    <sheetView topLeftCell="A129" workbookViewId="0">
      <selection sqref="A1:F215"/>
    </sheetView>
  </sheetViews>
  <sheetFormatPr defaultRowHeight="14.4" x14ac:dyDescent="0.3"/>
  <cols>
    <col min="1" max="1" width="8.5546875" bestFit="1" customWidth="1"/>
    <col min="2" max="2" width="24.21875" bestFit="1" customWidth="1"/>
    <col min="3" max="3" width="29.77734375" bestFit="1" customWidth="1"/>
    <col min="5" max="6" width="10.109375" bestFit="1" customWidth="1"/>
  </cols>
  <sheetData>
    <row r="1" spans="1:36" ht="41.4" x14ac:dyDescent="0.3">
      <c r="A1" s="1" t="s">
        <v>1</v>
      </c>
      <c r="B1" s="1" t="s">
        <v>2</v>
      </c>
      <c r="C1" s="1" t="s">
        <v>4</v>
      </c>
      <c r="D1" s="1" t="s">
        <v>2467</v>
      </c>
      <c r="E1" s="1" t="s">
        <v>9</v>
      </c>
      <c r="F1" s="1" t="s">
        <v>10</v>
      </c>
      <c r="G1" s="13">
        <v>46023</v>
      </c>
      <c r="H1" s="13">
        <v>46024</v>
      </c>
      <c r="I1" s="13">
        <v>46025</v>
      </c>
      <c r="J1" s="13">
        <v>46026</v>
      </c>
      <c r="K1" s="13">
        <v>46027</v>
      </c>
      <c r="L1" s="13">
        <v>46028</v>
      </c>
      <c r="M1" s="13">
        <v>46029</v>
      </c>
      <c r="N1" s="13">
        <v>46030</v>
      </c>
      <c r="O1" s="13">
        <v>46031</v>
      </c>
      <c r="P1" s="13">
        <v>46032</v>
      </c>
      <c r="Q1" s="13">
        <v>46033</v>
      </c>
      <c r="R1" s="13">
        <v>46034</v>
      </c>
      <c r="S1" s="13">
        <v>46035</v>
      </c>
      <c r="T1" s="13">
        <v>46036</v>
      </c>
      <c r="U1" s="13">
        <v>46037</v>
      </c>
      <c r="V1" s="13">
        <v>46038</v>
      </c>
      <c r="W1" s="13">
        <v>46039</v>
      </c>
      <c r="X1" s="13">
        <v>46040</v>
      </c>
      <c r="Y1" s="13">
        <v>46041</v>
      </c>
      <c r="Z1" s="13">
        <v>46042</v>
      </c>
      <c r="AA1" s="13">
        <v>46043</v>
      </c>
      <c r="AB1" s="13">
        <v>46044</v>
      </c>
      <c r="AC1" s="13">
        <v>46045</v>
      </c>
      <c r="AD1" s="13">
        <v>46046</v>
      </c>
      <c r="AE1" s="13">
        <v>46047</v>
      </c>
      <c r="AF1" s="13">
        <v>46048</v>
      </c>
      <c r="AG1" s="13">
        <v>46049</v>
      </c>
      <c r="AH1" s="13">
        <v>46050</v>
      </c>
      <c r="AI1" s="13">
        <v>46051</v>
      </c>
      <c r="AJ1" s="13">
        <v>46052</v>
      </c>
    </row>
    <row r="2" spans="1:36" x14ac:dyDescent="0.3">
      <c r="A2" s="2" t="s">
        <v>16</v>
      </c>
      <c r="B2" s="2" t="s">
        <v>17</v>
      </c>
      <c r="C2" s="2" t="s">
        <v>19</v>
      </c>
      <c r="D2" s="2">
        <v>138</v>
      </c>
      <c r="E2" s="3">
        <v>75000</v>
      </c>
      <c r="F2" s="3">
        <v>95000</v>
      </c>
      <c r="K2">
        <f ca="1">MIN(
IF(F2="Electronics &amp; Appliances",
IF(K2&gt;0,
IF(RANDBETWEEN(1,100)&lt;=15,RANDBETWEEN(1,1),0),
IF(RANDBETWEEN(1,100)&lt;=35,RANDBETWEEN(1,2),0)
),
IF(F2="Grocery &amp; Food Items",RANDBETWEEN(5,20),
IF(F2="Pharmaceuticals &amp; Health",RANDBETWEEN(2,10),
IF(F2="Clothing &amp; Textiles",RANDBETWEEN(1,5),
IF(F2="Construction &amp; Hardware",
IF(RANDBETWEEN(1,100)&lt;=45,RANDBETWEEN(1,8),0),
IF(F2="Stationery &amp; Office Supplies",RANDBETWEEN(1,12),
IF(F2="Automobiles &amp; Accessories",
IF(RANDBETWEEN(1,100)&lt;=40,RANDBETWEEN(1,4),0),
RANDBETWEEN(1,3)))))))),
$D2-SUM($G2:K2))</f>
        <v>0</v>
      </c>
      <c r="L2" t="e" cm="1" vm="1">
        <f t="array" aca="1" ref="L2" ca="1">G2:H2</f>
        <v>#VALUE!</v>
      </c>
      <c r="M2" t="e" vm="2">
        <f ca="1">MIN(
IF(H2="Electronics &amp; Appliances",
IF(M2&gt;0,
IF(RANDBETWEEN(1,100)&lt;=15,RANDBETWEEN(1,1),0),
IF(RANDBETWEEN(1,100)&lt;=35,RANDBETWEEN(1,2),0)
),
IF(H2="Grocery &amp; Food Items",RANDBETWEEN(5,20),
IF(H2="Pharmaceuticals &amp; Health",RANDBETWEEN(2,10),
IF(H2="Clothing &amp; Textiles",RANDBETWEEN(1,5),
IF(H2="Construction &amp; Hardware",
IF(RANDBETWEEN(1,100)&lt;=45,RANDBETWEEN(1,8),0),
IF(H2="Stationery &amp; Office Supplies",RANDBETWEEN(1,12),
IF(H2="Automobiles &amp; Accessories",
IF(RANDBETWEEN(1,100)&lt;=40,RANDBETWEEN(1,4),0),
RANDBETWEEN(1,3)))))))),
$D2-SUM($G2:M2))</f>
        <v>#VALUE!</v>
      </c>
      <c r="N2" t="e" vm="2">
        <f ca="1">MIN(
IF(I2="Electronics &amp; Appliances",
IF(N2&gt;0,
IF(RANDBETWEEN(1,100)&lt;=15,RANDBETWEEN(1,1),0),
IF(RANDBETWEEN(1,100)&lt;=35,RANDBETWEEN(1,2),0)
),
IF(I2="Grocery &amp; Food Items",RANDBETWEEN(5,20),
IF(I2="Pharmaceuticals &amp; Health",RANDBETWEEN(2,10),
IF(I2="Clothing &amp; Textiles",RANDBETWEEN(1,5),
IF(I2="Construction &amp; Hardware",
IF(RANDBETWEEN(1,100)&lt;=45,RANDBETWEEN(1,8),0),
IF(I2="Stationery &amp; Office Supplies",RANDBETWEEN(1,12),
IF(I2="Automobiles &amp; Accessories",
IF(RANDBETWEEN(1,100)&lt;=40,RANDBETWEEN(1,4),0),
RANDBETWEEN(1,3)))))))),
$D2-SUM($G2:N2))</f>
        <v>#VALUE!</v>
      </c>
      <c r="O2" t="e" vm="2">
        <f ca="1">MIN(
IF(J2="Electronics &amp; Appliances",
IF(O2&gt;0,
IF(RANDBETWEEN(1,100)&lt;=15,RANDBETWEEN(1,1),0),
IF(RANDBETWEEN(1,100)&lt;=35,RANDBETWEEN(1,2),0)
),
IF(J2="Grocery &amp; Food Items",RANDBETWEEN(5,20),
IF(J2="Pharmaceuticals &amp; Health",RANDBETWEEN(2,10),
IF(J2="Clothing &amp; Textiles",RANDBETWEEN(1,5),
IF(J2="Construction &amp; Hardware",
IF(RANDBETWEEN(1,100)&lt;=45,RANDBETWEEN(1,8),0),
IF(J2="Stationery &amp; Office Supplies",RANDBETWEEN(1,12),
IF(J2="Automobiles &amp; Accessories",
IF(RANDBETWEEN(1,100)&lt;=40,RANDBETWEEN(1,4),0),
RANDBETWEEN(1,3)))))))),
$D2-SUM($G2:O2))</f>
        <v>#VALUE!</v>
      </c>
      <c r="P2" t="e" vm="2">
        <f ca="1">MIN(
IF(K2="Electronics &amp; Appliances",
IF(P2&gt;0,
IF(RANDBETWEEN(1,100)&lt;=15,RANDBETWEEN(1,1),0),
IF(RANDBETWEEN(1,100)&lt;=35,RANDBETWEEN(1,2),0)
),
IF(K2="Grocery &amp; Food Items",RANDBETWEEN(5,20),
IF(K2="Pharmaceuticals &amp; Health",RANDBETWEEN(2,10),
IF(K2="Clothing &amp; Textiles",RANDBETWEEN(1,5),
IF(K2="Construction &amp; Hardware",
IF(RANDBETWEEN(1,100)&lt;=45,RANDBETWEEN(1,8),0),
IF(K2="Stationery &amp; Office Supplies",RANDBETWEEN(1,12),
IF(K2="Automobiles &amp; Accessories",
IF(RANDBETWEEN(1,100)&lt;=40,RANDBETWEEN(1,4),0),
RANDBETWEEN(1,3)))))))),
$D2-SUM($G2:P2))</f>
        <v>#VALUE!</v>
      </c>
      <c r="Q2" t="e" vm="2">
        <f ca="1">MIN(
IF(L2="Electronics &amp; Appliances",
IF(Q2&gt;0,
IF(RANDBETWEEN(1,100)&lt;=15,RANDBETWEEN(1,1),0),
IF(RANDBETWEEN(1,100)&lt;=35,RANDBETWEEN(1,2),0)
),
IF(L2="Grocery &amp; Food Items",RANDBETWEEN(5,20),
IF(L2="Pharmaceuticals &amp; Health",RANDBETWEEN(2,10),
IF(L2="Clothing &amp; Textiles",RANDBETWEEN(1,5),
IF(L2="Construction &amp; Hardware",
IF(RANDBETWEEN(1,100)&lt;=45,RANDBETWEEN(1,8),0),
IF(L2="Stationery &amp; Office Supplies",RANDBETWEEN(1,12),
IF(L2="Automobiles &amp; Accessories",
IF(RANDBETWEEN(1,100)&lt;=40,RANDBETWEEN(1,4),0),
RANDBETWEEN(1,3)))))))),
$D2-SUM($G2:Q2))</f>
        <v>#VALUE!</v>
      </c>
      <c r="R2" t="e" vm="2">
        <f ca="1">MIN(
IF(M2="Electronics &amp; Appliances",
IF(R2&gt;0,
IF(RANDBETWEEN(1,100)&lt;=15,RANDBETWEEN(1,1),0),
IF(RANDBETWEEN(1,100)&lt;=35,RANDBETWEEN(1,2),0)
),
IF(M2="Grocery &amp; Food Items",RANDBETWEEN(5,20),
IF(M2="Pharmaceuticals &amp; Health",RANDBETWEEN(2,10),
IF(M2="Clothing &amp; Textiles",RANDBETWEEN(1,5),
IF(M2="Construction &amp; Hardware",
IF(RANDBETWEEN(1,100)&lt;=45,RANDBETWEEN(1,8),0),
IF(M2="Stationery &amp; Office Supplies",RANDBETWEEN(1,12),
IF(M2="Automobiles &amp; Accessories",
IF(RANDBETWEEN(1,100)&lt;=40,RANDBETWEEN(1,4),0),
RANDBETWEEN(1,3)))))))),
$D2-SUM($G2:R2))</f>
        <v>#VALUE!</v>
      </c>
    </row>
    <row r="3" spans="1:36" x14ac:dyDescent="0.3">
      <c r="A3" s="5" t="s">
        <v>24</v>
      </c>
      <c r="B3" s="5" t="s">
        <v>17</v>
      </c>
      <c r="C3" s="5" t="s">
        <v>25</v>
      </c>
      <c r="D3" s="5">
        <v>74</v>
      </c>
      <c r="E3" s="6">
        <v>55000</v>
      </c>
      <c r="F3" s="6">
        <v>68000</v>
      </c>
    </row>
    <row r="4" spans="1:36" x14ac:dyDescent="0.3">
      <c r="A4" s="2" t="s">
        <v>27</v>
      </c>
      <c r="B4" s="2" t="s">
        <v>17</v>
      </c>
      <c r="C4" s="2" t="s">
        <v>28</v>
      </c>
      <c r="D4" s="2">
        <v>7</v>
      </c>
      <c r="E4" s="3">
        <v>240000</v>
      </c>
      <c r="F4" s="3">
        <v>279000</v>
      </c>
    </row>
    <row r="5" spans="1:36" x14ac:dyDescent="0.3">
      <c r="A5" s="5" t="s">
        <v>32</v>
      </c>
      <c r="B5" s="5" t="s">
        <v>17</v>
      </c>
      <c r="C5" s="5" t="s">
        <v>33</v>
      </c>
      <c r="D5" s="5">
        <v>53</v>
      </c>
      <c r="E5" s="6">
        <v>185000</v>
      </c>
      <c r="F5" s="6">
        <v>215000</v>
      </c>
    </row>
    <row r="6" spans="1:36" x14ac:dyDescent="0.3">
      <c r="A6" s="2" t="s">
        <v>35</v>
      </c>
      <c r="B6" s="2" t="s">
        <v>17</v>
      </c>
      <c r="C6" s="2" t="s">
        <v>36</v>
      </c>
      <c r="D6" s="2">
        <v>65</v>
      </c>
      <c r="E6" s="3">
        <v>42000</v>
      </c>
      <c r="F6" s="3">
        <v>52000</v>
      </c>
    </row>
    <row r="7" spans="1:36" x14ac:dyDescent="0.3">
      <c r="A7" s="5" t="s">
        <v>40</v>
      </c>
      <c r="B7" s="5" t="s">
        <v>17</v>
      </c>
      <c r="C7" s="5" t="s">
        <v>41</v>
      </c>
      <c r="D7" s="5">
        <v>12</v>
      </c>
      <c r="E7" s="6">
        <v>65000</v>
      </c>
      <c r="F7" s="6">
        <v>80000</v>
      </c>
    </row>
    <row r="8" spans="1:36" x14ac:dyDescent="0.3">
      <c r="A8" s="2" t="s">
        <v>43</v>
      </c>
      <c r="B8" s="2" t="s">
        <v>17</v>
      </c>
      <c r="C8" s="2" t="s">
        <v>44</v>
      </c>
      <c r="D8" s="2">
        <v>101</v>
      </c>
      <c r="E8" s="3">
        <v>38000</v>
      </c>
      <c r="F8" s="3">
        <v>47000</v>
      </c>
    </row>
    <row r="9" spans="1:36" x14ac:dyDescent="0.3">
      <c r="A9" s="5" t="s">
        <v>48</v>
      </c>
      <c r="B9" s="5" t="s">
        <v>17</v>
      </c>
      <c r="C9" s="5" t="s">
        <v>49</v>
      </c>
      <c r="D9" s="5">
        <v>96</v>
      </c>
      <c r="E9" s="6">
        <v>82000</v>
      </c>
      <c r="F9" s="6">
        <v>99000</v>
      </c>
    </row>
    <row r="10" spans="1:36" x14ac:dyDescent="0.3">
      <c r="A10" s="2" t="s">
        <v>51</v>
      </c>
      <c r="B10" s="2" t="s">
        <v>17</v>
      </c>
      <c r="C10" s="2" t="s">
        <v>52</v>
      </c>
      <c r="D10" s="2">
        <v>34</v>
      </c>
      <c r="E10" s="3">
        <v>52000</v>
      </c>
      <c r="F10" s="3">
        <v>65000</v>
      </c>
    </row>
    <row r="11" spans="1:36" x14ac:dyDescent="0.3">
      <c r="A11" s="5" t="s">
        <v>56</v>
      </c>
      <c r="B11" s="5" t="s">
        <v>17</v>
      </c>
      <c r="C11" s="5" t="s">
        <v>57</v>
      </c>
      <c r="D11" s="5">
        <v>20</v>
      </c>
      <c r="E11" s="6">
        <v>34000</v>
      </c>
      <c r="F11" s="6">
        <v>42000</v>
      </c>
    </row>
    <row r="12" spans="1:36" x14ac:dyDescent="0.3">
      <c r="A12" s="2" t="s">
        <v>61</v>
      </c>
      <c r="B12" s="2" t="s">
        <v>17</v>
      </c>
      <c r="C12" s="2" t="s">
        <v>63</v>
      </c>
      <c r="D12" s="2">
        <v>118</v>
      </c>
      <c r="E12" s="3">
        <v>115000</v>
      </c>
      <c r="F12" s="3">
        <v>139000</v>
      </c>
    </row>
    <row r="13" spans="1:36" x14ac:dyDescent="0.3">
      <c r="A13" s="5" t="s">
        <v>67</v>
      </c>
      <c r="B13" s="5" t="s">
        <v>17</v>
      </c>
      <c r="C13" s="5" t="s">
        <v>68</v>
      </c>
      <c r="D13" s="5">
        <v>1</v>
      </c>
      <c r="E13" s="6">
        <v>108000</v>
      </c>
      <c r="F13" s="6">
        <v>130000</v>
      </c>
    </row>
    <row r="14" spans="1:36" x14ac:dyDescent="0.3">
      <c r="A14" s="2" t="s">
        <v>72</v>
      </c>
      <c r="B14" s="2" t="s">
        <v>17</v>
      </c>
      <c r="C14" s="2" t="s">
        <v>73</v>
      </c>
      <c r="D14" s="2">
        <v>133</v>
      </c>
      <c r="E14" s="3">
        <v>95000</v>
      </c>
      <c r="F14" s="3">
        <v>115000</v>
      </c>
    </row>
    <row r="15" spans="1:36" x14ac:dyDescent="0.3">
      <c r="A15" s="5" t="s">
        <v>77</v>
      </c>
      <c r="B15" s="5" t="s">
        <v>17</v>
      </c>
      <c r="C15" s="5" t="s">
        <v>78</v>
      </c>
      <c r="D15" s="5">
        <v>62</v>
      </c>
      <c r="E15" s="6">
        <v>105000</v>
      </c>
      <c r="F15" s="6">
        <v>128000</v>
      </c>
    </row>
    <row r="16" spans="1:36" x14ac:dyDescent="0.3">
      <c r="A16" s="2" t="s">
        <v>82</v>
      </c>
      <c r="B16" s="2" t="s">
        <v>17</v>
      </c>
      <c r="C16" s="2" t="s">
        <v>83</v>
      </c>
      <c r="D16" s="2">
        <v>6</v>
      </c>
      <c r="E16" s="3">
        <v>175000</v>
      </c>
      <c r="F16" s="3">
        <v>210000</v>
      </c>
    </row>
    <row r="17" spans="1:6" x14ac:dyDescent="0.3">
      <c r="A17" s="5" t="s">
        <v>85</v>
      </c>
      <c r="B17" s="5" t="s">
        <v>17</v>
      </c>
      <c r="C17" s="5" t="s">
        <v>86</v>
      </c>
      <c r="D17" s="5">
        <v>18</v>
      </c>
      <c r="E17" s="6">
        <v>155000</v>
      </c>
      <c r="F17" s="6">
        <v>185000</v>
      </c>
    </row>
    <row r="18" spans="1:6" x14ac:dyDescent="0.3">
      <c r="A18" s="2" t="s">
        <v>88</v>
      </c>
      <c r="B18" s="2" t="s">
        <v>17</v>
      </c>
      <c r="C18" s="2" t="s">
        <v>89</v>
      </c>
      <c r="D18" s="2">
        <v>40</v>
      </c>
      <c r="E18" s="3">
        <v>290000</v>
      </c>
      <c r="F18" s="3">
        <v>339000</v>
      </c>
    </row>
    <row r="19" spans="1:6" x14ac:dyDescent="0.3">
      <c r="A19" s="5" t="s">
        <v>91</v>
      </c>
      <c r="B19" s="5" t="s">
        <v>17</v>
      </c>
      <c r="C19" s="5" t="s">
        <v>92</v>
      </c>
      <c r="D19" s="5">
        <v>135</v>
      </c>
      <c r="E19" s="6">
        <v>120000</v>
      </c>
      <c r="F19" s="6">
        <v>145000</v>
      </c>
    </row>
    <row r="20" spans="1:6" x14ac:dyDescent="0.3">
      <c r="A20" s="2" t="s">
        <v>96</v>
      </c>
      <c r="B20" s="2" t="s">
        <v>17</v>
      </c>
      <c r="C20" s="2" t="s">
        <v>98</v>
      </c>
      <c r="D20" s="2">
        <v>102</v>
      </c>
      <c r="E20" s="3">
        <v>78000</v>
      </c>
      <c r="F20" s="3">
        <v>98000</v>
      </c>
    </row>
    <row r="21" spans="1:6" x14ac:dyDescent="0.3">
      <c r="A21" s="5" t="s">
        <v>100</v>
      </c>
      <c r="B21" s="5" t="s">
        <v>17</v>
      </c>
      <c r="C21" s="5" t="s">
        <v>101</v>
      </c>
      <c r="D21" s="5">
        <v>89</v>
      </c>
      <c r="E21" s="6">
        <v>150000</v>
      </c>
      <c r="F21" s="6">
        <v>185000</v>
      </c>
    </row>
    <row r="22" spans="1:6" x14ac:dyDescent="0.3">
      <c r="A22" s="2" t="s">
        <v>103</v>
      </c>
      <c r="B22" s="2" t="s">
        <v>17</v>
      </c>
      <c r="C22" s="2" t="s">
        <v>104</v>
      </c>
      <c r="D22" s="2">
        <v>137</v>
      </c>
      <c r="E22" s="3">
        <v>42000</v>
      </c>
      <c r="F22" s="3">
        <v>52000</v>
      </c>
    </row>
    <row r="23" spans="1:6" x14ac:dyDescent="0.3">
      <c r="A23" s="5" t="s">
        <v>108</v>
      </c>
      <c r="B23" s="5" t="s">
        <v>17</v>
      </c>
      <c r="C23" s="5" t="s">
        <v>109</v>
      </c>
      <c r="D23" s="5">
        <v>17</v>
      </c>
      <c r="E23" s="6">
        <v>68000</v>
      </c>
      <c r="F23" s="6">
        <v>85000</v>
      </c>
    </row>
    <row r="24" spans="1:6" x14ac:dyDescent="0.3">
      <c r="A24" s="2" t="s">
        <v>111</v>
      </c>
      <c r="B24" s="2" t="s">
        <v>17</v>
      </c>
      <c r="C24" s="2" t="s">
        <v>112</v>
      </c>
      <c r="D24" s="2">
        <v>102</v>
      </c>
      <c r="E24" s="3">
        <v>28000</v>
      </c>
      <c r="F24" s="3">
        <v>36000</v>
      </c>
    </row>
    <row r="25" spans="1:6" x14ac:dyDescent="0.3">
      <c r="A25" s="5" t="s">
        <v>116</v>
      </c>
      <c r="B25" s="5" t="s">
        <v>17</v>
      </c>
      <c r="C25" s="5" t="s">
        <v>117</v>
      </c>
      <c r="D25" s="5">
        <v>6</v>
      </c>
      <c r="E25" s="6">
        <v>55000</v>
      </c>
      <c r="F25" s="6">
        <v>68000</v>
      </c>
    </row>
    <row r="26" spans="1:6" x14ac:dyDescent="0.3">
      <c r="A26" s="2" t="s">
        <v>119</v>
      </c>
      <c r="B26" s="2" t="s">
        <v>17</v>
      </c>
      <c r="C26" s="2" t="s">
        <v>120</v>
      </c>
      <c r="D26" s="2">
        <v>63</v>
      </c>
      <c r="E26" s="3">
        <v>195000</v>
      </c>
      <c r="F26" s="3">
        <v>239000</v>
      </c>
    </row>
    <row r="27" spans="1:6" x14ac:dyDescent="0.3">
      <c r="A27" s="5" t="s">
        <v>124</v>
      </c>
      <c r="B27" s="5" t="s">
        <v>17</v>
      </c>
      <c r="C27" s="5" t="s">
        <v>125</v>
      </c>
      <c r="D27" s="5">
        <v>144</v>
      </c>
      <c r="E27" s="6">
        <v>125000</v>
      </c>
      <c r="F27" s="6">
        <v>155000</v>
      </c>
    </row>
    <row r="28" spans="1:6" x14ac:dyDescent="0.3">
      <c r="A28" s="2" t="s">
        <v>129</v>
      </c>
      <c r="B28" s="2" t="s">
        <v>17</v>
      </c>
      <c r="C28" s="2" t="s">
        <v>131</v>
      </c>
      <c r="D28" s="2">
        <v>71</v>
      </c>
      <c r="E28" s="3">
        <v>95000</v>
      </c>
      <c r="F28" s="3">
        <v>118000</v>
      </c>
    </row>
    <row r="29" spans="1:6" x14ac:dyDescent="0.3">
      <c r="A29" s="5" t="s">
        <v>134</v>
      </c>
      <c r="B29" s="5" t="s">
        <v>17</v>
      </c>
      <c r="C29" s="5" t="s">
        <v>135</v>
      </c>
      <c r="D29" s="5">
        <v>109</v>
      </c>
      <c r="E29" s="6">
        <v>75000</v>
      </c>
      <c r="F29" s="6">
        <v>94000</v>
      </c>
    </row>
    <row r="30" spans="1:6" x14ac:dyDescent="0.3">
      <c r="A30" s="2" t="s">
        <v>137</v>
      </c>
      <c r="B30" s="2" t="s">
        <v>17</v>
      </c>
      <c r="C30" s="2" t="s">
        <v>138</v>
      </c>
      <c r="D30" s="2">
        <v>144</v>
      </c>
      <c r="E30" s="3">
        <v>80000</v>
      </c>
      <c r="F30" s="3">
        <v>99000</v>
      </c>
    </row>
    <row r="31" spans="1:6" x14ac:dyDescent="0.3">
      <c r="A31" s="5" t="s">
        <v>142</v>
      </c>
      <c r="B31" s="5" t="s">
        <v>17</v>
      </c>
      <c r="C31" s="5" t="s">
        <v>143</v>
      </c>
      <c r="D31" s="5">
        <v>24</v>
      </c>
      <c r="E31" s="6">
        <v>65000</v>
      </c>
      <c r="F31" s="6">
        <v>80000</v>
      </c>
    </row>
    <row r="32" spans="1:6" x14ac:dyDescent="0.3">
      <c r="A32" s="2" t="s">
        <v>145</v>
      </c>
      <c r="B32" s="2" t="s">
        <v>17</v>
      </c>
      <c r="C32" s="2" t="s">
        <v>146</v>
      </c>
      <c r="D32" s="2">
        <v>71</v>
      </c>
      <c r="E32" s="3">
        <v>72000</v>
      </c>
      <c r="F32" s="3">
        <v>90000</v>
      </c>
    </row>
    <row r="33" spans="1:6" x14ac:dyDescent="0.3">
      <c r="A33" s="5" t="s">
        <v>148</v>
      </c>
      <c r="B33" s="5" t="s">
        <v>17</v>
      </c>
      <c r="C33" s="5" t="s">
        <v>149</v>
      </c>
      <c r="D33" s="5">
        <v>143</v>
      </c>
      <c r="E33" s="6">
        <v>82000</v>
      </c>
      <c r="F33" s="6">
        <v>102000</v>
      </c>
    </row>
    <row r="34" spans="1:6" x14ac:dyDescent="0.3">
      <c r="A34" s="2" t="s">
        <v>153</v>
      </c>
      <c r="B34" s="2" t="s">
        <v>17</v>
      </c>
      <c r="C34" s="2" t="s">
        <v>154</v>
      </c>
      <c r="D34" s="2">
        <v>28</v>
      </c>
      <c r="E34" s="3">
        <v>45000</v>
      </c>
      <c r="F34" s="3">
        <v>56000</v>
      </c>
    </row>
    <row r="35" spans="1:6" x14ac:dyDescent="0.3">
      <c r="A35" s="5" t="s">
        <v>156</v>
      </c>
      <c r="B35" s="5" t="s">
        <v>17</v>
      </c>
      <c r="C35" s="5" t="s">
        <v>157</v>
      </c>
      <c r="D35" s="5">
        <v>126</v>
      </c>
      <c r="E35" s="6">
        <v>75000</v>
      </c>
      <c r="F35" s="6">
        <v>95000</v>
      </c>
    </row>
    <row r="36" spans="1:6" x14ac:dyDescent="0.3">
      <c r="A36" s="2" t="s">
        <v>159</v>
      </c>
      <c r="B36" s="2" t="s">
        <v>17</v>
      </c>
      <c r="C36" s="2" t="s">
        <v>160</v>
      </c>
      <c r="D36" s="2">
        <v>79</v>
      </c>
      <c r="E36" s="3">
        <v>22000</v>
      </c>
      <c r="F36" s="3">
        <v>28000</v>
      </c>
    </row>
    <row r="37" spans="1:6" x14ac:dyDescent="0.3">
      <c r="A37" s="5" t="s">
        <v>163</v>
      </c>
      <c r="B37" s="5" t="s">
        <v>17</v>
      </c>
      <c r="C37" s="5" t="s">
        <v>164</v>
      </c>
      <c r="D37" s="5">
        <v>33</v>
      </c>
      <c r="E37" s="6">
        <v>3500</v>
      </c>
      <c r="F37" s="6">
        <v>5000</v>
      </c>
    </row>
    <row r="38" spans="1:6" x14ac:dyDescent="0.3">
      <c r="A38" s="2" t="s">
        <v>168</v>
      </c>
      <c r="B38" s="2" t="s">
        <v>169</v>
      </c>
      <c r="C38" s="2" t="s">
        <v>171</v>
      </c>
      <c r="D38" s="2">
        <v>79</v>
      </c>
      <c r="E38" s="3">
        <v>3800</v>
      </c>
      <c r="F38" s="3">
        <v>4800</v>
      </c>
    </row>
    <row r="39" spans="1:6" x14ac:dyDescent="0.3">
      <c r="A39" s="5" t="s">
        <v>175</v>
      </c>
      <c r="B39" s="5" t="s">
        <v>169</v>
      </c>
      <c r="C39" s="5" t="s">
        <v>176</v>
      </c>
      <c r="D39" s="5">
        <v>79</v>
      </c>
      <c r="E39" s="6">
        <v>800</v>
      </c>
      <c r="F39" s="6">
        <v>1050</v>
      </c>
    </row>
    <row r="40" spans="1:6" x14ac:dyDescent="0.3">
      <c r="A40" s="2" t="s">
        <v>178</v>
      </c>
      <c r="B40" s="2" t="s">
        <v>169</v>
      </c>
      <c r="C40" s="2" t="s">
        <v>179</v>
      </c>
      <c r="D40" s="2">
        <v>64</v>
      </c>
      <c r="E40" s="3">
        <v>1100</v>
      </c>
      <c r="F40" s="3">
        <v>1400</v>
      </c>
    </row>
    <row r="41" spans="1:6" x14ac:dyDescent="0.3">
      <c r="A41" s="5" t="s">
        <v>183</v>
      </c>
      <c r="B41" s="5" t="s">
        <v>169</v>
      </c>
      <c r="C41" s="5" t="s">
        <v>184</v>
      </c>
      <c r="D41" s="5">
        <v>129</v>
      </c>
      <c r="E41" s="6">
        <v>580</v>
      </c>
      <c r="F41" s="6">
        <v>750</v>
      </c>
    </row>
    <row r="42" spans="1:6" x14ac:dyDescent="0.3">
      <c r="A42" s="2" t="s">
        <v>186</v>
      </c>
      <c r="B42" s="2" t="s">
        <v>169</v>
      </c>
      <c r="C42" s="2" t="s">
        <v>187</v>
      </c>
      <c r="D42" s="2">
        <v>20</v>
      </c>
      <c r="E42" s="3">
        <v>600</v>
      </c>
      <c r="F42" s="3">
        <v>780</v>
      </c>
    </row>
    <row r="43" spans="1:6" x14ac:dyDescent="0.3">
      <c r="A43" s="5" t="s">
        <v>190</v>
      </c>
      <c r="B43" s="5" t="s">
        <v>169</v>
      </c>
      <c r="C43" s="5" t="s">
        <v>191</v>
      </c>
      <c r="D43" s="5">
        <v>35</v>
      </c>
      <c r="E43" s="6">
        <v>125</v>
      </c>
      <c r="F43" s="6">
        <v>165</v>
      </c>
    </row>
    <row r="44" spans="1:6" x14ac:dyDescent="0.3">
      <c r="A44" s="2" t="s">
        <v>193</v>
      </c>
      <c r="B44" s="2" t="s">
        <v>169</v>
      </c>
      <c r="C44" s="2" t="s">
        <v>194</v>
      </c>
      <c r="D44" s="2">
        <v>62</v>
      </c>
      <c r="E44" s="3">
        <v>2000</v>
      </c>
      <c r="F44" s="3">
        <v>2550</v>
      </c>
    </row>
    <row r="45" spans="1:6" x14ac:dyDescent="0.3">
      <c r="A45" s="5" t="s">
        <v>198</v>
      </c>
      <c r="B45" s="5" t="s">
        <v>169</v>
      </c>
      <c r="C45" s="5" t="s">
        <v>199</v>
      </c>
      <c r="D45" s="5">
        <v>80</v>
      </c>
      <c r="E45" s="6">
        <v>430</v>
      </c>
      <c r="F45" s="6">
        <v>560</v>
      </c>
    </row>
    <row r="46" spans="1:6" x14ac:dyDescent="0.3">
      <c r="A46" s="2" t="s">
        <v>201</v>
      </c>
      <c r="B46" s="2" t="s">
        <v>169</v>
      </c>
      <c r="C46" s="2" t="s">
        <v>202</v>
      </c>
      <c r="D46" s="2">
        <v>30</v>
      </c>
      <c r="E46" s="3">
        <v>1900</v>
      </c>
      <c r="F46" s="3">
        <v>2450</v>
      </c>
    </row>
    <row r="47" spans="1:6" x14ac:dyDescent="0.3">
      <c r="A47" s="5" t="s">
        <v>206</v>
      </c>
      <c r="B47" s="5" t="s">
        <v>169</v>
      </c>
      <c r="C47" s="5" t="s">
        <v>207</v>
      </c>
      <c r="D47" s="5">
        <v>7</v>
      </c>
      <c r="E47" s="6">
        <v>1100</v>
      </c>
      <c r="F47" s="6">
        <v>1450</v>
      </c>
    </row>
    <row r="48" spans="1:6" x14ac:dyDescent="0.3">
      <c r="A48" s="2" t="s">
        <v>211</v>
      </c>
      <c r="B48" s="2" t="s">
        <v>169</v>
      </c>
      <c r="C48" s="2" t="s">
        <v>213</v>
      </c>
      <c r="D48" s="2">
        <v>104</v>
      </c>
      <c r="E48" s="3">
        <v>65</v>
      </c>
      <c r="F48" s="3">
        <v>95</v>
      </c>
    </row>
    <row r="49" spans="1:6" x14ac:dyDescent="0.3">
      <c r="A49" s="5" t="s">
        <v>215</v>
      </c>
      <c r="B49" s="5" t="s">
        <v>169</v>
      </c>
      <c r="C49" s="5" t="s">
        <v>216</v>
      </c>
      <c r="D49" s="5">
        <v>129</v>
      </c>
      <c r="E49" s="6">
        <v>70</v>
      </c>
      <c r="F49" s="6">
        <v>100</v>
      </c>
    </row>
    <row r="50" spans="1:6" x14ac:dyDescent="0.3">
      <c r="A50" s="2" t="s">
        <v>220</v>
      </c>
      <c r="B50" s="2" t="s">
        <v>169</v>
      </c>
      <c r="C50" s="2" t="s">
        <v>221</v>
      </c>
      <c r="D50" s="2">
        <v>77</v>
      </c>
      <c r="E50" s="3">
        <v>95</v>
      </c>
      <c r="F50" s="3">
        <v>135</v>
      </c>
    </row>
    <row r="51" spans="1:6" x14ac:dyDescent="0.3">
      <c r="A51" s="5" t="s">
        <v>223</v>
      </c>
      <c r="B51" s="5" t="s">
        <v>169</v>
      </c>
      <c r="C51" s="5" t="s">
        <v>224</v>
      </c>
      <c r="D51" s="5">
        <v>45</v>
      </c>
      <c r="E51" s="6">
        <v>75</v>
      </c>
      <c r="F51" s="6">
        <v>110</v>
      </c>
    </row>
    <row r="52" spans="1:6" x14ac:dyDescent="0.3">
      <c r="A52" s="2" t="s">
        <v>228</v>
      </c>
      <c r="B52" s="2" t="s">
        <v>169</v>
      </c>
      <c r="C52" s="2" t="s">
        <v>229</v>
      </c>
      <c r="D52" s="2">
        <v>134</v>
      </c>
      <c r="E52" s="3">
        <v>55</v>
      </c>
      <c r="F52" s="3">
        <v>80</v>
      </c>
    </row>
    <row r="53" spans="1:6" x14ac:dyDescent="0.3">
      <c r="A53" s="5" t="s">
        <v>231</v>
      </c>
      <c r="B53" s="5" t="s">
        <v>169</v>
      </c>
      <c r="C53" s="5" t="s">
        <v>232</v>
      </c>
      <c r="D53" s="5">
        <v>47</v>
      </c>
      <c r="E53" s="6">
        <v>65</v>
      </c>
      <c r="F53" s="6">
        <v>90</v>
      </c>
    </row>
    <row r="54" spans="1:6" x14ac:dyDescent="0.3">
      <c r="A54" s="2" t="s">
        <v>234</v>
      </c>
      <c r="B54" s="2" t="s">
        <v>169</v>
      </c>
      <c r="C54" s="2" t="s">
        <v>235</v>
      </c>
      <c r="D54" s="2">
        <v>120</v>
      </c>
      <c r="E54" s="3">
        <v>75</v>
      </c>
      <c r="F54" s="3">
        <v>105</v>
      </c>
    </row>
    <row r="55" spans="1:6" x14ac:dyDescent="0.3">
      <c r="A55" s="5" t="s">
        <v>237</v>
      </c>
      <c r="B55" s="5" t="s">
        <v>169</v>
      </c>
      <c r="C55" s="5" t="s">
        <v>238</v>
      </c>
      <c r="D55" s="5">
        <v>84</v>
      </c>
      <c r="E55" s="6">
        <v>50</v>
      </c>
      <c r="F55" s="6">
        <v>72</v>
      </c>
    </row>
    <row r="56" spans="1:6" x14ac:dyDescent="0.3">
      <c r="A56" s="2" t="s">
        <v>240</v>
      </c>
      <c r="B56" s="2" t="s">
        <v>169</v>
      </c>
      <c r="C56" s="2" t="s">
        <v>241</v>
      </c>
      <c r="D56" s="2">
        <v>131</v>
      </c>
      <c r="E56" s="3">
        <v>70</v>
      </c>
      <c r="F56" s="3">
        <v>100</v>
      </c>
    </row>
    <row r="57" spans="1:6" x14ac:dyDescent="0.3">
      <c r="A57" s="5" t="s">
        <v>243</v>
      </c>
      <c r="B57" s="5" t="s">
        <v>169</v>
      </c>
      <c r="C57" s="5" t="s">
        <v>244</v>
      </c>
      <c r="D57" s="5">
        <v>115</v>
      </c>
      <c r="E57" s="6">
        <v>58</v>
      </c>
      <c r="F57" s="6">
        <v>84</v>
      </c>
    </row>
    <row r="58" spans="1:6" x14ac:dyDescent="0.3">
      <c r="A58" s="2" t="s">
        <v>246</v>
      </c>
      <c r="B58" s="2" t="s">
        <v>169</v>
      </c>
      <c r="C58" s="2" t="s">
        <v>248</v>
      </c>
      <c r="D58" s="2">
        <v>85</v>
      </c>
      <c r="E58" s="3">
        <v>1350</v>
      </c>
      <c r="F58" s="3">
        <v>1750</v>
      </c>
    </row>
    <row r="59" spans="1:6" x14ac:dyDescent="0.3">
      <c r="A59" s="5" t="s">
        <v>252</v>
      </c>
      <c r="B59" s="5" t="s">
        <v>169</v>
      </c>
      <c r="C59" s="5" t="s">
        <v>253</v>
      </c>
      <c r="D59" s="5">
        <v>133</v>
      </c>
      <c r="E59" s="6">
        <v>580</v>
      </c>
      <c r="F59" s="6">
        <v>780</v>
      </c>
    </row>
    <row r="60" spans="1:6" x14ac:dyDescent="0.3">
      <c r="A60" s="2" t="s">
        <v>257</v>
      </c>
      <c r="B60" s="2" t="s">
        <v>169</v>
      </c>
      <c r="C60" s="2" t="s">
        <v>258</v>
      </c>
      <c r="D60" s="2">
        <v>86</v>
      </c>
      <c r="E60" s="3">
        <v>650</v>
      </c>
      <c r="F60" s="3">
        <v>870</v>
      </c>
    </row>
    <row r="61" spans="1:6" x14ac:dyDescent="0.3">
      <c r="A61" s="5" t="s">
        <v>262</v>
      </c>
      <c r="B61" s="5" t="s">
        <v>169</v>
      </c>
      <c r="C61" s="5" t="s">
        <v>263</v>
      </c>
      <c r="D61" s="5">
        <v>17</v>
      </c>
      <c r="E61" s="6">
        <v>350</v>
      </c>
      <c r="F61" s="6">
        <v>480</v>
      </c>
    </row>
    <row r="62" spans="1:6" x14ac:dyDescent="0.3">
      <c r="A62" s="2" t="s">
        <v>267</v>
      </c>
      <c r="B62" s="2" t="s">
        <v>169</v>
      </c>
      <c r="C62" s="2" t="s">
        <v>268</v>
      </c>
      <c r="D62" s="2">
        <v>5</v>
      </c>
      <c r="E62" s="3">
        <v>480</v>
      </c>
      <c r="F62" s="3">
        <v>630</v>
      </c>
    </row>
    <row r="63" spans="1:6" x14ac:dyDescent="0.3">
      <c r="A63" s="5" t="s">
        <v>271</v>
      </c>
      <c r="B63" s="5" t="s">
        <v>169</v>
      </c>
      <c r="C63" s="5" t="s">
        <v>272</v>
      </c>
      <c r="D63" s="5">
        <v>26</v>
      </c>
      <c r="E63" s="6">
        <v>120</v>
      </c>
      <c r="F63" s="6">
        <v>165</v>
      </c>
    </row>
    <row r="64" spans="1:6" x14ac:dyDescent="0.3">
      <c r="A64" s="2" t="s">
        <v>276</v>
      </c>
      <c r="B64" s="2" t="s">
        <v>169</v>
      </c>
      <c r="C64" s="2" t="s">
        <v>277</v>
      </c>
      <c r="D64" s="2">
        <v>121</v>
      </c>
      <c r="E64" s="3">
        <v>120</v>
      </c>
      <c r="F64" s="3">
        <v>165</v>
      </c>
    </row>
    <row r="65" spans="1:6" x14ac:dyDescent="0.3">
      <c r="A65" s="5" t="s">
        <v>281</v>
      </c>
      <c r="B65" s="5" t="s">
        <v>169</v>
      </c>
      <c r="C65" s="5" t="s">
        <v>282</v>
      </c>
      <c r="D65" s="5">
        <v>124</v>
      </c>
      <c r="E65" s="6">
        <v>150</v>
      </c>
      <c r="F65" s="6">
        <v>210</v>
      </c>
    </row>
    <row r="66" spans="1:6" x14ac:dyDescent="0.3">
      <c r="A66" s="2" t="s">
        <v>285</v>
      </c>
      <c r="B66" s="2" t="s">
        <v>169</v>
      </c>
      <c r="C66" s="2" t="s">
        <v>286</v>
      </c>
      <c r="D66" s="2">
        <v>66</v>
      </c>
      <c r="E66" s="3">
        <v>180</v>
      </c>
      <c r="F66" s="3">
        <v>240</v>
      </c>
    </row>
    <row r="67" spans="1:6" x14ac:dyDescent="0.3">
      <c r="A67" s="5" t="s">
        <v>290</v>
      </c>
      <c r="B67" s="5" t="s">
        <v>169</v>
      </c>
      <c r="C67" s="5" t="s">
        <v>291</v>
      </c>
      <c r="D67" s="5">
        <v>122</v>
      </c>
      <c r="E67" s="6">
        <v>250</v>
      </c>
      <c r="F67" s="6">
        <v>340</v>
      </c>
    </row>
    <row r="68" spans="1:6" x14ac:dyDescent="0.3">
      <c r="A68" s="2" t="s">
        <v>295</v>
      </c>
      <c r="B68" s="2" t="s">
        <v>169</v>
      </c>
      <c r="C68" s="2" t="s">
        <v>297</v>
      </c>
      <c r="D68" s="2">
        <v>64</v>
      </c>
      <c r="E68" s="3">
        <v>185</v>
      </c>
      <c r="F68" s="3">
        <v>245</v>
      </c>
    </row>
    <row r="69" spans="1:6" x14ac:dyDescent="0.3">
      <c r="A69" s="5" t="s">
        <v>299</v>
      </c>
      <c r="B69" s="5" t="s">
        <v>169</v>
      </c>
      <c r="C69" s="5" t="s">
        <v>300</v>
      </c>
      <c r="D69" s="5">
        <v>148</v>
      </c>
      <c r="E69" s="6">
        <v>1200</v>
      </c>
      <c r="F69" s="6">
        <v>1550</v>
      </c>
    </row>
    <row r="70" spans="1:6" x14ac:dyDescent="0.3">
      <c r="A70" s="2" t="s">
        <v>302</v>
      </c>
      <c r="B70" s="2" t="s">
        <v>169</v>
      </c>
      <c r="C70" s="2" t="s">
        <v>303</v>
      </c>
      <c r="D70" s="2">
        <v>65</v>
      </c>
      <c r="E70" s="3">
        <v>180</v>
      </c>
      <c r="F70" s="3">
        <v>240</v>
      </c>
    </row>
    <row r="71" spans="1:6" x14ac:dyDescent="0.3">
      <c r="A71" s="5" t="s">
        <v>307</v>
      </c>
      <c r="B71" s="5" t="s">
        <v>169</v>
      </c>
      <c r="C71" s="5" t="s">
        <v>308</v>
      </c>
      <c r="D71" s="5">
        <v>43</v>
      </c>
      <c r="E71" s="6">
        <v>280</v>
      </c>
      <c r="F71" s="6">
        <v>380</v>
      </c>
    </row>
    <row r="72" spans="1:6" x14ac:dyDescent="0.3">
      <c r="A72" s="2" t="s">
        <v>312</v>
      </c>
      <c r="B72" s="2" t="s">
        <v>169</v>
      </c>
      <c r="C72" s="2" t="s">
        <v>313</v>
      </c>
      <c r="D72" s="2">
        <v>47</v>
      </c>
      <c r="E72" s="3">
        <v>350</v>
      </c>
      <c r="F72" s="3">
        <v>480</v>
      </c>
    </row>
    <row r="73" spans="1:6" x14ac:dyDescent="0.3">
      <c r="A73" s="5" t="s">
        <v>317</v>
      </c>
      <c r="B73" s="5" t="s">
        <v>169</v>
      </c>
      <c r="C73" s="5" t="s">
        <v>318</v>
      </c>
      <c r="D73" s="5">
        <v>47</v>
      </c>
      <c r="E73" s="6">
        <v>680</v>
      </c>
      <c r="F73" s="6">
        <v>900</v>
      </c>
    </row>
    <row r="74" spans="1:6" x14ac:dyDescent="0.3">
      <c r="A74" s="2" t="s">
        <v>322</v>
      </c>
      <c r="B74" s="2" t="s">
        <v>169</v>
      </c>
      <c r="C74" s="2" t="s">
        <v>323</v>
      </c>
      <c r="D74" s="2">
        <v>131</v>
      </c>
      <c r="E74" s="3">
        <v>750</v>
      </c>
      <c r="F74" s="3">
        <v>980</v>
      </c>
    </row>
    <row r="75" spans="1:6" x14ac:dyDescent="0.3">
      <c r="A75" s="5" t="s">
        <v>325</v>
      </c>
      <c r="B75" s="5" t="s">
        <v>169</v>
      </c>
      <c r="C75" s="5" t="s">
        <v>326</v>
      </c>
      <c r="D75" s="5">
        <v>72</v>
      </c>
      <c r="E75" s="6">
        <v>280</v>
      </c>
      <c r="F75" s="6">
        <v>380</v>
      </c>
    </row>
    <row r="76" spans="1:6" x14ac:dyDescent="0.3">
      <c r="A76" s="2" t="s">
        <v>329</v>
      </c>
      <c r="B76" s="2" t="s">
        <v>330</v>
      </c>
      <c r="C76" s="2" t="s">
        <v>332</v>
      </c>
      <c r="D76" s="2">
        <v>107</v>
      </c>
      <c r="E76" s="3">
        <v>1200</v>
      </c>
      <c r="F76" s="3">
        <v>1800</v>
      </c>
    </row>
    <row r="77" spans="1:6" x14ac:dyDescent="0.3">
      <c r="A77" s="5" t="s">
        <v>335</v>
      </c>
      <c r="B77" s="5" t="s">
        <v>330</v>
      </c>
      <c r="C77" s="5" t="s">
        <v>336</v>
      </c>
      <c r="D77" s="5">
        <v>57</v>
      </c>
      <c r="E77" s="6">
        <v>1500</v>
      </c>
      <c r="F77" s="6">
        <v>2200</v>
      </c>
    </row>
    <row r="78" spans="1:6" x14ac:dyDescent="0.3">
      <c r="A78" s="2" t="s">
        <v>339</v>
      </c>
      <c r="B78" s="2" t="s">
        <v>330</v>
      </c>
      <c r="C78" s="2" t="s">
        <v>340</v>
      </c>
      <c r="D78" s="2">
        <v>54</v>
      </c>
      <c r="E78" s="3">
        <v>2500</v>
      </c>
      <c r="F78" s="3">
        <v>3800</v>
      </c>
    </row>
    <row r="79" spans="1:6" x14ac:dyDescent="0.3">
      <c r="A79" s="5" t="s">
        <v>343</v>
      </c>
      <c r="B79" s="5" t="s">
        <v>330</v>
      </c>
      <c r="C79" s="5" t="s">
        <v>344</v>
      </c>
      <c r="D79" s="5">
        <v>122</v>
      </c>
      <c r="E79" s="6">
        <v>1800</v>
      </c>
      <c r="F79" s="6">
        <v>2700</v>
      </c>
    </row>
    <row r="80" spans="1:6" x14ac:dyDescent="0.3">
      <c r="A80" s="2" t="s">
        <v>348</v>
      </c>
      <c r="B80" s="2" t="s">
        <v>330</v>
      </c>
      <c r="C80" s="2" t="s">
        <v>349</v>
      </c>
      <c r="D80" s="2">
        <v>94</v>
      </c>
      <c r="E80" s="3">
        <v>2200</v>
      </c>
      <c r="F80" s="3">
        <v>3200</v>
      </c>
    </row>
    <row r="81" spans="1:6" x14ac:dyDescent="0.3">
      <c r="A81" s="5" t="s">
        <v>353</v>
      </c>
      <c r="B81" s="5" t="s">
        <v>330</v>
      </c>
      <c r="C81" s="5" t="s">
        <v>354</v>
      </c>
      <c r="D81" s="5">
        <v>110</v>
      </c>
      <c r="E81" s="6">
        <v>1400</v>
      </c>
      <c r="F81" s="6">
        <v>2100</v>
      </c>
    </row>
    <row r="82" spans="1:6" x14ac:dyDescent="0.3">
      <c r="A82" s="2" t="s">
        <v>357</v>
      </c>
      <c r="B82" s="2" t="s">
        <v>330</v>
      </c>
      <c r="C82" s="2" t="s">
        <v>358</v>
      </c>
      <c r="D82" s="2">
        <v>76</v>
      </c>
      <c r="E82" s="3">
        <v>1400</v>
      </c>
      <c r="F82" s="3">
        <v>2100</v>
      </c>
    </row>
    <row r="83" spans="1:6" x14ac:dyDescent="0.3">
      <c r="A83" s="5" t="s">
        <v>360</v>
      </c>
      <c r="B83" s="5" t="s">
        <v>330</v>
      </c>
      <c r="C83" s="5" t="s">
        <v>361</v>
      </c>
      <c r="D83" s="5">
        <v>130</v>
      </c>
      <c r="E83" s="6">
        <v>1600</v>
      </c>
      <c r="F83" s="6">
        <v>2400</v>
      </c>
    </row>
    <row r="84" spans="1:6" x14ac:dyDescent="0.3">
      <c r="A84" s="2" t="s">
        <v>364</v>
      </c>
      <c r="B84" s="2" t="s">
        <v>330</v>
      </c>
      <c r="C84" s="2" t="s">
        <v>365</v>
      </c>
      <c r="D84" s="2">
        <v>97</v>
      </c>
      <c r="E84" s="3">
        <v>650</v>
      </c>
      <c r="F84" s="3">
        <v>1000</v>
      </c>
    </row>
    <row r="85" spans="1:6" x14ac:dyDescent="0.3">
      <c r="A85" s="5" t="s">
        <v>368</v>
      </c>
      <c r="B85" s="5" t="s">
        <v>330</v>
      </c>
      <c r="C85" s="5" t="s">
        <v>369</v>
      </c>
      <c r="D85" s="5">
        <v>97</v>
      </c>
      <c r="E85" s="6">
        <v>700</v>
      </c>
      <c r="F85" s="6">
        <v>1100</v>
      </c>
    </row>
    <row r="86" spans="1:6" x14ac:dyDescent="0.3">
      <c r="A86" s="2" t="s">
        <v>371</v>
      </c>
      <c r="B86" s="2" t="s">
        <v>330</v>
      </c>
      <c r="C86" s="2" t="s">
        <v>373</v>
      </c>
      <c r="D86" s="2">
        <v>77</v>
      </c>
      <c r="E86" s="3">
        <v>1800</v>
      </c>
      <c r="F86" s="3">
        <v>2800</v>
      </c>
    </row>
    <row r="87" spans="1:6" x14ac:dyDescent="0.3">
      <c r="A87" s="5" t="s">
        <v>375</v>
      </c>
      <c r="B87" s="5" t="s">
        <v>330</v>
      </c>
      <c r="C87" s="5" t="s">
        <v>376</v>
      </c>
      <c r="D87" s="5">
        <v>120</v>
      </c>
      <c r="E87" s="6">
        <v>4500</v>
      </c>
      <c r="F87" s="6">
        <v>6800</v>
      </c>
    </row>
    <row r="88" spans="1:6" x14ac:dyDescent="0.3">
      <c r="A88" s="2" t="s">
        <v>378</v>
      </c>
      <c r="B88" s="2" t="s">
        <v>330</v>
      </c>
      <c r="C88" s="2" t="s">
        <v>379</v>
      </c>
      <c r="D88" s="2">
        <v>95</v>
      </c>
      <c r="E88" s="3">
        <v>2200</v>
      </c>
      <c r="F88" s="3">
        <v>3400</v>
      </c>
    </row>
    <row r="89" spans="1:6" x14ac:dyDescent="0.3">
      <c r="A89" s="5" t="s">
        <v>381</v>
      </c>
      <c r="B89" s="5" t="s">
        <v>330</v>
      </c>
      <c r="C89" s="5" t="s">
        <v>382</v>
      </c>
      <c r="D89" s="5">
        <v>79</v>
      </c>
      <c r="E89" s="6">
        <v>3200</v>
      </c>
      <c r="F89" s="6">
        <v>5000</v>
      </c>
    </row>
    <row r="90" spans="1:6" x14ac:dyDescent="0.3">
      <c r="A90" s="2" t="s">
        <v>385</v>
      </c>
      <c r="B90" s="2" t="s">
        <v>330</v>
      </c>
      <c r="C90" s="2" t="s">
        <v>386</v>
      </c>
      <c r="D90" s="2">
        <v>132</v>
      </c>
      <c r="E90" s="3">
        <v>2800</v>
      </c>
      <c r="F90" s="3">
        <v>4200</v>
      </c>
    </row>
    <row r="91" spans="1:6" x14ac:dyDescent="0.3">
      <c r="A91" s="5" t="s">
        <v>390</v>
      </c>
      <c r="B91" s="5" t="s">
        <v>330</v>
      </c>
      <c r="C91" s="5" t="s">
        <v>391</v>
      </c>
      <c r="D91" s="5">
        <v>35</v>
      </c>
      <c r="E91" s="6">
        <v>1500</v>
      </c>
      <c r="F91" s="6">
        <v>2300</v>
      </c>
    </row>
    <row r="92" spans="1:6" x14ac:dyDescent="0.3">
      <c r="A92" s="2" t="s">
        <v>394</v>
      </c>
      <c r="B92" s="2" t="s">
        <v>330</v>
      </c>
      <c r="C92" s="2" t="s">
        <v>395</v>
      </c>
      <c r="D92" s="2">
        <v>40</v>
      </c>
      <c r="E92" s="3">
        <v>800</v>
      </c>
      <c r="F92" s="3">
        <v>1250</v>
      </c>
    </row>
    <row r="93" spans="1:6" x14ac:dyDescent="0.3">
      <c r="A93" s="5" t="s">
        <v>398</v>
      </c>
      <c r="B93" s="5" t="s">
        <v>330</v>
      </c>
      <c r="C93" s="5" t="s">
        <v>399</v>
      </c>
      <c r="D93" s="5">
        <v>75</v>
      </c>
      <c r="E93" s="6">
        <v>1500</v>
      </c>
      <c r="F93" s="6">
        <v>2400</v>
      </c>
    </row>
    <row r="94" spans="1:6" x14ac:dyDescent="0.3">
      <c r="A94" s="2" t="s">
        <v>401</v>
      </c>
      <c r="B94" s="2" t="s">
        <v>330</v>
      </c>
      <c r="C94" s="2" t="s">
        <v>402</v>
      </c>
      <c r="D94" s="2">
        <v>135</v>
      </c>
      <c r="E94" s="3">
        <v>1800</v>
      </c>
      <c r="F94" s="3">
        <v>2700</v>
      </c>
    </row>
    <row r="95" spans="1:6" x14ac:dyDescent="0.3">
      <c r="A95" s="5" t="s">
        <v>405</v>
      </c>
      <c r="B95" s="5" t="s">
        <v>330</v>
      </c>
      <c r="C95" s="5" t="s">
        <v>406</v>
      </c>
      <c r="D95" s="5">
        <v>82</v>
      </c>
      <c r="E95" s="6">
        <v>500</v>
      </c>
      <c r="F95" s="6">
        <v>800</v>
      </c>
    </row>
    <row r="96" spans="1:6" x14ac:dyDescent="0.3">
      <c r="A96" s="2" t="s">
        <v>408</v>
      </c>
      <c r="B96" s="2" t="s">
        <v>330</v>
      </c>
      <c r="C96" s="2" t="s">
        <v>410</v>
      </c>
      <c r="D96" s="2">
        <v>5</v>
      </c>
      <c r="E96" s="3">
        <v>3500</v>
      </c>
      <c r="F96" s="3">
        <v>5200</v>
      </c>
    </row>
    <row r="97" spans="1:6" x14ac:dyDescent="0.3">
      <c r="A97" s="5" t="s">
        <v>414</v>
      </c>
      <c r="B97" s="5" t="s">
        <v>330</v>
      </c>
      <c r="C97" s="5" t="s">
        <v>415</v>
      </c>
      <c r="D97" s="5">
        <v>48</v>
      </c>
      <c r="E97" s="6">
        <v>2800</v>
      </c>
      <c r="F97" s="6">
        <v>4200</v>
      </c>
    </row>
    <row r="98" spans="1:6" x14ac:dyDescent="0.3">
      <c r="A98" s="2" t="s">
        <v>417</v>
      </c>
      <c r="B98" s="2" t="s">
        <v>330</v>
      </c>
      <c r="C98" s="2" t="s">
        <v>418</v>
      </c>
      <c r="D98" s="2">
        <v>30</v>
      </c>
      <c r="E98" s="3">
        <v>1200</v>
      </c>
      <c r="F98" s="3">
        <v>1900</v>
      </c>
    </row>
    <row r="99" spans="1:6" x14ac:dyDescent="0.3">
      <c r="A99" s="5" t="s">
        <v>421</v>
      </c>
      <c r="B99" s="5" t="s">
        <v>330</v>
      </c>
      <c r="C99" s="5" t="s">
        <v>422</v>
      </c>
      <c r="D99" s="5">
        <v>85</v>
      </c>
      <c r="E99" s="6">
        <v>1500</v>
      </c>
      <c r="F99" s="6">
        <v>2300</v>
      </c>
    </row>
    <row r="100" spans="1:6" x14ac:dyDescent="0.3">
      <c r="A100" s="2" t="s">
        <v>424</v>
      </c>
      <c r="B100" s="2" t="s">
        <v>330</v>
      </c>
      <c r="C100" s="2" t="s">
        <v>425</v>
      </c>
      <c r="D100" s="2">
        <v>143</v>
      </c>
      <c r="E100" s="3">
        <v>3800</v>
      </c>
      <c r="F100" s="3">
        <v>6000</v>
      </c>
    </row>
    <row r="101" spans="1:6" x14ac:dyDescent="0.3">
      <c r="A101" s="5" t="s">
        <v>429</v>
      </c>
      <c r="B101" s="5" t="s">
        <v>330</v>
      </c>
      <c r="C101" s="5" t="s">
        <v>430</v>
      </c>
      <c r="D101" s="5">
        <v>8</v>
      </c>
      <c r="E101" s="6">
        <v>2200</v>
      </c>
      <c r="F101" s="6">
        <v>3400</v>
      </c>
    </row>
    <row r="102" spans="1:6" x14ac:dyDescent="0.3">
      <c r="A102" s="2" t="s">
        <v>433</v>
      </c>
      <c r="B102" s="2" t="s">
        <v>330</v>
      </c>
      <c r="C102" s="2" t="s">
        <v>434</v>
      </c>
      <c r="D102" s="2">
        <v>148</v>
      </c>
      <c r="E102" s="3">
        <v>1800</v>
      </c>
      <c r="F102" s="3">
        <v>2800</v>
      </c>
    </row>
    <row r="103" spans="1:6" x14ac:dyDescent="0.3">
      <c r="A103" s="5" t="s">
        <v>438</v>
      </c>
      <c r="B103" s="5" t="s">
        <v>330</v>
      </c>
      <c r="C103" s="5" t="s">
        <v>439</v>
      </c>
      <c r="D103" s="5">
        <v>141</v>
      </c>
      <c r="E103" s="6">
        <v>4200</v>
      </c>
      <c r="F103" s="6">
        <v>6500</v>
      </c>
    </row>
    <row r="104" spans="1:6" x14ac:dyDescent="0.3">
      <c r="A104" s="2" t="s">
        <v>442</v>
      </c>
      <c r="B104" s="2" t="s">
        <v>330</v>
      </c>
      <c r="C104" s="2" t="s">
        <v>444</v>
      </c>
      <c r="D104" s="2">
        <v>64</v>
      </c>
      <c r="E104" s="3">
        <v>250</v>
      </c>
      <c r="F104" s="3">
        <v>380</v>
      </c>
    </row>
    <row r="105" spans="1:6" x14ac:dyDescent="0.3">
      <c r="A105" s="5" t="s">
        <v>446</v>
      </c>
      <c r="B105" s="5" t="s">
        <v>330</v>
      </c>
      <c r="C105" s="5" t="s">
        <v>447</v>
      </c>
      <c r="D105" s="5">
        <v>100</v>
      </c>
      <c r="E105" s="6">
        <v>350</v>
      </c>
      <c r="F105" s="6">
        <v>520</v>
      </c>
    </row>
    <row r="106" spans="1:6" x14ac:dyDescent="0.3">
      <c r="A106" s="2" t="s">
        <v>449</v>
      </c>
      <c r="B106" s="2" t="s">
        <v>330</v>
      </c>
      <c r="C106" s="2" t="s">
        <v>450</v>
      </c>
      <c r="D106" s="2">
        <v>136</v>
      </c>
      <c r="E106" s="3">
        <v>200</v>
      </c>
      <c r="F106" s="3">
        <v>310</v>
      </c>
    </row>
    <row r="107" spans="1:6" x14ac:dyDescent="0.3">
      <c r="A107" s="5" t="s">
        <v>452</v>
      </c>
      <c r="B107" s="5" t="s">
        <v>330</v>
      </c>
      <c r="C107" s="5" t="s">
        <v>453</v>
      </c>
      <c r="D107" s="5">
        <v>9</v>
      </c>
      <c r="E107" s="6">
        <v>700</v>
      </c>
      <c r="F107" s="6">
        <v>1050</v>
      </c>
    </row>
    <row r="108" spans="1:6" x14ac:dyDescent="0.3">
      <c r="A108" s="2" t="s">
        <v>455</v>
      </c>
      <c r="B108" s="2" t="s">
        <v>330</v>
      </c>
      <c r="C108" s="2" t="s">
        <v>456</v>
      </c>
      <c r="D108" s="2">
        <v>113</v>
      </c>
      <c r="E108" s="3">
        <v>1200</v>
      </c>
      <c r="F108" s="3">
        <v>1900</v>
      </c>
    </row>
    <row r="109" spans="1:6" x14ac:dyDescent="0.3">
      <c r="A109" s="5" t="s">
        <v>459</v>
      </c>
      <c r="B109" s="5" t="s">
        <v>330</v>
      </c>
      <c r="C109" s="5" t="s">
        <v>460</v>
      </c>
      <c r="D109" s="5">
        <v>1</v>
      </c>
      <c r="E109" s="6">
        <v>600</v>
      </c>
      <c r="F109" s="6">
        <v>950</v>
      </c>
    </row>
    <row r="110" spans="1:6" x14ac:dyDescent="0.3">
      <c r="A110" s="2" t="s">
        <v>462</v>
      </c>
      <c r="B110" s="2" t="s">
        <v>330</v>
      </c>
      <c r="C110" s="2" t="s">
        <v>463</v>
      </c>
      <c r="D110" s="2">
        <v>36</v>
      </c>
      <c r="E110" s="3">
        <v>400</v>
      </c>
      <c r="F110" s="3">
        <v>650</v>
      </c>
    </row>
    <row r="111" spans="1:6" x14ac:dyDescent="0.3">
      <c r="A111" s="5" t="s">
        <v>465</v>
      </c>
      <c r="B111" s="5" t="s">
        <v>330</v>
      </c>
      <c r="C111" s="5" t="s">
        <v>466</v>
      </c>
      <c r="D111" s="5">
        <v>127</v>
      </c>
      <c r="E111" s="6">
        <v>550</v>
      </c>
      <c r="F111" s="6">
        <v>900</v>
      </c>
    </row>
    <row r="112" spans="1:6" x14ac:dyDescent="0.3">
      <c r="A112" s="2" t="s">
        <v>468</v>
      </c>
      <c r="B112" s="2" t="s">
        <v>469</v>
      </c>
      <c r="C112" s="2" t="s">
        <v>471</v>
      </c>
      <c r="D112" s="2">
        <v>95</v>
      </c>
      <c r="E112" s="3">
        <v>850</v>
      </c>
      <c r="F112" s="3">
        <v>1050</v>
      </c>
    </row>
    <row r="113" spans="1:6" x14ac:dyDescent="0.3">
      <c r="A113" s="5" t="s">
        <v>475</v>
      </c>
      <c r="B113" s="5" t="s">
        <v>469</v>
      </c>
      <c r="C113" s="5" t="s">
        <v>476</v>
      </c>
      <c r="D113" s="5">
        <v>67</v>
      </c>
      <c r="E113" s="6">
        <v>840</v>
      </c>
      <c r="F113" s="6">
        <v>1040</v>
      </c>
    </row>
    <row r="114" spans="1:6" x14ac:dyDescent="0.3">
      <c r="A114" s="2" t="s">
        <v>480</v>
      </c>
      <c r="B114" s="2" t="s">
        <v>469</v>
      </c>
      <c r="C114" s="2" t="s">
        <v>481</v>
      </c>
      <c r="D114" s="2">
        <v>112</v>
      </c>
      <c r="E114" s="3">
        <v>845</v>
      </c>
      <c r="F114" s="3">
        <v>1045</v>
      </c>
    </row>
    <row r="115" spans="1:6" x14ac:dyDescent="0.3">
      <c r="A115" s="5" t="s">
        <v>484</v>
      </c>
      <c r="B115" s="5" t="s">
        <v>469</v>
      </c>
      <c r="C115" s="5" t="s">
        <v>485</v>
      </c>
      <c r="D115" s="5">
        <v>132</v>
      </c>
      <c r="E115" s="6">
        <v>14000</v>
      </c>
      <c r="F115" s="6">
        <v>18000</v>
      </c>
    </row>
    <row r="116" spans="1:6" x14ac:dyDescent="0.3">
      <c r="A116" s="2" t="s">
        <v>489</v>
      </c>
      <c r="B116" s="2" t="s">
        <v>469</v>
      </c>
      <c r="C116" s="2" t="s">
        <v>490</v>
      </c>
      <c r="D116" s="2">
        <v>35</v>
      </c>
      <c r="E116" s="3">
        <v>55</v>
      </c>
      <c r="F116" s="3">
        <v>80</v>
      </c>
    </row>
    <row r="117" spans="1:6" x14ac:dyDescent="0.3">
      <c r="A117" s="5" t="s">
        <v>493</v>
      </c>
      <c r="B117" s="5" t="s">
        <v>469</v>
      </c>
      <c r="C117" s="5" t="s">
        <v>494</v>
      </c>
      <c r="D117" s="5">
        <v>34</v>
      </c>
      <c r="E117" s="6">
        <v>180</v>
      </c>
      <c r="F117" s="6">
        <v>250</v>
      </c>
    </row>
    <row r="118" spans="1:6" x14ac:dyDescent="0.3">
      <c r="A118" s="2" t="s">
        <v>497</v>
      </c>
      <c r="B118" s="2" t="s">
        <v>469</v>
      </c>
      <c r="C118" s="2" t="s">
        <v>498</v>
      </c>
      <c r="D118" s="2">
        <v>99</v>
      </c>
      <c r="E118" s="3">
        <v>200</v>
      </c>
      <c r="F118" s="3">
        <v>280</v>
      </c>
    </row>
    <row r="119" spans="1:6" x14ac:dyDescent="0.3">
      <c r="A119" s="5" t="s">
        <v>500</v>
      </c>
      <c r="B119" s="5" t="s">
        <v>469</v>
      </c>
      <c r="C119" s="5" t="s">
        <v>501</v>
      </c>
      <c r="D119" s="5">
        <v>135</v>
      </c>
      <c r="E119" s="6">
        <v>260</v>
      </c>
      <c r="F119" s="6">
        <v>320</v>
      </c>
    </row>
    <row r="120" spans="1:6" x14ac:dyDescent="0.3">
      <c r="A120" s="2" t="s">
        <v>505</v>
      </c>
      <c r="B120" s="2" t="s">
        <v>469</v>
      </c>
      <c r="C120" s="2" t="s">
        <v>507</v>
      </c>
      <c r="D120" s="2">
        <v>18</v>
      </c>
      <c r="E120" s="3">
        <v>3800</v>
      </c>
      <c r="F120" s="3">
        <v>5000</v>
      </c>
    </row>
    <row r="121" spans="1:6" x14ac:dyDescent="0.3">
      <c r="A121" s="5" t="s">
        <v>511</v>
      </c>
      <c r="B121" s="5" t="s">
        <v>469</v>
      </c>
      <c r="C121" s="5" t="s">
        <v>512</v>
      </c>
      <c r="D121" s="5">
        <v>85</v>
      </c>
      <c r="E121" s="6">
        <v>2800</v>
      </c>
      <c r="F121" s="6">
        <v>3800</v>
      </c>
    </row>
    <row r="122" spans="1:6" x14ac:dyDescent="0.3">
      <c r="A122" s="2" t="s">
        <v>514</v>
      </c>
      <c r="B122" s="2" t="s">
        <v>469</v>
      </c>
      <c r="C122" s="2" t="s">
        <v>515</v>
      </c>
      <c r="D122" s="2">
        <v>6</v>
      </c>
      <c r="E122" s="3">
        <v>3600</v>
      </c>
      <c r="F122" s="3">
        <v>4800</v>
      </c>
    </row>
    <row r="123" spans="1:6" x14ac:dyDescent="0.3">
      <c r="A123" s="5" t="s">
        <v>519</v>
      </c>
      <c r="B123" s="5" t="s">
        <v>469</v>
      </c>
      <c r="C123" s="5" t="s">
        <v>520</v>
      </c>
      <c r="D123" s="5">
        <v>49</v>
      </c>
      <c r="E123" s="6">
        <v>3200</v>
      </c>
      <c r="F123" s="6">
        <v>4400</v>
      </c>
    </row>
    <row r="124" spans="1:6" x14ac:dyDescent="0.3">
      <c r="A124" s="2" t="s">
        <v>524</v>
      </c>
      <c r="B124" s="2" t="s">
        <v>469</v>
      </c>
      <c r="C124" s="2" t="s">
        <v>525</v>
      </c>
      <c r="D124" s="2">
        <v>104</v>
      </c>
      <c r="E124" s="3">
        <v>1200</v>
      </c>
      <c r="F124" s="3">
        <v>1600</v>
      </c>
    </row>
    <row r="125" spans="1:6" x14ac:dyDescent="0.3">
      <c r="A125" s="5" t="s">
        <v>529</v>
      </c>
      <c r="B125" s="5" t="s">
        <v>469</v>
      </c>
      <c r="C125" s="5" t="s">
        <v>530</v>
      </c>
      <c r="D125" s="5">
        <v>147</v>
      </c>
      <c r="E125" s="6">
        <v>1500</v>
      </c>
      <c r="F125" s="6">
        <v>2100</v>
      </c>
    </row>
    <row r="126" spans="1:6" x14ac:dyDescent="0.3">
      <c r="A126" s="2" t="s">
        <v>533</v>
      </c>
      <c r="B126" s="2" t="s">
        <v>469</v>
      </c>
      <c r="C126" s="2" t="s">
        <v>534</v>
      </c>
      <c r="D126" s="2">
        <v>121</v>
      </c>
      <c r="E126" s="3">
        <v>750</v>
      </c>
      <c r="F126" s="3">
        <v>1050</v>
      </c>
    </row>
    <row r="127" spans="1:6" x14ac:dyDescent="0.3">
      <c r="A127" s="5" t="s">
        <v>536</v>
      </c>
      <c r="B127" s="5" t="s">
        <v>469</v>
      </c>
      <c r="C127" s="5" t="s">
        <v>538</v>
      </c>
      <c r="D127" s="5">
        <v>0</v>
      </c>
      <c r="E127" s="6">
        <v>180</v>
      </c>
      <c r="F127" s="6">
        <v>250</v>
      </c>
    </row>
    <row r="128" spans="1:6" x14ac:dyDescent="0.3">
      <c r="A128" s="2" t="s">
        <v>542</v>
      </c>
      <c r="B128" s="2" t="s">
        <v>469</v>
      </c>
      <c r="C128" s="2" t="s">
        <v>543</v>
      </c>
      <c r="D128" s="2">
        <v>36</v>
      </c>
      <c r="E128" s="3">
        <v>250</v>
      </c>
      <c r="F128" s="3">
        <v>340</v>
      </c>
    </row>
    <row r="129" spans="1:6" x14ac:dyDescent="0.3">
      <c r="A129" s="5" t="s">
        <v>545</v>
      </c>
      <c r="B129" s="5" t="s">
        <v>469</v>
      </c>
      <c r="C129" s="5" t="s">
        <v>546</v>
      </c>
      <c r="D129" s="5">
        <v>108</v>
      </c>
      <c r="E129" s="6">
        <v>220</v>
      </c>
      <c r="F129" s="6">
        <v>320</v>
      </c>
    </row>
    <row r="130" spans="1:6" x14ac:dyDescent="0.3">
      <c r="A130" s="2" t="s">
        <v>548</v>
      </c>
      <c r="B130" s="2" t="s">
        <v>469</v>
      </c>
      <c r="C130" s="2" t="s">
        <v>549</v>
      </c>
      <c r="D130" s="2">
        <v>16</v>
      </c>
      <c r="E130" s="3">
        <v>12000</v>
      </c>
      <c r="F130" s="3">
        <v>16000</v>
      </c>
    </row>
    <row r="131" spans="1:6" x14ac:dyDescent="0.3">
      <c r="A131" s="5" t="s">
        <v>553</v>
      </c>
      <c r="B131" s="5" t="s">
        <v>469</v>
      </c>
      <c r="C131" s="5" t="s">
        <v>554</v>
      </c>
      <c r="D131" s="5">
        <v>97</v>
      </c>
      <c r="E131" s="6">
        <v>45</v>
      </c>
      <c r="F131" s="6">
        <v>65</v>
      </c>
    </row>
    <row r="132" spans="1:6" x14ac:dyDescent="0.3">
      <c r="A132" s="2" t="s">
        <v>558</v>
      </c>
      <c r="B132" s="2" t="s">
        <v>469</v>
      </c>
      <c r="C132" s="2" t="s">
        <v>559</v>
      </c>
      <c r="D132" s="2">
        <v>63</v>
      </c>
      <c r="E132" s="3">
        <v>65</v>
      </c>
      <c r="F132" s="3">
        <v>95</v>
      </c>
    </row>
    <row r="133" spans="1:6" x14ac:dyDescent="0.3">
      <c r="A133" s="5" t="s">
        <v>561</v>
      </c>
      <c r="B133" s="5" t="s">
        <v>469</v>
      </c>
      <c r="C133" s="5" t="s">
        <v>562</v>
      </c>
      <c r="D133" s="5">
        <v>74</v>
      </c>
      <c r="E133" s="6">
        <v>450</v>
      </c>
      <c r="F133" s="6">
        <v>650</v>
      </c>
    </row>
    <row r="134" spans="1:6" x14ac:dyDescent="0.3">
      <c r="A134" s="2" t="s">
        <v>564</v>
      </c>
      <c r="B134" s="2" t="s">
        <v>469</v>
      </c>
      <c r="C134" s="2" t="s">
        <v>565</v>
      </c>
      <c r="D134" s="2">
        <v>76</v>
      </c>
      <c r="E134" s="3">
        <v>180</v>
      </c>
      <c r="F134" s="3">
        <v>280</v>
      </c>
    </row>
    <row r="135" spans="1:6" x14ac:dyDescent="0.3">
      <c r="A135" s="5" t="s">
        <v>569</v>
      </c>
      <c r="B135" s="5" t="s">
        <v>469</v>
      </c>
      <c r="C135" s="5" t="s">
        <v>570</v>
      </c>
      <c r="D135" s="5">
        <v>3</v>
      </c>
      <c r="E135" s="6">
        <v>120</v>
      </c>
      <c r="F135" s="6">
        <v>190</v>
      </c>
    </row>
    <row r="136" spans="1:6" x14ac:dyDescent="0.3">
      <c r="A136" s="2" t="s">
        <v>572</v>
      </c>
      <c r="B136" s="2" t="s">
        <v>469</v>
      </c>
      <c r="C136" s="2" t="s">
        <v>573</v>
      </c>
      <c r="D136" s="2">
        <v>80</v>
      </c>
      <c r="E136" s="3">
        <v>3200</v>
      </c>
      <c r="F136" s="3">
        <v>4500</v>
      </c>
    </row>
    <row r="137" spans="1:6" x14ac:dyDescent="0.3">
      <c r="A137" s="5" t="s">
        <v>577</v>
      </c>
      <c r="B137" s="5" t="s">
        <v>469</v>
      </c>
      <c r="C137" s="5" t="s">
        <v>579</v>
      </c>
      <c r="D137" s="5">
        <v>87</v>
      </c>
      <c r="E137" s="6">
        <v>850</v>
      </c>
      <c r="F137" s="6">
        <v>1200</v>
      </c>
    </row>
    <row r="138" spans="1:6" x14ac:dyDescent="0.3">
      <c r="A138" s="2" t="s">
        <v>583</v>
      </c>
      <c r="B138" s="2" t="s">
        <v>469</v>
      </c>
      <c r="C138" s="2" t="s">
        <v>584</v>
      </c>
      <c r="D138" s="2">
        <v>0</v>
      </c>
      <c r="E138" s="3">
        <v>4500</v>
      </c>
      <c r="F138" s="3">
        <v>6200</v>
      </c>
    </row>
    <row r="139" spans="1:6" x14ac:dyDescent="0.3">
      <c r="A139" s="5" t="s">
        <v>588</v>
      </c>
      <c r="B139" s="5" t="s">
        <v>469</v>
      </c>
      <c r="C139" s="5" t="s">
        <v>589</v>
      </c>
      <c r="D139" s="5">
        <v>122</v>
      </c>
      <c r="E139" s="6">
        <v>350</v>
      </c>
      <c r="F139" s="6">
        <v>520</v>
      </c>
    </row>
    <row r="140" spans="1:6" x14ac:dyDescent="0.3">
      <c r="A140" s="2" t="s">
        <v>591</v>
      </c>
      <c r="B140" s="2" t="s">
        <v>469</v>
      </c>
      <c r="C140" s="2" t="s">
        <v>592</v>
      </c>
      <c r="D140" s="2">
        <v>114</v>
      </c>
      <c r="E140" s="3">
        <v>450</v>
      </c>
      <c r="F140" s="3">
        <v>680</v>
      </c>
    </row>
    <row r="141" spans="1:6" x14ac:dyDescent="0.3">
      <c r="A141" s="5" t="s">
        <v>594</v>
      </c>
      <c r="B141" s="5" t="s">
        <v>469</v>
      </c>
      <c r="C141" s="5" t="s">
        <v>595</v>
      </c>
      <c r="D141" s="5">
        <v>25</v>
      </c>
      <c r="E141" s="6">
        <v>1800</v>
      </c>
      <c r="F141" s="6">
        <v>2600</v>
      </c>
    </row>
    <row r="142" spans="1:6" x14ac:dyDescent="0.3">
      <c r="A142" s="2" t="s">
        <v>597</v>
      </c>
      <c r="B142" s="2" t="s">
        <v>469</v>
      </c>
      <c r="C142" s="2" t="s">
        <v>598</v>
      </c>
      <c r="D142" s="2">
        <v>91</v>
      </c>
      <c r="E142" s="3">
        <v>600</v>
      </c>
      <c r="F142" s="3">
        <v>900</v>
      </c>
    </row>
    <row r="143" spans="1:6" x14ac:dyDescent="0.3">
      <c r="A143" s="5" t="s">
        <v>600</v>
      </c>
      <c r="B143" s="5" t="s">
        <v>469</v>
      </c>
      <c r="C143" s="5" t="s">
        <v>601</v>
      </c>
      <c r="D143" s="5">
        <v>125</v>
      </c>
      <c r="E143" s="6">
        <v>280</v>
      </c>
      <c r="F143" s="6">
        <v>420</v>
      </c>
    </row>
    <row r="144" spans="1:6" x14ac:dyDescent="0.3">
      <c r="A144" s="2" t="s">
        <v>605</v>
      </c>
      <c r="B144" s="2" t="s">
        <v>469</v>
      </c>
      <c r="C144" s="2" t="s">
        <v>606</v>
      </c>
      <c r="D144" s="2">
        <v>122</v>
      </c>
      <c r="E144" s="3">
        <v>450</v>
      </c>
      <c r="F144" s="3">
        <v>680</v>
      </c>
    </row>
    <row r="145" spans="1:6" x14ac:dyDescent="0.3">
      <c r="A145" s="5" t="s">
        <v>608</v>
      </c>
      <c r="B145" s="5" t="s">
        <v>609</v>
      </c>
      <c r="C145" s="5" t="s">
        <v>611</v>
      </c>
      <c r="D145" s="5">
        <v>146</v>
      </c>
      <c r="E145" s="6">
        <v>85</v>
      </c>
      <c r="F145" s="6">
        <v>120</v>
      </c>
    </row>
    <row r="146" spans="1:6" x14ac:dyDescent="0.3">
      <c r="A146" s="2" t="s">
        <v>615</v>
      </c>
      <c r="B146" s="2" t="s">
        <v>609</v>
      </c>
      <c r="C146" s="2" t="s">
        <v>616</v>
      </c>
      <c r="D146" s="2">
        <v>45</v>
      </c>
      <c r="E146" s="3">
        <v>70</v>
      </c>
      <c r="F146" s="3">
        <v>100</v>
      </c>
    </row>
    <row r="147" spans="1:6" x14ac:dyDescent="0.3">
      <c r="A147" s="5" t="s">
        <v>618</v>
      </c>
      <c r="B147" s="5" t="s">
        <v>609</v>
      </c>
      <c r="C147" s="5" t="s">
        <v>619</v>
      </c>
      <c r="D147" s="5">
        <v>30</v>
      </c>
      <c r="E147" s="6">
        <v>95</v>
      </c>
      <c r="F147" s="6">
        <v>135</v>
      </c>
    </row>
    <row r="148" spans="1:6" x14ac:dyDescent="0.3">
      <c r="A148" s="2" t="s">
        <v>623</v>
      </c>
      <c r="B148" s="2" t="s">
        <v>609</v>
      </c>
      <c r="C148" s="2" t="s">
        <v>624</v>
      </c>
      <c r="D148" s="2">
        <v>62</v>
      </c>
      <c r="E148" s="3">
        <v>45</v>
      </c>
      <c r="F148" s="3">
        <v>70</v>
      </c>
    </row>
    <row r="149" spans="1:6" x14ac:dyDescent="0.3">
      <c r="A149" s="5" t="s">
        <v>628</v>
      </c>
      <c r="B149" s="5" t="s">
        <v>609</v>
      </c>
      <c r="C149" s="5" t="s">
        <v>629</v>
      </c>
      <c r="D149" s="5">
        <v>85</v>
      </c>
      <c r="E149" s="6">
        <v>120</v>
      </c>
      <c r="F149" s="6">
        <v>175</v>
      </c>
    </row>
    <row r="150" spans="1:6" x14ac:dyDescent="0.3">
      <c r="A150" s="2" t="s">
        <v>633</v>
      </c>
      <c r="B150" s="2" t="s">
        <v>609</v>
      </c>
      <c r="C150" s="2" t="s">
        <v>634</v>
      </c>
      <c r="D150" s="2">
        <v>123</v>
      </c>
      <c r="E150" s="3">
        <v>350</v>
      </c>
      <c r="F150" s="3">
        <v>520</v>
      </c>
    </row>
    <row r="151" spans="1:6" x14ac:dyDescent="0.3">
      <c r="A151" s="5" t="s">
        <v>637</v>
      </c>
      <c r="B151" s="5" t="s">
        <v>609</v>
      </c>
      <c r="C151" s="5" t="s">
        <v>638</v>
      </c>
      <c r="D151" s="5">
        <v>99</v>
      </c>
      <c r="E151" s="6">
        <v>180</v>
      </c>
      <c r="F151" s="6">
        <v>260</v>
      </c>
    </row>
    <row r="152" spans="1:6" x14ac:dyDescent="0.3">
      <c r="A152" s="2" t="s">
        <v>642</v>
      </c>
      <c r="B152" s="2" t="s">
        <v>609</v>
      </c>
      <c r="C152" s="2" t="s">
        <v>643</v>
      </c>
      <c r="D152" s="2">
        <v>27</v>
      </c>
      <c r="E152" s="3">
        <v>145</v>
      </c>
      <c r="F152" s="3">
        <v>210</v>
      </c>
    </row>
    <row r="153" spans="1:6" x14ac:dyDescent="0.3">
      <c r="A153" s="5" t="s">
        <v>646</v>
      </c>
      <c r="B153" s="5" t="s">
        <v>609</v>
      </c>
      <c r="C153" s="5" t="s">
        <v>647</v>
      </c>
      <c r="D153" s="5">
        <v>49</v>
      </c>
      <c r="E153" s="6">
        <v>165</v>
      </c>
      <c r="F153" s="6">
        <v>240</v>
      </c>
    </row>
    <row r="154" spans="1:6" x14ac:dyDescent="0.3">
      <c r="A154" s="2" t="s">
        <v>650</v>
      </c>
      <c r="B154" s="2" t="s">
        <v>609</v>
      </c>
      <c r="C154" s="2" t="s">
        <v>651</v>
      </c>
      <c r="D154" s="2">
        <v>51</v>
      </c>
      <c r="E154" s="3">
        <v>145</v>
      </c>
      <c r="F154" s="3">
        <v>215</v>
      </c>
    </row>
    <row r="155" spans="1:6" x14ac:dyDescent="0.3">
      <c r="A155" s="5" t="s">
        <v>655</v>
      </c>
      <c r="B155" s="5" t="s">
        <v>609</v>
      </c>
      <c r="C155" s="5" t="s">
        <v>657</v>
      </c>
      <c r="D155" s="5">
        <v>122</v>
      </c>
      <c r="E155" s="6">
        <v>380</v>
      </c>
      <c r="F155" s="6">
        <v>580</v>
      </c>
    </row>
    <row r="156" spans="1:6" x14ac:dyDescent="0.3">
      <c r="A156" s="2" t="s">
        <v>659</v>
      </c>
      <c r="B156" s="2" t="s">
        <v>609</v>
      </c>
      <c r="C156" s="2" t="s">
        <v>660</v>
      </c>
      <c r="D156" s="2">
        <v>24</v>
      </c>
      <c r="E156" s="3">
        <v>550</v>
      </c>
      <c r="F156" s="3">
        <v>820</v>
      </c>
    </row>
    <row r="157" spans="1:6" x14ac:dyDescent="0.3">
      <c r="A157" s="5" t="s">
        <v>663</v>
      </c>
      <c r="B157" s="5" t="s">
        <v>609</v>
      </c>
      <c r="C157" s="5" t="s">
        <v>664</v>
      </c>
      <c r="D157" s="5">
        <v>27</v>
      </c>
      <c r="E157" s="6">
        <v>85</v>
      </c>
      <c r="F157" s="6">
        <v>130</v>
      </c>
    </row>
    <row r="158" spans="1:6" x14ac:dyDescent="0.3">
      <c r="A158" s="2" t="s">
        <v>668</v>
      </c>
      <c r="B158" s="2" t="s">
        <v>609</v>
      </c>
      <c r="C158" s="2" t="s">
        <v>669</v>
      </c>
      <c r="D158" s="2">
        <v>101</v>
      </c>
      <c r="E158" s="3">
        <v>380</v>
      </c>
      <c r="F158" s="3">
        <v>550</v>
      </c>
    </row>
    <row r="159" spans="1:6" x14ac:dyDescent="0.3">
      <c r="A159" s="5" t="s">
        <v>672</v>
      </c>
      <c r="B159" s="5" t="s">
        <v>609</v>
      </c>
      <c r="C159" s="5" t="s">
        <v>673</v>
      </c>
      <c r="D159" s="5">
        <v>29</v>
      </c>
      <c r="E159" s="6">
        <v>120</v>
      </c>
      <c r="F159" s="6">
        <v>180</v>
      </c>
    </row>
    <row r="160" spans="1:6" x14ac:dyDescent="0.3">
      <c r="A160" s="2" t="s">
        <v>675</v>
      </c>
      <c r="B160" s="2" t="s">
        <v>609</v>
      </c>
      <c r="C160" s="2" t="s">
        <v>676</v>
      </c>
      <c r="D160" s="2">
        <v>44</v>
      </c>
      <c r="E160" s="3">
        <v>2800</v>
      </c>
      <c r="F160" s="3">
        <v>4200</v>
      </c>
    </row>
    <row r="161" spans="1:6" x14ac:dyDescent="0.3">
      <c r="A161" s="5" t="s">
        <v>679</v>
      </c>
      <c r="B161" s="5" t="s">
        <v>609</v>
      </c>
      <c r="C161" s="5" t="s">
        <v>680</v>
      </c>
      <c r="D161" s="5">
        <v>40</v>
      </c>
      <c r="E161" s="6">
        <v>650</v>
      </c>
      <c r="F161" s="6">
        <v>1000</v>
      </c>
    </row>
    <row r="162" spans="1:6" x14ac:dyDescent="0.3">
      <c r="A162" s="2" t="s">
        <v>682</v>
      </c>
      <c r="B162" s="2" t="s">
        <v>609</v>
      </c>
      <c r="C162" s="2" t="s">
        <v>683</v>
      </c>
      <c r="D162" s="2">
        <v>132</v>
      </c>
      <c r="E162" s="3">
        <v>3500</v>
      </c>
      <c r="F162" s="3">
        <v>5200</v>
      </c>
    </row>
    <row r="163" spans="1:6" x14ac:dyDescent="0.3">
      <c r="A163" s="5" t="s">
        <v>687</v>
      </c>
      <c r="B163" s="5" t="s">
        <v>609</v>
      </c>
      <c r="C163" s="5" t="s">
        <v>689</v>
      </c>
      <c r="D163" s="5">
        <v>88</v>
      </c>
      <c r="E163" s="6">
        <v>750</v>
      </c>
      <c r="F163" s="6">
        <v>1050</v>
      </c>
    </row>
    <row r="164" spans="1:6" x14ac:dyDescent="0.3">
      <c r="A164" s="2" t="s">
        <v>693</v>
      </c>
      <c r="B164" s="2" t="s">
        <v>609</v>
      </c>
      <c r="C164" s="2" t="s">
        <v>694</v>
      </c>
      <c r="D164" s="2">
        <v>5</v>
      </c>
      <c r="E164" s="3">
        <v>680</v>
      </c>
      <c r="F164" s="3">
        <v>950</v>
      </c>
    </row>
    <row r="165" spans="1:6" x14ac:dyDescent="0.3">
      <c r="A165" s="5" t="s">
        <v>697</v>
      </c>
      <c r="B165" s="5" t="s">
        <v>609</v>
      </c>
      <c r="C165" s="5" t="s">
        <v>698</v>
      </c>
      <c r="D165" s="5">
        <v>144</v>
      </c>
      <c r="E165" s="6">
        <v>120</v>
      </c>
      <c r="F165" s="6">
        <v>175</v>
      </c>
    </row>
    <row r="166" spans="1:6" x14ac:dyDescent="0.3">
      <c r="A166" s="2" t="s">
        <v>701</v>
      </c>
      <c r="B166" s="2" t="s">
        <v>609</v>
      </c>
      <c r="C166" s="2" t="s">
        <v>702</v>
      </c>
      <c r="D166" s="2">
        <v>42</v>
      </c>
      <c r="E166" s="3">
        <v>680</v>
      </c>
      <c r="F166" s="3">
        <v>980</v>
      </c>
    </row>
    <row r="167" spans="1:6" x14ac:dyDescent="0.3">
      <c r="A167" s="5" t="s">
        <v>705</v>
      </c>
      <c r="B167" s="5" t="s">
        <v>609</v>
      </c>
      <c r="C167" s="5" t="s">
        <v>706</v>
      </c>
      <c r="D167" s="5">
        <v>95</v>
      </c>
      <c r="E167" s="6">
        <v>220</v>
      </c>
      <c r="F167" s="6">
        <v>310</v>
      </c>
    </row>
    <row r="168" spans="1:6" x14ac:dyDescent="0.3">
      <c r="A168" s="2" t="s">
        <v>710</v>
      </c>
      <c r="B168" s="2" t="s">
        <v>609</v>
      </c>
      <c r="C168" s="2" t="s">
        <v>711</v>
      </c>
      <c r="D168" s="2">
        <v>132</v>
      </c>
      <c r="E168" s="3">
        <v>200</v>
      </c>
      <c r="F168" s="3">
        <v>290</v>
      </c>
    </row>
    <row r="169" spans="1:6" x14ac:dyDescent="0.3">
      <c r="A169" s="5" t="s">
        <v>714</v>
      </c>
      <c r="B169" s="5" t="s">
        <v>609</v>
      </c>
      <c r="C169" s="5" t="s">
        <v>715</v>
      </c>
      <c r="D169" s="5">
        <v>136</v>
      </c>
      <c r="E169" s="6">
        <v>750</v>
      </c>
      <c r="F169" s="6">
        <v>1100</v>
      </c>
    </row>
    <row r="170" spans="1:6" x14ac:dyDescent="0.3">
      <c r="A170" s="2" t="s">
        <v>718</v>
      </c>
      <c r="B170" s="2" t="s">
        <v>609</v>
      </c>
      <c r="C170" s="2" t="s">
        <v>719</v>
      </c>
      <c r="D170" s="2">
        <v>77</v>
      </c>
      <c r="E170" s="3">
        <v>380</v>
      </c>
      <c r="F170" s="3">
        <v>540</v>
      </c>
    </row>
    <row r="171" spans="1:6" x14ac:dyDescent="0.3">
      <c r="A171" s="5" t="s">
        <v>722</v>
      </c>
      <c r="B171" s="5" t="s">
        <v>609</v>
      </c>
      <c r="C171" s="5" t="s">
        <v>723</v>
      </c>
      <c r="D171" s="5">
        <v>48</v>
      </c>
      <c r="E171" s="6">
        <v>320</v>
      </c>
      <c r="F171" s="6">
        <v>470</v>
      </c>
    </row>
    <row r="172" spans="1:6" x14ac:dyDescent="0.3">
      <c r="A172" s="2" t="s">
        <v>725</v>
      </c>
      <c r="B172" s="2" t="s">
        <v>609</v>
      </c>
      <c r="C172" s="2" t="s">
        <v>726</v>
      </c>
      <c r="D172" s="2">
        <v>89</v>
      </c>
      <c r="E172" s="3">
        <v>550</v>
      </c>
      <c r="F172" s="3">
        <v>800</v>
      </c>
    </row>
    <row r="173" spans="1:6" x14ac:dyDescent="0.3">
      <c r="A173" s="5" t="s">
        <v>730</v>
      </c>
      <c r="B173" s="5" t="s">
        <v>731</v>
      </c>
      <c r="C173" s="5" t="s">
        <v>733</v>
      </c>
      <c r="D173" s="5">
        <v>38</v>
      </c>
      <c r="E173" s="6">
        <v>1100</v>
      </c>
      <c r="F173" s="6">
        <v>1550</v>
      </c>
    </row>
    <row r="174" spans="1:6" x14ac:dyDescent="0.3">
      <c r="A174" s="2" t="s">
        <v>737</v>
      </c>
      <c r="B174" s="2" t="s">
        <v>731</v>
      </c>
      <c r="C174" s="2" t="s">
        <v>738</v>
      </c>
      <c r="D174" s="2">
        <v>147</v>
      </c>
      <c r="E174" s="3">
        <v>180</v>
      </c>
      <c r="F174" s="3">
        <v>270</v>
      </c>
    </row>
    <row r="175" spans="1:6" x14ac:dyDescent="0.3">
      <c r="A175" s="5" t="s">
        <v>742</v>
      </c>
      <c r="B175" s="5" t="s">
        <v>731</v>
      </c>
      <c r="C175" s="5" t="s">
        <v>743</v>
      </c>
      <c r="D175" s="5">
        <v>58</v>
      </c>
      <c r="E175" s="6">
        <v>150</v>
      </c>
      <c r="F175" s="6">
        <v>225</v>
      </c>
    </row>
    <row r="176" spans="1:6" x14ac:dyDescent="0.3">
      <c r="A176" s="2" t="s">
        <v>745</v>
      </c>
      <c r="B176" s="2" t="s">
        <v>731</v>
      </c>
      <c r="C176" s="2" t="s">
        <v>746</v>
      </c>
      <c r="D176" s="2">
        <v>49</v>
      </c>
      <c r="E176" s="3">
        <v>180</v>
      </c>
      <c r="F176" s="3">
        <v>270</v>
      </c>
    </row>
    <row r="177" spans="1:6" x14ac:dyDescent="0.3">
      <c r="A177" s="5" t="s">
        <v>748</v>
      </c>
      <c r="B177" s="5" t="s">
        <v>731</v>
      </c>
      <c r="C177" s="5" t="s">
        <v>749</v>
      </c>
      <c r="D177" s="5">
        <v>35</v>
      </c>
      <c r="E177" s="6">
        <v>380</v>
      </c>
      <c r="F177" s="6">
        <v>550</v>
      </c>
    </row>
    <row r="178" spans="1:6" x14ac:dyDescent="0.3">
      <c r="A178" s="2" t="s">
        <v>751</v>
      </c>
      <c r="B178" s="2" t="s">
        <v>731</v>
      </c>
      <c r="C178" s="2" t="s">
        <v>752</v>
      </c>
      <c r="D178" s="2">
        <v>36</v>
      </c>
      <c r="E178" s="3">
        <v>120</v>
      </c>
      <c r="F178" s="3">
        <v>185</v>
      </c>
    </row>
    <row r="179" spans="1:6" x14ac:dyDescent="0.3">
      <c r="A179" s="5" t="s">
        <v>754</v>
      </c>
      <c r="B179" s="5" t="s">
        <v>731</v>
      </c>
      <c r="C179" s="5" t="s">
        <v>755</v>
      </c>
      <c r="D179" s="5">
        <v>113</v>
      </c>
      <c r="E179" s="6">
        <v>320</v>
      </c>
      <c r="F179" s="6">
        <v>480</v>
      </c>
    </row>
    <row r="180" spans="1:6" x14ac:dyDescent="0.3">
      <c r="A180" s="2" t="s">
        <v>757</v>
      </c>
      <c r="B180" s="2" t="s">
        <v>731</v>
      </c>
      <c r="C180" s="2" t="s">
        <v>759</v>
      </c>
      <c r="D180" s="2">
        <v>31</v>
      </c>
      <c r="E180" s="3">
        <v>120</v>
      </c>
      <c r="F180" s="3">
        <v>185</v>
      </c>
    </row>
    <row r="181" spans="1:6" x14ac:dyDescent="0.3">
      <c r="A181" s="5" t="s">
        <v>762</v>
      </c>
      <c r="B181" s="5" t="s">
        <v>731</v>
      </c>
      <c r="C181" s="5" t="s">
        <v>763</v>
      </c>
      <c r="D181" s="5">
        <v>56</v>
      </c>
      <c r="E181" s="6">
        <v>45</v>
      </c>
      <c r="F181" s="6">
        <v>72</v>
      </c>
    </row>
    <row r="182" spans="1:6" x14ac:dyDescent="0.3">
      <c r="A182" s="2" t="s">
        <v>766</v>
      </c>
      <c r="B182" s="2" t="s">
        <v>731</v>
      </c>
      <c r="C182" s="2" t="s">
        <v>767</v>
      </c>
      <c r="D182" s="2">
        <v>82</v>
      </c>
      <c r="E182" s="3">
        <v>1500</v>
      </c>
      <c r="F182" s="3">
        <v>2400</v>
      </c>
    </row>
    <row r="183" spans="1:6" x14ac:dyDescent="0.3">
      <c r="A183" s="5" t="s">
        <v>770</v>
      </c>
      <c r="B183" s="5" t="s">
        <v>731</v>
      </c>
      <c r="C183" s="5" t="s">
        <v>771</v>
      </c>
      <c r="D183" s="5">
        <v>128</v>
      </c>
      <c r="E183" s="6">
        <v>350</v>
      </c>
      <c r="F183" s="6">
        <v>540</v>
      </c>
    </row>
    <row r="184" spans="1:6" x14ac:dyDescent="0.3">
      <c r="A184" s="2" t="s">
        <v>773</v>
      </c>
      <c r="B184" s="2" t="s">
        <v>731</v>
      </c>
      <c r="C184" s="2" t="s">
        <v>774</v>
      </c>
      <c r="D184" s="2">
        <v>36</v>
      </c>
      <c r="E184" s="3">
        <v>280</v>
      </c>
      <c r="F184" s="3">
        <v>430</v>
      </c>
    </row>
    <row r="185" spans="1:6" x14ac:dyDescent="0.3">
      <c r="A185" s="5" t="s">
        <v>777</v>
      </c>
      <c r="B185" s="5" t="s">
        <v>731</v>
      </c>
      <c r="C185" s="5" t="s">
        <v>778</v>
      </c>
      <c r="D185" s="5">
        <v>48</v>
      </c>
      <c r="E185" s="6">
        <v>180</v>
      </c>
      <c r="F185" s="6">
        <v>280</v>
      </c>
    </row>
    <row r="186" spans="1:6" x14ac:dyDescent="0.3">
      <c r="A186" s="2" t="s">
        <v>781</v>
      </c>
      <c r="B186" s="2" t="s">
        <v>731</v>
      </c>
      <c r="C186" s="2" t="s">
        <v>782</v>
      </c>
      <c r="D186" s="2">
        <v>42</v>
      </c>
      <c r="E186" s="3">
        <v>50</v>
      </c>
      <c r="F186" s="3">
        <v>80</v>
      </c>
    </row>
    <row r="187" spans="1:6" x14ac:dyDescent="0.3">
      <c r="A187" s="5" t="s">
        <v>784</v>
      </c>
      <c r="B187" s="5" t="s">
        <v>731</v>
      </c>
      <c r="C187" s="5" t="s">
        <v>786</v>
      </c>
      <c r="D187" s="5">
        <v>77</v>
      </c>
      <c r="E187" s="6">
        <v>650</v>
      </c>
      <c r="F187" s="6">
        <v>980</v>
      </c>
    </row>
    <row r="188" spans="1:6" x14ac:dyDescent="0.3">
      <c r="A188" s="2" t="s">
        <v>789</v>
      </c>
      <c r="B188" s="2" t="s">
        <v>731</v>
      </c>
      <c r="C188" s="2" t="s">
        <v>790</v>
      </c>
      <c r="D188" s="2">
        <v>106</v>
      </c>
      <c r="E188" s="3">
        <v>120</v>
      </c>
      <c r="F188" s="3">
        <v>190</v>
      </c>
    </row>
    <row r="189" spans="1:6" x14ac:dyDescent="0.3">
      <c r="A189" s="5" t="s">
        <v>792</v>
      </c>
      <c r="B189" s="5" t="s">
        <v>731</v>
      </c>
      <c r="C189" s="5" t="s">
        <v>793</v>
      </c>
      <c r="D189" s="5">
        <v>51</v>
      </c>
      <c r="E189" s="6">
        <v>550</v>
      </c>
      <c r="F189" s="6">
        <v>830</v>
      </c>
    </row>
    <row r="190" spans="1:6" x14ac:dyDescent="0.3">
      <c r="A190" s="2" t="s">
        <v>795</v>
      </c>
      <c r="B190" s="2" t="s">
        <v>731</v>
      </c>
      <c r="C190" s="2" t="s">
        <v>796</v>
      </c>
      <c r="D190" s="2">
        <v>73</v>
      </c>
      <c r="E190" s="3">
        <v>280</v>
      </c>
      <c r="F190" s="3">
        <v>430</v>
      </c>
    </row>
    <row r="191" spans="1:6" x14ac:dyDescent="0.3">
      <c r="A191" s="5" t="s">
        <v>799</v>
      </c>
      <c r="B191" s="5" t="s">
        <v>731</v>
      </c>
      <c r="C191" s="5" t="s">
        <v>800</v>
      </c>
      <c r="D191" s="5">
        <v>6</v>
      </c>
      <c r="E191" s="6">
        <v>380</v>
      </c>
      <c r="F191" s="6">
        <v>580</v>
      </c>
    </row>
    <row r="192" spans="1:6" x14ac:dyDescent="0.3">
      <c r="A192" s="2" t="s">
        <v>802</v>
      </c>
      <c r="B192" s="2" t="s">
        <v>731</v>
      </c>
      <c r="C192" s="2" t="s">
        <v>803</v>
      </c>
      <c r="D192" s="2">
        <v>106</v>
      </c>
      <c r="E192" s="3">
        <v>85</v>
      </c>
      <c r="F192" s="3">
        <v>135</v>
      </c>
    </row>
    <row r="193" spans="1:6" x14ac:dyDescent="0.3">
      <c r="A193" s="5" t="s">
        <v>805</v>
      </c>
      <c r="B193" s="5" t="s">
        <v>731</v>
      </c>
      <c r="C193" s="5" t="s">
        <v>806</v>
      </c>
      <c r="D193" s="5">
        <v>74</v>
      </c>
      <c r="E193" s="6">
        <v>120</v>
      </c>
      <c r="F193" s="6">
        <v>185</v>
      </c>
    </row>
    <row r="194" spans="1:6" x14ac:dyDescent="0.3">
      <c r="A194" s="2" t="s">
        <v>808</v>
      </c>
      <c r="B194" s="2" t="s">
        <v>731</v>
      </c>
      <c r="C194" s="2" t="s">
        <v>809</v>
      </c>
      <c r="D194" s="2">
        <v>1</v>
      </c>
      <c r="E194" s="3">
        <v>250</v>
      </c>
      <c r="F194" s="3">
        <v>390</v>
      </c>
    </row>
    <row r="195" spans="1:6" x14ac:dyDescent="0.3">
      <c r="A195" s="5" t="s">
        <v>811</v>
      </c>
      <c r="B195" s="5" t="s">
        <v>731</v>
      </c>
      <c r="C195" s="5" t="s">
        <v>812</v>
      </c>
      <c r="D195" s="5">
        <v>102</v>
      </c>
      <c r="E195" s="6">
        <v>1800</v>
      </c>
      <c r="F195" s="6">
        <v>2700</v>
      </c>
    </row>
    <row r="196" spans="1:6" x14ac:dyDescent="0.3">
      <c r="A196" s="2" t="s">
        <v>815</v>
      </c>
      <c r="B196" s="2" t="s">
        <v>816</v>
      </c>
      <c r="C196" s="2" t="s">
        <v>818</v>
      </c>
      <c r="D196" s="2">
        <v>70</v>
      </c>
      <c r="E196" s="3">
        <v>3500</v>
      </c>
      <c r="F196" s="3">
        <v>4800</v>
      </c>
    </row>
    <row r="197" spans="1:6" x14ac:dyDescent="0.3">
      <c r="A197" s="5" t="s">
        <v>822</v>
      </c>
      <c r="B197" s="5" t="s">
        <v>816</v>
      </c>
      <c r="C197" s="5" t="s">
        <v>823</v>
      </c>
      <c r="D197" s="5">
        <v>30</v>
      </c>
      <c r="E197" s="6">
        <v>3200</v>
      </c>
      <c r="F197" s="6">
        <v>4500</v>
      </c>
    </row>
    <row r="198" spans="1:6" x14ac:dyDescent="0.3">
      <c r="A198" s="2" t="s">
        <v>827</v>
      </c>
      <c r="B198" s="2" t="s">
        <v>816</v>
      </c>
      <c r="C198" s="2" t="s">
        <v>828</v>
      </c>
      <c r="D198" s="2">
        <v>122</v>
      </c>
      <c r="E198" s="3">
        <v>3300</v>
      </c>
      <c r="F198" s="3">
        <v>4600</v>
      </c>
    </row>
    <row r="199" spans="1:6" x14ac:dyDescent="0.3">
      <c r="A199" s="5" t="s">
        <v>832</v>
      </c>
      <c r="B199" s="5" t="s">
        <v>816</v>
      </c>
      <c r="C199" s="5" t="s">
        <v>833</v>
      </c>
      <c r="D199" s="5">
        <v>69</v>
      </c>
      <c r="E199" s="6">
        <v>1200</v>
      </c>
      <c r="F199" s="6">
        <v>1750</v>
      </c>
    </row>
    <row r="200" spans="1:6" x14ac:dyDescent="0.3">
      <c r="A200" s="2" t="s">
        <v>837</v>
      </c>
      <c r="B200" s="2" t="s">
        <v>816</v>
      </c>
      <c r="C200" s="2" t="s">
        <v>838</v>
      </c>
      <c r="D200" s="2">
        <v>25</v>
      </c>
      <c r="E200" s="3">
        <v>550</v>
      </c>
      <c r="F200" s="3">
        <v>800</v>
      </c>
    </row>
    <row r="201" spans="1:6" x14ac:dyDescent="0.3">
      <c r="A201" s="5" t="s">
        <v>840</v>
      </c>
      <c r="B201" s="5" t="s">
        <v>816</v>
      </c>
      <c r="C201" s="5" t="s">
        <v>841</v>
      </c>
      <c r="D201" s="5">
        <v>107</v>
      </c>
      <c r="E201" s="6">
        <v>650</v>
      </c>
      <c r="F201" s="6">
        <v>950</v>
      </c>
    </row>
    <row r="202" spans="1:6" x14ac:dyDescent="0.3">
      <c r="A202" s="2" t="s">
        <v>844</v>
      </c>
      <c r="B202" s="2" t="s">
        <v>816</v>
      </c>
      <c r="C202" s="2" t="s">
        <v>845</v>
      </c>
      <c r="D202" s="2">
        <v>118</v>
      </c>
      <c r="E202" s="3">
        <v>380</v>
      </c>
      <c r="F202" s="3">
        <v>560</v>
      </c>
    </row>
    <row r="203" spans="1:6" x14ac:dyDescent="0.3">
      <c r="A203" s="5" t="s">
        <v>847</v>
      </c>
      <c r="B203" s="5" t="s">
        <v>816</v>
      </c>
      <c r="C203" s="5" t="s">
        <v>848</v>
      </c>
      <c r="D203" s="5">
        <v>142</v>
      </c>
      <c r="E203" s="6">
        <v>320</v>
      </c>
      <c r="F203" s="6">
        <v>480</v>
      </c>
    </row>
    <row r="204" spans="1:6" x14ac:dyDescent="0.3">
      <c r="A204" s="2" t="s">
        <v>850</v>
      </c>
      <c r="B204" s="2" t="s">
        <v>816</v>
      </c>
      <c r="C204" s="2" t="s">
        <v>852</v>
      </c>
      <c r="D204" s="2">
        <v>23</v>
      </c>
      <c r="E204" s="3">
        <v>12500</v>
      </c>
      <c r="F204" s="3">
        <v>16500</v>
      </c>
    </row>
    <row r="205" spans="1:6" x14ac:dyDescent="0.3">
      <c r="A205" s="5" t="s">
        <v>855</v>
      </c>
      <c r="B205" s="5" t="s">
        <v>816</v>
      </c>
      <c r="C205" s="5" t="s">
        <v>856</v>
      </c>
      <c r="D205" s="5">
        <v>120</v>
      </c>
      <c r="E205" s="6">
        <v>16000</v>
      </c>
      <c r="F205" s="6">
        <v>21000</v>
      </c>
    </row>
    <row r="206" spans="1:6" x14ac:dyDescent="0.3">
      <c r="A206" s="2" t="s">
        <v>860</v>
      </c>
      <c r="B206" s="2" t="s">
        <v>816</v>
      </c>
      <c r="C206" s="2" t="s">
        <v>861</v>
      </c>
      <c r="D206" s="2">
        <v>19</v>
      </c>
      <c r="E206" s="3">
        <v>14000</v>
      </c>
      <c r="F206" s="3">
        <v>18500</v>
      </c>
    </row>
    <row r="207" spans="1:6" x14ac:dyDescent="0.3">
      <c r="A207" s="5" t="s">
        <v>865</v>
      </c>
      <c r="B207" s="5" t="s">
        <v>816</v>
      </c>
      <c r="C207" s="5" t="s">
        <v>866</v>
      </c>
      <c r="D207" s="5">
        <v>61</v>
      </c>
      <c r="E207" s="6">
        <v>16500</v>
      </c>
      <c r="F207" s="6">
        <v>21500</v>
      </c>
    </row>
    <row r="208" spans="1:6" x14ac:dyDescent="0.3">
      <c r="A208" s="2" t="s">
        <v>869</v>
      </c>
      <c r="B208" s="2" t="s">
        <v>816</v>
      </c>
      <c r="C208" s="2" t="s">
        <v>870</v>
      </c>
      <c r="D208" s="2">
        <v>11</v>
      </c>
      <c r="E208" s="3">
        <v>10500</v>
      </c>
      <c r="F208" s="3">
        <v>14000</v>
      </c>
    </row>
    <row r="209" spans="1:6" x14ac:dyDescent="0.3">
      <c r="A209" s="5" t="s">
        <v>874</v>
      </c>
      <c r="B209" s="5" t="s">
        <v>816</v>
      </c>
      <c r="C209" s="5" t="s">
        <v>876</v>
      </c>
      <c r="D209" s="5">
        <v>143</v>
      </c>
      <c r="E209" s="6">
        <v>1800</v>
      </c>
      <c r="F209" s="6">
        <v>2700</v>
      </c>
    </row>
    <row r="210" spans="1:6" x14ac:dyDescent="0.3">
      <c r="A210" s="2" t="s">
        <v>879</v>
      </c>
      <c r="B210" s="2" t="s">
        <v>816</v>
      </c>
      <c r="C210" s="2" t="s">
        <v>880</v>
      </c>
      <c r="D210" s="2">
        <v>115</v>
      </c>
      <c r="E210" s="3">
        <v>2500</v>
      </c>
      <c r="F210" s="3">
        <v>3800</v>
      </c>
    </row>
    <row r="211" spans="1:6" x14ac:dyDescent="0.3">
      <c r="A211" s="5" t="s">
        <v>882</v>
      </c>
      <c r="B211" s="5" t="s">
        <v>816</v>
      </c>
      <c r="C211" s="5" t="s">
        <v>883</v>
      </c>
      <c r="D211" s="5">
        <v>53</v>
      </c>
      <c r="E211" s="6">
        <v>380</v>
      </c>
      <c r="F211" s="6">
        <v>600</v>
      </c>
    </row>
    <row r="212" spans="1:6" x14ac:dyDescent="0.3">
      <c r="A212" s="2" t="s">
        <v>885</v>
      </c>
      <c r="B212" s="2" t="s">
        <v>816</v>
      </c>
      <c r="C212" s="2" t="s">
        <v>886</v>
      </c>
      <c r="D212" s="2">
        <v>150</v>
      </c>
      <c r="E212" s="3">
        <v>180</v>
      </c>
      <c r="F212" s="3">
        <v>290</v>
      </c>
    </row>
    <row r="213" spans="1:6" x14ac:dyDescent="0.3">
      <c r="A213" s="5" t="s">
        <v>889</v>
      </c>
      <c r="B213" s="5" t="s">
        <v>816</v>
      </c>
      <c r="C213" s="5" t="s">
        <v>890</v>
      </c>
      <c r="D213" s="5">
        <v>0</v>
      </c>
      <c r="E213" s="6">
        <v>550</v>
      </c>
      <c r="F213" s="6">
        <v>850</v>
      </c>
    </row>
    <row r="214" spans="1:6" x14ac:dyDescent="0.3">
      <c r="A214" s="2" t="s">
        <v>892</v>
      </c>
      <c r="B214" s="2" t="s">
        <v>816</v>
      </c>
      <c r="C214" s="2" t="s">
        <v>893</v>
      </c>
      <c r="D214" s="2">
        <v>34</v>
      </c>
      <c r="E214" s="3">
        <v>1800</v>
      </c>
      <c r="F214" s="3">
        <v>2800</v>
      </c>
    </row>
    <row r="215" spans="1:6" x14ac:dyDescent="0.3">
      <c r="A215" s="5" t="s">
        <v>895</v>
      </c>
      <c r="B215" s="5" t="s">
        <v>816</v>
      </c>
      <c r="C215" s="5" t="s">
        <v>896</v>
      </c>
      <c r="D215" s="5">
        <v>29</v>
      </c>
      <c r="E215" s="6">
        <v>5500</v>
      </c>
      <c r="F215" s="6">
        <v>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6"/>
  <sheetViews>
    <sheetView zoomScaleNormal="100" workbookViewId="0">
      <pane ySplit="2" topLeftCell="A195" activePane="bottomLeft" state="frozen"/>
      <selection pane="bottomLeft" activeCell="G2" sqref="G1:G1048576"/>
    </sheetView>
  </sheetViews>
  <sheetFormatPr defaultColWidth="8.6640625" defaultRowHeight="14.4" x14ac:dyDescent="0.3"/>
  <cols>
    <col min="1" max="1" width="12" customWidth="1"/>
    <col min="2" max="2" width="38" customWidth="1"/>
    <col min="3" max="3" width="26" customWidth="1"/>
    <col min="4" max="4" width="22" customWidth="1"/>
    <col min="5" max="5" width="14" customWidth="1"/>
    <col min="6" max="6" width="8" customWidth="1"/>
    <col min="7" max="9" width="12" customWidth="1"/>
    <col min="10" max="10" width="20" customWidth="1"/>
    <col min="11" max="11" width="14" customWidth="1"/>
  </cols>
  <sheetData>
    <row r="1" spans="1:11" ht="30" customHeight="1" x14ac:dyDescent="0.3">
      <c r="A1" s="14" t="s">
        <v>2466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7.6" x14ac:dyDescent="0.3">
      <c r="A2" s="1" t="s">
        <v>1</v>
      </c>
      <c r="B2" s="1" t="s">
        <v>4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2467</v>
      </c>
      <c r="H2" s="1" t="s">
        <v>7</v>
      </c>
      <c r="I2" s="1" t="s">
        <v>8</v>
      </c>
      <c r="J2" s="1" t="s">
        <v>2468</v>
      </c>
      <c r="K2" s="1" t="s">
        <v>2469</v>
      </c>
    </row>
    <row r="3" spans="1:11" x14ac:dyDescent="0.3">
      <c r="A3" s="2" t="s">
        <v>16</v>
      </c>
      <c r="B3" s="2" t="s">
        <v>19</v>
      </c>
      <c r="C3" s="2" t="s">
        <v>17</v>
      </c>
      <c r="D3" s="2" t="s">
        <v>18</v>
      </c>
      <c r="E3" s="2" t="s">
        <v>20</v>
      </c>
      <c r="F3" s="2" t="s">
        <v>6</v>
      </c>
      <c r="G3" s="2">
        <v>138</v>
      </c>
      <c r="H3" s="2">
        <v>1</v>
      </c>
      <c r="I3" s="2">
        <v>10</v>
      </c>
      <c r="J3" s="3">
        <f>G3*75000</f>
        <v>10350000</v>
      </c>
      <c r="K3" s="2" t="s">
        <v>2470</v>
      </c>
    </row>
    <row r="4" spans="1:11" x14ac:dyDescent="0.3">
      <c r="A4" s="5" t="s">
        <v>24</v>
      </c>
      <c r="B4" s="5" t="s">
        <v>25</v>
      </c>
      <c r="C4" s="5" t="s">
        <v>17</v>
      </c>
      <c r="D4" s="5" t="s">
        <v>18</v>
      </c>
      <c r="E4" s="5" t="s">
        <v>26</v>
      </c>
      <c r="F4" s="5" t="s">
        <v>6</v>
      </c>
      <c r="G4" s="5">
        <v>74</v>
      </c>
      <c r="H4" s="5">
        <v>2</v>
      </c>
      <c r="I4" s="5">
        <v>10</v>
      </c>
      <c r="J4" s="6">
        <f>G4*55000</f>
        <v>4070000</v>
      </c>
      <c r="K4" s="5" t="s">
        <v>2470</v>
      </c>
    </row>
    <row r="5" spans="1:11" x14ac:dyDescent="0.3">
      <c r="A5" s="2" t="s">
        <v>27</v>
      </c>
      <c r="B5" s="2" t="s">
        <v>28</v>
      </c>
      <c r="C5" s="2" t="s">
        <v>17</v>
      </c>
      <c r="D5" s="2" t="s">
        <v>18</v>
      </c>
      <c r="E5" s="2" t="s">
        <v>29</v>
      </c>
      <c r="F5" s="2" t="s">
        <v>6</v>
      </c>
      <c r="G5" s="2">
        <v>7</v>
      </c>
      <c r="H5" s="2">
        <v>1</v>
      </c>
      <c r="I5" s="2">
        <v>5</v>
      </c>
      <c r="J5" s="3">
        <f>G5*240000</f>
        <v>1680000</v>
      </c>
      <c r="K5" s="2" t="s">
        <v>2470</v>
      </c>
    </row>
    <row r="6" spans="1:11" x14ac:dyDescent="0.3">
      <c r="A6" s="5" t="s">
        <v>32</v>
      </c>
      <c r="B6" s="5" t="s">
        <v>33</v>
      </c>
      <c r="C6" s="5" t="s">
        <v>17</v>
      </c>
      <c r="D6" s="5" t="s">
        <v>18</v>
      </c>
      <c r="E6" s="5" t="s">
        <v>34</v>
      </c>
      <c r="F6" s="5" t="s">
        <v>6</v>
      </c>
      <c r="G6" s="5">
        <v>53</v>
      </c>
      <c r="H6" s="5">
        <v>1</v>
      </c>
      <c r="I6" s="5">
        <v>5</v>
      </c>
      <c r="J6" s="6">
        <f>G6*185000</f>
        <v>9805000</v>
      </c>
      <c r="K6" s="5" t="s">
        <v>2470</v>
      </c>
    </row>
    <row r="7" spans="1:11" x14ac:dyDescent="0.3">
      <c r="A7" s="2" t="s">
        <v>35</v>
      </c>
      <c r="B7" s="2" t="s">
        <v>36</v>
      </c>
      <c r="C7" s="2" t="s">
        <v>17</v>
      </c>
      <c r="D7" s="2" t="s">
        <v>18</v>
      </c>
      <c r="E7" s="2" t="s">
        <v>37</v>
      </c>
      <c r="F7" s="2" t="s">
        <v>6</v>
      </c>
      <c r="G7" s="2">
        <v>65</v>
      </c>
      <c r="H7" s="2">
        <v>3</v>
      </c>
      <c r="I7" s="2">
        <v>15</v>
      </c>
      <c r="J7" s="3">
        <f>G7*42000</f>
        <v>2730000</v>
      </c>
      <c r="K7" s="2" t="s">
        <v>2470</v>
      </c>
    </row>
    <row r="8" spans="1:11" x14ac:dyDescent="0.3">
      <c r="A8" s="5" t="s">
        <v>40</v>
      </c>
      <c r="B8" s="5" t="s">
        <v>41</v>
      </c>
      <c r="C8" s="5" t="s">
        <v>17</v>
      </c>
      <c r="D8" s="5" t="s">
        <v>18</v>
      </c>
      <c r="E8" s="5" t="s">
        <v>42</v>
      </c>
      <c r="F8" s="5" t="s">
        <v>6</v>
      </c>
      <c r="G8" s="5">
        <v>12</v>
      </c>
      <c r="H8" s="5">
        <v>2</v>
      </c>
      <c r="I8" s="5">
        <v>10</v>
      </c>
      <c r="J8" s="6">
        <f>G8*65000</f>
        <v>780000</v>
      </c>
      <c r="K8" s="5" t="s">
        <v>2470</v>
      </c>
    </row>
    <row r="9" spans="1:11" x14ac:dyDescent="0.3">
      <c r="A9" s="2" t="s">
        <v>43</v>
      </c>
      <c r="B9" s="2" t="s">
        <v>44</v>
      </c>
      <c r="C9" s="2" t="s">
        <v>17</v>
      </c>
      <c r="D9" s="2" t="s">
        <v>18</v>
      </c>
      <c r="E9" s="2" t="s">
        <v>45</v>
      </c>
      <c r="F9" s="2" t="s">
        <v>6</v>
      </c>
      <c r="G9" s="2">
        <v>101</v>
      </c>
      <c r="H9" s="2">
        <v>3</v>
      </c>
      <c r="I9" s="2">
        <v>15</v>
      </c>
      <c r="J9" s="3">
        <f>G9*38000</f>
        <v>3838000</v>
      </c>
      <c r="K9" s="2" t="s">
        <v>2470</v>
      </c>
    </row>
    <row r="10" spans="1:11" x14ac:dyDescent="0.3">
      <c r="A10" s="5" t="s">
        <v>48</v>
      </c>
      <c r="B10" s="5" t="s">
        <v>49</v>
      </c>
      <c r="C10" s="5" t="s">
        <v>17</v>
      </c>
      <c r="D10" s="5" t="s">
        <v>18</v>
      </c>
      <c r="E10" s="5" t="s">
        <v>50</v>
      </c>
      <c r="F10" s="5" t="s">
        <v>6</v>
      </c>
      <c r="G10" s="5">
        <v>96</v>
      </c>
      <c r="H10" s="5">
        <v>1</v>
      </c>
      <c r="I10" s="5">
        <v>8</v>
      </c>
      <c r="J10" s="6">
        <f>G10*82000</f>
        <v>7872000</v>
      </c>
      <c r="K10" s="5" t="s">
        <v>2470</v>
      </c>
    </row>
    <row r="11" spans="1:11" x14ac:dyDescent="0.3">
      <c r="A11" s="2" t="s">
        <v>51</v>
      </c>
      <c r="B11" s="2" t="s">
        <v>52</v>
      </c>
      <c r="C11" s="2" t="s">
        <v>17</v>
      </c>
      <c r="D11" s="2" t="s">
        <v>18</v>
      </c>
      <c r="E11" s="2" t="s">
        <v>53</v>
      </c>
      <c r="F11" s="2" t="s">
        <v>6</v>
      </c>
      <c r="G11" s="2">
        <v>34</v>
      </c>
      <c r="H11" s="2">
        <v>3</v>
      </c>
      <c r="I11" s="2">
        <v>15</v>
      </c>
      <c r="J11" s="3">
        <f>G11*52000</f>
        <v>1768000</v>
      </c>
      <c r="K11" s="2" t="s">
        <v>2470</v>
      </c>
    </row>
    <row r="12" spans="1:11" x14ac:dyDescent="0.3">
      <c r="A12" s="5" t="s">
        <v>56</v>
      </c>
      <c r="B12" s="5" t="s">
        <v>57</v>
      </c>
      <c r="C12" s="5" t="s">
        <v>17</v>
      </c>
      <c r="D12" s="5" t="s">
        <v>18</v>
      </c>
      <c r="E12" s="5" t="s">
        <v>58</v>
      </c>
      <c r="F12" s="5" t="s">
        <v>6</v>
      </c>
      <c r="G12" s="5">
        <v>20</v>
      </c>
      <c r="H12" s="5">
        <v>4</v>
      </c>
      <c r="I12" s="5">
        <v>20</v>
      </c>
      <c r="J12" s="6">
        <f>G12*34000</f>
        <v>680000</v>
      </c>
      <c r="K12" s="5" t="s">
        <v>2470</v>
      </c>
    </row>
    <row r="13" spans="1:11" x14ac:dyDescent="0.3">
      <c r="A13" s="2" t="s">
        <v>61</v>
      </c>
      <c r="B13" s="2" t="s">
        <v>63</v>
      </c>
      <c r="C13" s="2" t="s">
        <v>17</v>
      </c>
      <c r="D13" s="2" t="s">
        <v>62</v>
      </c>
      <c r="E13" s="2" t="s">
        <v>64</v>
      </c>
      <c r="F13" s="2" t="s">
        <v>6</v>
      </c>
      <c r="G13" s="2">
        <v>118</v>
      </c>
      <c r="H13" s="2">
        <v>1</v>
      </c>
      <c r="I13" s="2">
        <v>5</v>
      </c>
      <c r="J13" s="3">
        <f>G13*115000</f>
        <v>13570000</v>
      </c>
      <c r="K13" s="2" t="s">
        <v>2470</v>
      </c>
    </row>
    <row r="14" spans="1:11" x14ac:dyDescent="0.3">
      <c r="A14" s="5" t="s">
        <v>67</v>
      </c>
      <c r="B14" s="5" t="s">
        <v>68</v>
      </c>
      <c r="C14" s="5" t="s">
        <v>17</v>
      </c>
      <c r="D14" s="5" t="s">
        <v>62</v>
      </c>
      <c r="E14" s="5" t="s">
        <v>69</v>
      </c>
      <c r="F14" s="5" t="s">
        <v>6</v>
      </c>
      <c r="G14" s="5">
        <v>1</v>
      </c>
      <c r="H14" s="5">
        <v>1</v>
      </c>
      <c r="I14" s="5">
        <v>5</v>
      </c>
      <c r="J14" s="6">
        <f>G14*108000</f>
        <v>108000</v>
      </c>
      <c r="K14" s="5" t="s">
        <v>2470</v>
      </c>
    </row>
    <row r="15" spans="1:11" x14ac:dyDescent="0.3">
      <c r="A15" s="2" t="s">
        <v>72</v>
      </c>
      <c r="B15" s="2" t="s">
        <v>73</v>
      </c>
      <c r="C15" s="2" t="s">
        <v>17</v>
      </c>
      <c r="D15" s="2" t="s">
        <v>62</v>
      </c>
      <c r="E15" s="2" t="s">
        <v>74</v>
      </c>
      <c r="F15" s="2" t="s">
        <v>6</v>
      </c>
      <c r="G15" s="2">
        <v>133</v>
      </c>
      <c r="H15" s="2">
        <v>1</v>
      </c>
      <c r="I15" s="2">
        <v>5</v>
      </c>
      <c r="J15" s="3">
        <f>G15*95000</f>
        <v>12635000</v>
      </c>
      <c r="K15" s="2" t="s">
        <v>2470</v>
      </c>
    </row>
    <row r="16" spans="1:11" x14ac:dyDescent="0.3">
      <c r="A16" s="5" t="s">
        <v>77</v>
      </c>
      <c r="B16" s="5" t="s">
        <v>78</v>
      </c>
      <c r="C16" s="5" t="s">
        <v>17</v>
      </c>
      <c r="D16" s="5" t="s">
        <v>62</v>
      </c>
      <c r="E16" s="5" t="s">
        <v>79</v>
      </c>
      <c r="F16" s="5" t="s">
        <v>6</v>
      </c>
      <c r="G16" s="5">
        <v>62</v>
      </c>
      <c r="H16" s="5">
        <v>1</v>
      </c>
      <c r="I16" s="5">
        <v>5</v>
      </c>
      <c r="J16" s="6">
        <f>G16*105000</f>
        <v>6510000</v>
      </c>
      <c r="K16" s="5" t="s">
        <v>2470</v>
      </c>
    </row>
    <row r="17" spans="1:11" x14ac:dyDescent="0.3">
      <c r="A17" s="2" t="s">
        <v>82</v>
      </c>
      <c r="B17" s="2" t="s">
        <v>83</v>
      </c>
      <c r="C17" s="2" t="s">
        <v>17</v>
      </c>
      <c r="D17" s="2" t="s">
        <v>62</v>
      </c>
      <c r="E17" s="2" t="s">
        <v>84</v>
      </c>
      <c r="F17" s="2" t="s">
        <v>6</v>
      </c>
      <c r="G17" s="2">
        <v>6</v>
      </c>
      <c r="H17" s="2">
        <v>1</v>
      </c>
      <c r="I17" s="2">
        <v>3</v>
      </c>
      <c r="J17" s="3">
        <f>G17*175000</f>
        <v>1050000</v>
      </c>
      <c r="K17" s="2" t="s">
        <v>2470</v>
      </c>
    </row>
    <row r="18" spans="1:11" x14ac:dyDescent="0.3">
      <c r="A18" s="5" t="s">
        <v>85</v>
      </c>
      <c r="B18" s="5" t="s">
        <v>86</v>
      </c>
      <c r="C18" s="5" t="s">
        <v>17</v>
      </c>
      <c r="D18" s="5" t="s">
        <v>62</v>
      </c>
      <c r="E18" s="5" t="s">
        <v>87</v>
      </c>
      <c r="F18" s="5" t="s">
        <v>6</v>
      </c>
      <c r="G18" s="5">
        <v>18</v>
      </c>
      <c r="H18" s="5">
        <v>1</v>
      </c>
      <c r="I18" s="5">
        <v>3</v>
      </c>
      <c r="J18" s="6">
        <f>G18*155000</f>
        <v>2790000</v>
      </c>
      <c r="K18" s="5" t="s">
        <v>2470</v>
      </c>
    </row>
    <row r="19" spans="1:11" x14ac:dyDescent="0.3">
      <c r="A19" s="2" t="s">
        <v>88</v>
      </c>
      <c r="B19" s="2" t="s">
        <v>89</v>
      </c>
      <c r="C19" s="2" t="s">
        <v>17</v>
      </c>
      <c r="D19" s="2" t="s">
        <v>62</v>
      </c>
      <c r="E19" s="2" t="s">
        <v>90</v>
      </c>
      <c r="F19" s="2" t="s">
        <v>6</v>
      </c>
      <c r="G19" s="2">
        <v>40</v>
      </c>
      <c r="H19" s="2">
        <v>1</v>
      </c>
      <c r="I19" s="2">
        <v>3</v>
      </c>
      <c r="J19" s="3">
        <f>G19*290000</f>
        <v>11600000</v>
      </c>
      <c r="K19" s="2" t="s">
        <v>2470</v>
      </c>
    </row>
    <row r="20" spans="1:11" x14ac:dyDescent="0.3">
      <c r="A20" s="5" t="s">
        <v>91</v>
      </c>
      <c r="B20" s="5" t="s">
        <v>92</v>
      </c>
      <c r="C20" s="5" t="s">
        <v>17</v>
      </c>
      <c r="D20" s="5" t="s">
        <v>62</v>
      </c>
      <c r="E20" s="5" t="s">
        <v>93</v>
      </c>
      <c r="F20" s="5" t="s">
        <v>6</v>
      </c>
      <c r="G20" s="5">
        <v>135</v>
      </c>
      <c r="H20" s="5">
        <v>2</v>
      </c>
      <c r="I20" s="5">
        <v>8</v>
      </c>
      <c r="J20" s="6">
        <f>G20*120000</f>
        <v>16200000</v>
      </c>
      <c r="K20" s="5" t="s">
        <v>2470</v>
      </c>
    </row>
    <row r="21" spans="1:11" x14ac:dyDescent="0.3">
      <c r="A21" s="2" t="s">
        <v>96</v>
      </c>
      <c r="B21" s="2" t="s">
        <v>98</v>
      </c>
      <c r="C21" s="2" t="s">
        <v>17</v>
      </c>
      <c r="D21" s="2" t="s">
        <v>97</v>
      </c>
      <c r="E21" s="2" t="s">
        <v>99</v>
      </c>
      <c r="F21" s="2" t="s">
        <v>6</v>
      </c>
      <c r="G21" s="2">
        <v>102</v>
      </c>
      <c r="H21" s="2">
        <v>1</v>
      </c>
      <c r="I21" s="2">
        <v>5</v>
      </c>
      <c r="J21" s="3">
        <f>G21*78000</f>
        <v>7956000</v>
      </c>
      <c r="K21" s="2" t="s">
        <v>2470</v>
      </c>
    </row>
    <row r="22" spans="1:11" x14ac:dyDescent="0.3">
      <c r="A22" s="5" t="s">
        <v>100</v>
      </c>
      <c r="B22" s="5" t="s">
        <v>101</v>
      </c>
      <c r="C22" s="5" t="s">
        <v>17</v>
      </c>
      <c r="D22" s="5" t="s">
        <v>97</v>
      </c>
      <c r="E22" s="5" t="s">
        <v>102</v>
      </c>
      <c r="F22" s="5" t="s">
        <v>6</v>
      </c>
      <c r="G22" s="5">
        <v>89</v>
      </c>
      <c r="H22" s="5">
        <v>1</v>
      </c>
      <c r="I22" s="5">
        <v>3</v>
      </c>
      <c r="J22" s="6">
        <f>G22*150000</f>
        <v>13350000</v>
      </c>
      <c r="K22" s="5" t="s">
        <v>2470</v>
      </c>
    </row>
    <row r="23" spans="1:11" x14ac:dyDescent="0.3">
      <c r="A23" s="2" t="s">
        <v>103</v>
      </c>
      <c r="B23" s="2" t="s">
        <v>104</v>
      </c>
      <c r="C23" s="2" t="s">
        <v>17</v>
      </c>
      <c r="D23" s="2" t="s">
        <v>97</v>
      </c>
      <c r="E23" s="2" t="s">
        <v>105</v>
      </c>
      <c r="F23" s="2" t="s">
        <v>6</v>
      </c>
      <c r="G23" s="2">
        <v>137</v>
      </c>
      <c r="H23" s="2">
        <v>2</v>
      </c>
      <c r="I23" s="2">
        <v>8</v>
      </c>
      <c r="J23" s="3">
        <f>G23*42000</f>
        <v>5754000</v>
      </c>
      <c r="K23" s="2" t="s">
        <v>2470</v>
      </c>
    </row>
    <row r="24" spans="1:11" x14ac:dyDescent="0.3">
      <c r="A24" s="5" t="s">
        <v>108</v>
      </c>
      <c r="B24" s="5" t="s">
        <v>109</v>
      </c>
      <c r="C24" s="5" t="s">
        <v>17</v>
      </c>
      <c r="D24" s="5" t="s">
        <v>97</v>
      </c>
      <c r="E24" s="5" t="s">
        <v>110</v>
      </c>
      <c r="F24" s="5" t="s">
        <v>6</v>
      </c>
      <c r="G24" s="5">
        <v>17</v>
      </c>
      <c r="H24" s="5">
        <v>1</v>
      </c>
      <c r="I24" s="5">
        <v>5</v>
      </c>
      <c r="J24" s="6">
        <f>G24*68000</f>
        <v>1156000</v>
      </c>
      <c r="K24" s="5" t="s">
        <v>2470</v>
      </c>
    </row>
    <row r="25" spans="1:11" x14ac:dyDescent="0.3">
      <c r="A25" s="2" t="s">
        <v>111</v>
      </c>
      <c r="B25" s="2" t="s">
        <v>112</v>
      </c>
      <c r="C25" s="2" t="s">
        <v>17</v>
      </c>
      <c r="D25" s="2" t="s">
        <v>97</v>
      </c>
      <c r="E25" s="2" t="s">
        <v>113</v>
      </c>
      <c r="F25" s="2" t="s">
        <v>6</v>
      </c>
      <c r="G25" s="2">
        <v>102</v>
      </c>
      <c r="H25" s="2">
        <v>3</v>
      </c>
      <c r="I25" s="2">
        <v>10</v>
      </c>
      <c r="J25" s="3">
        <f>G25*28000</f>
        <v>2856000</v>
      </c>
      <c r="K25" s="2" t="s">
        <v>2470</v>
      </c>
    </row>
    <row r="26" spans="1:11" x14ac:dyDescent="0.3">
      <c r="A26" s="5" t="s">
        <v>116</v>
      </c>
      <c r="B26" s="5" t="s">
        <v>117</v>
      </c>
      <c r="C26" s="5" t="s">
        <v>17</v>
      </c>
      <c r="D26" s="5" t="s">
        <v>97</v>
      </c>
      <c r="E26" s="5" t="s">
        <v>118</v>
      </c>
      <c r="F26" s="5" t="s">
        <v>6</v>
      </c>
      <c r="G26" s="5">
        <v>6</v>
      </c>
      <c r="H26" s="5">
        <v>2</v>
      </c>
      <c r="I26" s="5">
        <v>8</v>
      </c>
      <c r="J26" s="6">
        <f>G26*55000</f>
        <v>330000</v>
      </c>
      <c r="K26" s="5" t="s">
        <v>2470</v>
      </c>
    </row>
    <row r="27" spans="1:11" x14ac:dyDescent="0.3">
      <c r="A27" s="2" t="s">
        <v>119</v>
      </c>
      <c r="B27" s="2" t="s">
        <v>120</v>
      </c>
      <c r="C27" s="2" t="s">
        <v>17</v>
      </c>
      <c r="D27" s="2" t="s">
        <v>97</v>
      </c>
      <c r="E27" s="2" t="s">
        <v>121</v>
      </c>
      <c r="F27" s="2" t="s">
        <v>6</v>
      </c>
      <c r="G27" s="2">
        <v>63</v>
      </c>
      <c r="H27" s="2">
        <v>1</v>
      </c>
      <c r="I27" s="2">
        <v>3</v>
      </c>
      <c r="J27" s="3">
        <f>G27*195000</f>
        <v>12285000</v>
      </c>
      <c r="K27" s="2" t="s">
        <v>2470</v>
      </c>
    </row>
    <row r="28" spans="1:11" x14ac:dyDescent="0.3">
      <c r="A28" s="5" t="s">
        <v>124</v>
      </c>
      <c r="B28" s="5" t="s">
        <v>125</v>
      </c>
      <c r="C28" s="5" t="s">
        <v>17</v>
      </c>
      <c r="D28" s="5" t="s">
        <v>97</v>
      </c>
      <c r="E28" s="5" t="s">
        <v>126</v>
      </c>
      <c r="F28" s="5" t="s">
        <v>6</v>
      </c>
      <c r="G28" s="5">
        <v>144</v>
      </c>
      <c r="H28" s="5">
        <v>1</v>
      </c>
      <c r="I28" s="5">
        <v>3</v>
      </c>
      <c r="J28" s="6">
        <f>G28*125000</f>
        <v>18000000</v>
      </c>
      <c r="K28" s="5" t="s">
        <v>2470</v>
      </c>
    </row>
    <row r="29" spans="1:11" x14ac:dyDescent="0.3">
      <c r="A29" s="2" t="s">
        <v>129</v>
      </c>
      <c r="B29" s="2" t="s">
        <v>131</v>
      </c>
      <c r="C29" s="2" t="s">
        <v>17</v>
      </c>
      <c r="D29" s="2" t="s">
        <v>130</v>
      </c>
      <c r="E29" s="2" t="s">
        <v>132</v>
      </c>
      <c r="F29" s="2" t="s">
        <v>6</v>
      </c>
      <c r="G29" s="2">
        <v>71</v>
      </c>
      <c r="H29" s="2">
        <v>2</v>
      </c>
      <c r="I29" s="2">
        <v>5</v>
      </c>
      <c r="J29" s="3">
        <f>G29*95000</f>
        <v>6745000</v>
      </c>
      <c r="K29" s="2" t="s">
        <v>2470</v>
      </c>
    </row>
    <row r="30" spans="1:11" x14ac:dyDescent="0.3">
      <c r="A30" s="5" t="s">
        <v>134</v>
      </c>
      <c r="B30" s="5" t="s">
        <v>135</v>
      </c>
      <c r="C30" s="5" t="s">
        <v>17</v>
      </c>
      <c r="D30" s="5" t="s">
        <v>130</v>
      </c>
      <c r="E30" s="5" t="s">
        <v>136</v>
      </c>
      <c r="F30" s="5" t="s">
        <v>6</v>
      </c>
      <c r="G30" s="5">
        <v>109</v>
      </c>
      <c r="H30" s="5">
        <v>2</v>
      </c>
      <c r="I30" s="5">
        <v>5</v>
      </c>
      <c r="J30" s="6">
        <f>G30*75000</f>
        <v>8175000</v>
      </c>
      <c r="K30" s="5" t="s">
        <v>2470</v>
      </c>
    </row>
    <row r="31" spans="1:11" x14ac:dyDescent="0.3">
      <c r="A31" s="2" t="s">
        <v>137</v>
      </c>
      <c r="B31" s="2" t="s">
        <v>138</v>
      </c>
      <c r="C31" s="2" t="s">
        <v>17</v>
      </c>
      <c r="D31" s="2" t="s">
        <v>130</v>
      </c>
      <c r="E31" s="2" t="s">
        <v>139</v>
      </c>
      <c r="F31" s="2" t="s">
        <v>6</v>
      </c>
      <c r="G31" s="2">
        <v>144</v>
      </c>
      <c r="H31" s="2">
        <v>2</v>
      </c>
      <c r="I31" s="2">
        <v>5</v>
      </c>
      <c r="J31" s="3">
        <f>G31*80000</f>
        <v>11520000</v>
      </c>
      <c r="K31" s="2" t="s">
        <v>2470</v>
      </c>
    </row>
    <row r="32" spans="1:11" x14ac:dyDescent="0.3">
      <c r="A32" s="5" t="s">
        <v>142</v>
      </c>
      <c r="B32" s="5" t="s">
        <v>143</v>
      </c>
      <c r="C32" s="5" t="s">
        <v>17</v>
      </c>
      <c r="D32" s="5" t="s">
        <v>130</v>
      </c>
      <c r="E32" s="5" t="s">
        <v>144</v>
      </c>
      <c r="F32" s="5" t="s">
        <v>6</v>
      </c>
      <c r="G32" s="5">
        <v>24</v>
      </c>
      <c r="H32" s="5">
        <v>1</v>
      </c>
      <c r="I32" s="5">
        <v>4</v>
      </c>
      <c r="J32" s="6">
        <f>G32*65000</f>
        <v>1560000</v>
      </c>
      <c r="K32" s="5" t="s">
        <v>2470</v>
      </c>
    </row>
    <row r="33" spans="1:11" x14ac:dyDescent="0.3">
      <c r="A33" s="2" t="s">
        <v>145</v>
      </c>
      <c r="B33" s="2" t="s">
        <v>146</v>
      </c>
      <c r="C33" s="2" t="s">
        <v>17</v>
      </c>
      <c r="D33" s="2" t="s">
        <v>130</v>
      </c>
      <c r="E33" s="2" t="s">
        <v>147</v>
      </c>
      <c r="F33" s="2" t="s">
        <v>6</v>
      </c>
      <c r="G33" s="2">
        <v>71</v>
      </c>
      <c r="H33" s="2">
        <v>1</v>
      </c>
      <c r="I33" s="2">
        <v>4</v>
      </c>
      <c r="J33" s="3">
        <f>G33*72000</f>
        <v>5112000</v>
      </c>
      <c r="K33" s="2" t="s">
        <v>2470</v>
      </c>
    </row>
    <row r="34" spans="1:11" x14ac:dyDescent="0.3">
      <c r="A34" s="5" t="s">
        <v>148</v>
      </c>
      <c r="B34" s="5" t="s">
        <v>149</v>
      </c>
      <c r="C34" s="5" t="s">
        <v>17</v>
      </c>
      <c r="D34" s="5" t="s">
        <v>130</v>
      </c>
      <c r="E34" s="5" t="s">
        <v>150</v>
      </c>
      <c r="F34" s="5" t="s">
        <v>6</v>
      </c>
      <c r="G34" s="5">
        <v>143</v>
      </c>
      <c r="H34" s="5">
        <v>1</v>
      </c>
      <c r="I34" s="5">
        <v>4</v>
      </c>
      <c r="J34" s="6">
        <f>G34*82000</f>
        <v>11726000</v>
      </c>
      <c r="K34" s="5" t="s">
        <v>2470</v>
      </c>
    </row>
    <row r="35" spans="1:11" x14ac:dyDescent="0.3">
      <c r="A35" s="2" t="s">
        <v>153</v>
      </c>
      <c r="B35" s="2" t="s">
        <v>154</v>
      </c>
      <c r="C35" s="2" t="s">
        <v>17</v>
      </c>
      <c r="D35" s="2" t="s">
        <v>130</v>
      </c>
      <c r="E35" s="2" t="s">
        <v>155</v>
      </c>
      <c r="F35" s="2" t="s">
        <v>6</v>
      </c>
      <c r="G35" s="2">
        <v>28</v>
      </c>
      <c r="H35" s="2">
        <v>2</v>
      </c>
      <c r="I35" s="2">
        <v>5</v>
      </c>
      <c r="J35" s="3">
        <f>G35*45000</f>
        <v>1260000</v>
      </c>
      <c r="K35" s="2" t="s">
        <v>2470</v>
      </c>
    </row>
    <row r="36" spans="1:11" x14ac:dyDescent="0.3">
      <c r="A36" s="5" t="s">
        <v>156</v>
      </c>
      <c r="B36" s="5" t="s">
        <v>157</v>
      </c>
      <c r="C36" s="5" t="s">
        <v>17</v>
      </c>
      <c r="D36" s="5" t="s">
        <v>130</v>
      </c>
      <c r="E36" s="5" t="s">
        <v>158</v>
      </c>
      <c r="F36" s="5" t="s">
        <v>6</v>
      </c>
      <c r="G36" s="5">
        <v>126</v>
      </c>
      <c r="H36" s="5">
        <v>1</v>
      </c>
      <c r="I36" s="5">
        <v>4</v>
      </c>
      <c r="J36" s="6">
        <f>G36*75000</f>
        <v>9450000</v>
      </c>
      <c r="K36" s="5" t="s">
        <v>2470</v>
      </c>
    </row>
    <row r="37" spans="1:11" x14ac:dyDescent="0.3">
      <c r="A37" s="2" t="s">
        <v>159</v>
      </c>
      <c r="B37" s="2" t="s">
        <v>160</v>
      </c>
      <c r="C37" s="2" t="s">
        <v>17</v>
      </c>
      <c r="D37" s="2" t="s">
        <v>130</v>
      </c>
      <c r="E37" s="2" t="s">
        <v>161</v>
      </c>
      <c r="F37" s="2" t="s">
        <v>6</v>
      </c>
      <c r="G37" s="2">
        <v>79</v>
      </c>
      <c r="H37" s="2">
        <v>3</v>
      </c>
      <c r="I37" s="2">
        <v>8</v>
      </c>
      <c r="J37" s="3">
        <f>G37*22000</f>
        <v>1738000</v>
      </c>
      <c r="K37" s="2" t="s">
        <v>2470</v>
      </c>
    </row>
    <row r="38" spans="1:11" x14ac:dyDescent="0.3">
      <c r="A38" s="5" t="s">
        <v>163</v>
      </c>
      <c r="B38" s="5" t="s">
        <v>164</v>
      </c>
      <c r="C38" s="5" t="s">
        <v>17</v>
      </c>
      <c r="D38" s="5" t="s">
        <v>130</v>
      </c>
      <c r="E38" s="5" t="s">
        <v>165</v>
      </c>
      <c r="F38" s="5" t="s">
        <v>6</v>
      </c>
      <c r="G38" s="5">
        <v>33</v>
      </c>
      <c r="H38" s="5">
        <v>5</v>
      </c>
      <c r="I38" s="5">
        <v>15</v>
      </c>
      <c r="J38" s="6">
        <f>G38*3500</f>
        <v>115500</v>
      </c>
      <c r="K38" s="5" t="s">
        <v>2470</v>
      </c>
    </row>
    <row r="39" spans="1:11" x14ac:dyDescent="0.3">
      <c r="A39" s="2" t="s">
        <v>168</v>
      </c>
      <c r="B39" s="2" t="s">
        <v>171</v>
      </c>
      <c r="C39" s="2" t="s">
        <v>169</v>
      </c>
      <c r="D39" s="2" t="s">
        <v>170</v>
      </c>
      <c r="E39" s="2" t="s">
        <v>172</v>
      </c>
      <c r="F39" s="2" t="s">
        <v>6</v>
      </c>
      <c r="G39" s="2">
        <v>79</v>
      </c>
      <c r="H39" s="2">
        <v>10</v>
      </c>
      <c r="I39" s="2">
        <v>50</v>
      </c>
      <c r="J39" s="3">
        <f>G39*3800</f>
        <v>300200</v>
      </c>
      <c r="K39" s="2" t="s">
        <v>2470</v>
      </c>
    </row>
    <row r="40" spans="1:11" x14ac:dyDescent="0.3">
      <c r="A40" s="5" t="s">
        <v>175</v>
      </c>
      <c r="B40" s="5" t="s">
        <v>176</v>
      </c>
      <c r="C40" s="5" t="s">
        <v>169</v>
      </c>
      <c r="D40" s="5" t="s">
        <v>170</v>
      </c>
      <c r="E40" s="5" t="s">
        <v>177</v>
      </c>
      <c r="F40" s="5" t="s">
        <v>6</v>
      </c>
      <c r="G40" s="5">
        <v>79</v>
      </c>
      <c r="H40" s="5">
        <v>20</v>
      </c>
      <c r="I40" s="5">
        <v>100</v>
      </c>
      <c r="J40" s="6">
        <f>G40*800</f>
        <v>63200</v>
      </c>
      <c r="K40" s="5" t="s">
        <v>2470</v>
      </c>
    </row>
    <row r="41" spans="1:11" x14ac:dyDescent="0.3">
      <c r="A41" s="2" t="s">
        <v>178</v>
      </c>
      <c r="B41" s="2" t="s">
        <v>179</v>
      </c>
      <c r="C41" s="2" t="s">
        <v>169</v>
      </c>
      <c r="D41" s="2" t="s">
        <v>170</v>
      </c>
      <c r="E41" s="2" t="s">
        <v>180</v>
      </c>
      <c r="F41" s="2" t="s">
        <v>6</v>
      </c>
      <c r="G41" s="2">
        <v>64</v>
      </c>
      <c r="H41" s="2">
        <v>15</v>
      </c>
      <c r="I41" s="2">
        <v>75</v>
      </c>
      <c r="J41" s="3">
        <f>G41*1100</f>
        <v>70400</v>
      </c>
      <c r="K41" s="2" t="s">
        <v>2470</v>
      </c>
    </row>
    <row r="42" spans="1:11" x14ac:dyDescent="0.3">
      <c r="A42" s="5" t="s">
        <v>183</v>
      </c>
      <c r="B42" s="5" t="s">
        <v>184</v>
      </c>
      <c r="C42" s="5" t="s">
        <v>169</v>
      </c>
      <c r="D42" s="5" t="s">
        <v>170</v>
      </c>
      <c r="E42" s="5" t="s">
        <v>185</v>
      </c>
      <c r="F42" s="5" t="s">
        <v>6</v>
      </c>
      <c r="G42" s="5">
        <v>129</v>
      </c>
      <c r="H42" s="5">
        <v>25</v>
      </c>
      <c r="I42" s="5">
        <v>100</v>
      </c>
      <c r="J42" s="6">
        <f>G42*580</f>
        <v>74820</v>
      </c>
      <c r="K42" s="5" t="s">
        <v>2470</v>
      </c>
    </row>
    <row r="43" spans="1:11" x14ac:dyDescent="0.3">
      <c r="A43" s="2" t="s">
        <v>186</v>
      </c>
      <c r="B43" s="2" t="s">
        <v>187</v>
      </c>
      <c r="C43" s="2" t="s">
        <v>169</v>
      </c>
      <c r="D43" s="2" t="s">
        <v>170</v>
      </c>
      <c r="E43" s="2" t="s">
        <v>188</v>
      </c>
      <c r="F43" s="2" t="s">
        <v>6</v>
      </c>
      <c r="G43" s="2">
        <v>20</v>
      </c>
      <c r="H43" s="2">
        <v>20</v>
      </c>
      <c r="I43" s="2">
        <v>100</v>
      </c>
      <c r="J43" s="3">
        <f>G43*600</f>
        <v>12000</v>
      </c>
      <c r="K43" s="2" t="s">
        <v>2470</v>
      </c>
    </row>
    <row r="44" spans="1:11" x14ac:dyDescent="0.3">
      <c r="A44" s="5" t="s">
        <v>190</v>
      </c>
      <c r="B44" s="5" t="s">
        <v>191</v>
      </c>
      <c r="C44" s="5" t="s">
        <v>169</v>
      </c>
      <c r="D44" s="5" t="s">
        <v>170</v>
      </c>
      <c r="E44" s="5" t="s">
        <v>192</v>
      </c>
      <c r="F44" s="5" t="s">
        <v>6</v>
      </c>
      <c r="G44" s="5">
        <v>35</v>
      </c>
      <c r="H44" s="5">
        <v>30</v>
      </c>
      <c r="I44" s="5">
        <v>150</v>
      </c>
      <c r="J44" s="6">
        <f>G44*125</f>
        <v>4375</v>
      </c>
      <c r="K44" s="5" t="s">
        <v>2470</v>
      </c>
    </row>
    <row r="45" spans="1:11" x14ac:dyDescent="0.3">
      <c r="A45" s="2" t="s">
        <v>193</v>
      </c>
      <c r="B45" s="2" t="s">
        <v>194</v>
      </c>
      <c r="C45" s="2" t="s">
        <v>169</v>
      </c>
      <c r="D45" s="2" t="s">
        <v>170</v>
      </c>
      <c r="E45" s="2" t="s">
        <v>195</v>
      </c>
      <c r="F45" s="2" t="s">
        <v>6</v>
      </c>
      <c r="G45" s="2">
        <v>62</v>
      </c>
      <c r="H45" s="2">
        <v>15</v>
      </c>
      <c r="I45" s="2">
        <v>60</v>
      </c>
      <c r="J45" s="3">
        <f>G45*2000</f>
        <v>124000</v>
      </c>
      <c r="K45" s="2" t="s">
        <v>2470</v>
      </c>
    </row>
    <row r="46" spans="1:11" x14ac:dyDescent="0.3">
      <c r="A46" s="5" t="s">
        <v>198</v>
      </c>
      <c r="B46" s="5" t="s">
        <v>199</v>
      </c>
      <c r="C46" s="5" t="s">
        <v>169</v>
      </c>
      <c r="D46" s="5" t="s">
        <v>170</v>
      </c>
      <c r="E46" s="5" t="s">
        <v>200</v>
      </c>
      <c r="F46" s="5" t="s">
        <v>6</v>
      </c>
      <c r="G46" s="5">
        <v>80</v>
      </c>
      <c r="H46" s="5">
        <v>30</v>
      </c>
      <c r="I46" s="5">
        <v>120</v>
      </c>
      <c r="J46" s="6">
        <f>G46*430</f>
        <v>34400</v>
      </c>
      <c r="K46" s="5" t="s">
        <v>2470</v>
      </c>
    </row>
    <row r="47" spans="1:11" x14ac:dyDescent="0.3">
      <c r="A47" s="2" t="s">
        <v>201</v>
      </c>
      <c r="B47" s="2" t="s">
        <v>202</v>
      </c>
      <c r="C47" s="2" t="s">
        <v>169</v>
      </c>
      <c r="D47" s="2" t="s">
        <v>170</v>
      </c>
      <c r="E47" s="2" t="s">
        <v>203</v>
      </c>
      <c r="F47" s="2" t="s">
        <v>6</v>
      </c>
      <c r="G47" s="2">
        <v>30</v>
      </c>
      <c r="H47" s="2">
        <v>15</v>
      </c>
      <c r="I47" s="2">
        <v>60</v>
      </c>
      <c r="J47" s="3">
        <f>G47*1900</f>
        <v>57000</v>
      </c>
      <c r="K47" s="2" t="s">
        <v>2470</v>
      </c>
    </row>
    <row r="48" spans="1:11" x14ac:dyDescent="0.3">
      <c r="A48" s="5" t="s">
        <v>206</v>
      </c>
      <c r="B48" s="5" t="s">
        <v>207</v>
      </c>
      <c r="C48" s="5" t="s">
        <v>169</v>
      </c>
      <c r="D48" s="5" t="s">
        <v>170</v>
      </c>
      <c r="E48" s="5" t="s">
        <v>208</v>
      </c>
      <c r="F48" s="5" t="s">
        <v>6</v>
      </c>
      <c r="G48" s="5">
        <v>7</v>
      </c>
      <c r="H48" s="5">
        <v>20</v>
      </c>
      <c r="I48" s="5">
        <v>80</v>
      </c>
      <c r="J48" s="6">
        <f>G48*1100</f>
        <v>7700</v>
      </c>
      <c r="K48" s="8" t="s">
        <v>2471</v>
      </c>
    </row>
    <row r="49" spans="1:11" x14ac:dyDescent="0.3">
      <c r="A49" s="2" t="s">
        <v>211</v>
      </c>
      <c r="B49" s="2" t="s">
        <v>213</v>
      </c>
      <c r="C49" s="2" t="s">
        <v>169</v>
      </c>
      <c r="D49" s="2" t="s">
        <v>212</v>
      </c>
      <c r="E49" s="2" t="s">
        <v>214</v>
      </c>
      <c r="F49" s="2" t="s">
        <v>6</v>
      </c>
      <c r="G49" s="2">
        <v>104</v>
      </c>
      <c r="H49" s="2">
        <v>20</v>
      </c>
      <c r="I49" s="2">
        <v>80</v>
      </c>
      <c r="J49" s="3">
        <f>G49*65</f>
        <v>6760</v>
      </c>
      <c r="K49" s="2" t="s">
        <v>2470</v>
      </c>
    </row>
    <row r="50" spans="1:11" x14ac:dyDescent="0.3">
      <c r="A50" s="5" t="s">
        <v>215</v>
      </c>
      <c r="B50" s="5" t="s">
        <v>216</v>
      </c>
      <c r="C50" s="5" t="s">
        <v>169</v>
      </c>
      <c r="D50" s="5" t="s">
        <v>212</v>
      </c>
      <c r="E50" s="5" t="s">
        <v>217</v>
      </c>
      <c r="F50" s="5" t="s">
        <v>6</v>
      </c>
      <c r="G50" s="5">
        <v>129</v>
      </c>
      <c r="H50" s="5">
        <v>20</v>
      </c>
      <c r="I50" s="5">
        <v>80</v>
      </c>
      <c r="J50" s="6">
        <f>G50*70</f>
        <v>9030</v>
      </c>
      <c r="K50" s="5" t="s">
        <v>2470</v>
      </c>
    </row>
    <row r="51" spans="1:11" x14ac:dyDescent="0.3">
      <c r="A51" s="2" t="s">
        <v>220</v>
      </c>
      <c r="B51" s="2" t="s">
        <v>221</v>
      </c>
      <c r="C51" s="2" t="s">
        <v>169</v>
      </c>
      <c r="D51" s="2" t="s">
        <v>212</v>
      </c>
      <c r="E51" s="2" t="s">
        <v>222</v>
      </c>
      <c r="F51" s="2" t="s">
        <v>6</v>
      </c>
      <c r="G51" s="2">
        <v>77</v>
      </c>
      <c r="H51" s="2">
        <v>20</v>
      </c>
      <c r="I51" s="2">
        <v>80</v>
      </c>
      <c r="J51" s="3">
        <f>G51*95</f>
        <v>7315</v>
      </c>
      <c r="K51" s="2" t="s">
        <v>2470</v>
      </c>
    </row>
    <row r="52" spans="1:11" x14ac:dyDescent="0.3">
      <c r="A52" s="5" t="s">
        <v>223</v>
      </c>
      <c r="B52" s="5" t="s">
        <v>224</v>
      </c>
      <c r="C52" s="5" t="s">
        <v>169</v>
      </c>
      <c r="D52" s="5" t="s">
        <v>212</v>
      </c>
      <c r="E52" s="5" t="s">
        <v>225</v>
      </c>
      <c r="F52" s="5" t="s">
        <v>6</v>
      </c>
      <c r="G52" s="5">
        <v>45</v>
      </c>
      <c r="H52" s="5">
        <v>20</v>
      </c>
      <c r="I52" s="5">
        <v>80</v>
      </c>
      <c r="J52" s="6">
        <f>G52*75</f>
        <v>3375</v>
      </c>
      <c r="K52" s="5" t="s">
        <v>2470</v>
      </c>
    </row>
    <row r="53" spans="1:11" x14ac:dyDescent="0.3">
      <c r="A53" s="2" t="s">
        <v>228</v>
      </c>
      <c r="B53" s="2" t="s">
        <v>229</v>
      </c>
      <c r="C53" s="2" t="s">
        <v>169</v>
      </c>
      <c r="D53" s="2" t="s">
        <v>212</v>
      </c>
      <c r="E53" s="2" t="s">
        <v>230</v>
      </c>
      <c r="F53" s="2" t="s">
        <v>6</v>
      </c>
      <c r="G53" s="2">
        <v>134</v>
      </c>
      <c r="H53" s="2">
        <v>25</v>
      </c>
      <c r="I53" s="2">
        <v>100</v>
      </c>
      <c r="J53" s="3">
        <f>G53*55</f>
        <v>7370</v>
      </c>
      <c r="K53" s="2" t="s">
        <v>2470</v>
      </c>
    </row>
    <row r="54" spans="1:11" x14ac:dyDescent="0.3">
      <c r="A54" s="5" t="s">
        <v>231</v>
      </c>
      <c r="B54" s="5" t="s">
        <v>232</v>
      </c>
      <c r="C54" s="5" t="s">
        <v>169</v>
      </c>
      <c r="D54" s="5" t="s">
        <v>212</v>
      </c>
      <c r="E54" s="5" t="s">
        <v>233</v>
      </c>
      <c r="F54" s="5" t="s">
        <v>6</v>
      </c>
      <c r="G54" s="5">
        <v>47</v>
      </c>
      <c r="H54" s="5">
        <v>25</v>
      </c>
      <c r="I54" s="5">
        <v>100</v>
      </c>
      <c r="J54" s="6">
        <f>G54*65</f>
        <v>3055</v>
      </c>
      <c r="K54" s="5" t="s">
        <v>2470</v>
      </c>
    </row>
    <row r="55" spans="1:11" x14ac:dyDescent="0.3">
      <c r="A55" s="2" t="s">
        <v>234</v>
      </c>
      <c r="B55" s="2" t="s">
        <v>235</v>
      </c>
      <c r="C55" s="2" t="s">
        <v>169</v>
      </c>
      <c r="D55" s="2" t="s">
        <v>212</v>
      </c>
      <c r="E55" s="2" t="s">
        <v>236</v>
      </c>
      <c r="F55" s="2" t="s">
        <v>6</v>
      </c>
      <c r="G55" s="2">
        <v>120</v>
      </c>
      <c r="H55" s="2">
        <v>25</v>
      </c>
      <c r="I55" s="2">
        <v>100</v>
      </c>
      <c r="J55" s="3">
        <f>G55*75</f>
        <v>9000</v>
      </c>
      <c r="K55" s="2" t="s">
        <v>2470</v>
      </c>
    </row>
    <row r="56" spans="1:11" x14ac:dyDescent="0.3">
      <c r="A56" s="5" t="s">
        <v>237</v>
      </c>
      <c r="B56" s="5" t="s">
        <v>238</v>
      </c>
      <c r="C56" s="5" t="s">
        <v>169</v>
      </c>
      <c r="D56" s="5" t="s">
        <v>212</v>
      </c>
      <c r="E56" s="5" t="s">
        <v>239</v>
      </c>
      <c r="F56" s="5" t="s">
        <v>6</v>
      </c>
      <c r="G56" s="5">
        <v>84</v>
      </c>
      <c r="H56" s="5">
        <v>30</v>
      </c>
      <c r="I56" s="5">
        <v>100</v>
      </c>
      <c r="J56" s="6">
        <f>G56*50</f>
        <v>4200</v>
      </c>
      <c r="K56" s="5" t="s">
        <v>2470</v>
      </c>
    </row>
    <row r="57" spans="1:11" x14ac:dyDescent="0.3">
      <c r="A57" s="2" t="s">
        <v>240</v>
      </c>
      <c r="B57" s="2" t="s">
        <v>241</v>
      </c>
      <c r="C57" s="2" t="s">
        <v>169</v>
      </c>
      <c r="D57" s="2" t="s">
        <v>212</v>
      </c>
      <c r="E57" s="2" t="s">
        <v>242</v>
      </c>
      <c r="F57" s="2" t="s">
        <v>6</v>
      </c>
      <c r="G57" s="2">
        <v>131</v>
      </c>
      <c r="H57" s="2">
        <v>30</v>
      </c>
      <c r="I57" s="2">
        <v>100</v>
      </c>
      <c r="J57" s="3">
        <f>G57*70</f>
        <v>9170</v>
      </c>
      <c r="K57" s="2" t="s">
        <v>2470</v>
      </c>
    </row>
    <row r="58" spans="1:11" x14ac:dyDescent="0.3">
      <c r="A58" s="5" t="s">
        <v>243</v>
      </c>
      <c r="B58" s="5" t="s">
        <v>244</v>
      </c>
      <c r="C58" s="5" t="s">
        <v>169</v>
      </c>
      <c r="D58" s="5" t="s">
        <v>212</v>
      </c>
      <c r="E58" s="5" t="s">
        <v>245</v>
      </c>
      <c r="F58" s="5" t="s">
        <v>6</v>
      </c>
      <c r="G58" s="5">
        <v>115</v>
      </c>
      <c r="H58" s="5">
        <v>25</v>
      </c>
      <c r="I58" s="5">
        <v>100</v>
      </c>
      <c r="J58" s="6">
        <f>G58*58</f>
        <v>6670</v>
      </c>
      <c r="K58" s="5" t="s">
        <v>2470</v>
      </c>
    </row>
    <row r="59" spans="1:11" x14ac:dyDescent="0.3">
      <c r="A59" s="2" t="s">
        <v>246</v>
      </c>
      <c r="B59" s="2" t="s">
        <v>248</v>
      </c>
      <c r="C59" s="2" t="s">
        <v>169</v>
      </c>
      <c r="D59" s="2" t="s">
        <v>247</v>
      </c>
      <c r="E59" s="2" t="s">
        <v>249</v>
      </c>
      <c r="F59" s="2" t="s">
        <v>6</v>
      </c>
      <c r="G59" s="2">
        <v>85</v>
      </c>
      <c r="H59" s="2">
        <v>10</v>
      </c>
      <c r="I59" s="2">
        <v>40</v>
      </c>
      <c r="J59" s="3">
        <f>G59*1350</f>
        <v>114750</v>
      </c>
      <c r="K59" s="2" t="s">
        <v>2470</v>
      </c>
    </row>
    <row r="60" spans="1:11" x14ac:dyDescent="0.3">
      <c r="A60" s="5" t="s">
        <v>252</v>
      </c>
      <c r="B60" s="5" t="s">
        <v>253</v>
      </c>
      <c r="C60" s="5" t="s">
        <v>169</v>
      </c>
      <c r="D60" s="5" t="s">
        <v>247</v>
      </c>
      <c r="E60" s="5" t="s">
        <v>254</v>
      </c>
      <c r="F60" s="5" t="s">
        <v>6</v>
      </c>
      <c r="G60" s="5">
        <v>133</v>
      </c>
      <c r="H60" s="5">
        <v>15</v>
      </c>
      <c r="I60" s="5">
        <v>60</v>
      </c>
      <c r="J60" s="6">
        <f>G60*580</f>
        <v>77140</v>
      </c>
      <c r="K60" s="5" t="s">
        <v>2470</v>
      </c>
    </row>
    <row r="61" spans="1:11" x14ac:dyDescent="0.3">
      <c r="A61" s="2" t="s">
        <v>257</v>
      </c>
      <c r="B61" s="2" t="s">
        <v>258</v>
      </c>
      <c r="C61" s="2" t="s">
        <v>169</v>
      </c>
      <c r="D61" s="2" t="s">
        <v>247</v>
      </c>
      <c r="E61" s="2" t="s">
        <v>259</v>
      </c>
      <c r="F61" s="2" t="s">
        <v>6</v>
      </c>
      <c r="G61" s="2">
        <v>86</v>
      </c>
      <c r="H61" s="2">
        <v>15</v>
      </c>
      <c r="I61" s="2">
        <v>60</v>
      </c>
      <c r="J61" s="3">
        <f>G61*650</f>
        <v>55900</v>
      </c>
      <c r="K61" s="2" t="s">
        <v>2470</v>
      </c>
    </row>
    <row r="62" spans="1:11" x14ac:dyDescent="0.3">
      <c r="A62" s="5" t="s">
        <v>262</v>
      </c>
      <c r="B62" s="5" t="s">
        <v>263</v>
      </c>
      <c r="C62" s="5" t="s">
        <v>169</v>
      </c>
      <c r="D62" s="5" t="s">
        <v>247</v>
      </c>
      <c r="E62" s="5" t="s">
        <v>264</v>
      </c>
      <c r="F62" s="5" t="s">
        <v>6</v>
      </c>
      <c r="G62" s="5">
        <v>17</v>
      </c>
      <c r="H62" s="5">
        <v>15</v>
      </c>
      <c r="I62" s="5">
        <v>60</v>
      </c>
      <c r="J62" s="6">
        <f>G62*350</f>
        <v>5950</v>
      </c>
      <c r="K62" s="5" t="s">
        <v>2470</v>
      </c>
    </row>
    <row r="63" spans="1:11" x14ac:dyDescent="0.3">
      <c r="A63" s="2" t="s">
        <v>267</v>
      </c>
      <c r="B63" s="2" t="s">
        <v>268</v>
      </c>
      <c r="C63" s="2" t="s">
        <v>169</v>
      </c>
      <c r="D63" s="2" t="s">
        <v>247</v>
      </c>
      <c r="E63" s="2" t="s">
        <v>269</v>
      </c>
      <c r="F63" s="2" t="s">
        <v>6</v>
      </c>
      <c r="G63" s="2">
        <v>5</v>
      </c>
      <c r="H63" s="2">
        <v>10</v>
      </c>
      <c r="I63" s="2">
        <v>40</v>
      </c>
      <c r="J63" s="3">
        <f>G63*480</f>
        <v>2400</v>
      </c>
      <c r="K63" s="8" t="s">
        <v>2471</v>
      </c>
    </row>
    <row r="64" spans="1:11" x14ac:dyDescent="0.3">
      <c r="A64" s="5" t="s">
        <v>271</v>
      </c>
      <c r="B64" s="5" t="s">
        <v>272</v>
      </c>
      <c r="C64" s="5" t="s">
        <v>169</v>
      </c>
      <c r="D64" s="5" t="s">
        <v>247</v>
      </c>
      <c r="E64" s="5" t="s">
        <v>273</v>
      </c>
      <c r="F64" s="5" t="s">
        <v>6</v>
      </c>
      <c r="G64" s="5">
        <v>26</v>
      </c>
      <c r="H64" s="5">
        <v>30</v>
      </c>
      <c r="I64" s="5">
        <v>120</v>
      </c>
      <c r="J64" s="6">
        <f>G64*120</f>
        <v>3120</v>
      </c>
      <c r="K64" s="8" t="s">
        <v>2471</v>
      </c>
    </row>
    <row r="65" spans="1:11" x14ac:dyDescent="0.3">
      <c r="A65" s="2" t="s">
        <v>276</v>
      </c>
      <c r="B65" s="2" t="s">
        <v>277</v>
      </c>
      <c r="C65" s="2" t="s">
        <v>169</v>
      </c>
      <c r="D65" s="2" t="s">
        <v>247</v>
      </c>
      <c r="E65" s="2" t="s">
        <v>278</v>
      </c>
      <c r="F65" s="2" t="s">
        <v>6</v>
      </c>
      <c r="G65" s="2">
        <v>121</v>
      </c>
      <c r="H65" s="2">
        <v>30</v>
      </c>
      <c r="I65" s="2">
        <v>120</v>
      </c>
      <c r="J65" s="3">
        <f>G65*120</f>
        <v>14520</v>
      </c>
      <c r="K65" s="2" t="s">
        <v>2470</v>
      </c>
    </row>
    <row r="66" spans="1:11" x14ac:dyDescent="0.3">
      <c r="A66" s="5" t="s">
        <v>281</v>
      </c>
      <c r="B66" s="5" t="s">
        <v>282</v>
      </c>
      <c r="C66" s="5" t="s">
        <v>169</v>
      </c>
      <c r="D66" s="5" t="s">
        <v>247</v>
      </c>
      <c r="E66" s="5" t="s">
        <v>283</v>
      </c>
      <c r="F66" s="5" t="s">
        <v>6</v>
      </c>
      <c r="G66" s="5">
        <v>124</v>
      </c>
      <c r="H66" s="5">
        <v>20</v>
      </c>
      <c r="I66" s="5">
        <v>80</v>
      </c>
      <c r="J66" s="6">
        <f>G66*150</f>
        <v>18600</v>
      </c>
      <c r="K66" s="5" t="s">
        <v>2470</v>
      </c>
    </row>
    <row r="67" spans="1:11" x14ac:dyDescent="0.3">
      <c r="A67" s="2" t="s">
        <v>285</v>
      </c>
      <c r="B67" s="2" t="s">
        <v>286</v>
      </c>
      <c r="C67" s="2" t="s">
        <v>169</v>
      </c>
      <c r="D67" s="2" t="s">
        <v>247</v>
      </c>
      <c r="E67" s="2" t="s">
        <v>287</v>
      </c>
      <c r="F67" s="2" t="s">
        <v>6</v>
      </c>
      <c r="G67" s="2">
        <v>66</v>
      </c>
      <c r="H67" s="2">
        <v>40</v>
      </c>
      <c r="I67" s="2">
        <v>200</v>
      </c>
      <c r="J67" s="3">
        <f>G67*180</f>
        <v>11880</v>
      </c>
      <c r="K67" s="2" t="s">
        <v>2470</v>
      </c>
    </row>
    <row r="68" spans="1:11" x14ac:dyDescent="0.3">
      <c r="A68" s="5" t="s">
        <v>290</v>
      </c>
      <c r="B68" s="5" t="s">
        <v>291</v>
      </c>
      <c r="C68" s="5" t="s">
        <v>169</v>
      </c>
      <c r="D68" s="5" t="s">
        <v>247</v>
      </c>
      <c r="E68" s="5" t="s">
        <v>292</v>
      </c>
      <c r="F68" s="5" t="s">
        <v>6</v>
      </c>
      <c r="G68" s="5">
        <v>122</v>
      </c>
      <c r="H68" s="5">
        <v>20</v>
      </c>
      <c r="I68" s="5">
        <v>80</v>
      </c>
      <c r="J68" s="6">
        <f>G68*250</f>
        <v>30500</v>
      </c>
      <c r="K68" s="5" t="s">
        <v>2470</v>
      </c>
    </row>
    <row r="69" spans="1:11" x14ac:dyDescent="0.3">
      <c r="A69" s="2" t="s">
        <v>295</v>
      </c>
      <c r="B69" s="2" t="s">
        <v>297</v>
      </c>
      <c r="C69" s="2" t="s">
        <v>169</v>
      </c>
      <c r="D69" s="2" t="s">
        <v>296</v>
      </c>
      <c r="E69" s="2" t="s">
        <v>298</v>
      </c>
      <c r="F69" s="2" t="s">
        <v>6</v>
      </c>
      <c r="G69" s="2">
        <v>64</v>
      </c>
      <c r="H69" s="2">
        <v>40</v>
      </c>
      <c r="I69" s="2">
        <v>200</v>
      </c>
      <c r="J69" s="3">
        <f>G69*185</f>
        <v>11840</v>
      </c>
      <c r="K69" s="2" t="s">
        <v>2470</v>
      </c>
    </row>
    <row r="70" spans="1:11" x14ac:dyDescent="0.3">
      <c r="A70" s="5" t="s">
        <v>299</v>
      </c>
      <c r="B70" s="5" t="s">
        <v>300</v>
      </c>
      <c r="C70" s="5" t="s">
        <v>169</v>
      </c>
      <c r="D70" s="5" t="s">
        <v>296</v>
      </c>
      <c r="E70" s="5" t="s">
        <v>301</v>
      </c>
      <c r="F70" s="5" t="s">
        <v>6</v>
      </c>
      <c r="G70" s="5">
        <v>148</v>
      </c>
      <c r="H70" s="5">
        <v>10</v>
      </c>
      <c r="I70" s="5">
        <v>40</v>
      </c>
      <c r="J70" s="6">
        <f>G70*1200</f>
        <v>177600</v>
      </c>
      <c r="K70" s="5" t="s">
        <v>2470</v>
      </c>
    </row>
    <row r="71" spans="1:11" x14ac:dyDescent="0.3">
      <c r="A71" s="2" t="s">
        <v>302</v>
      </c>
      <c r="B71" s="2" t="s">
        <v>303</v>
      </c>
      <c r="C71" s="2" t="s">
        <v>169</v>
      </c>
      <c r="D71" s="2" t="s">
        <v>296</v>
      </c>
      <c r="E71" s="2" t="s">
        <v>304</v>
      </c>
      <c r="F71" s="2" t="s">
        <v>6</v>
      </c>
      <c r="G71" s="2">
        <v>65</v>
      </c>
      <c r="H71" s="2">
        <v>40</v>
      </c>
      <c r="I71" s="2">
        <v>200</v>
      </c>
      <c r="J71" s="3">
        <f>G71*180</f>
        <v>11700</v>
      </c>
      <c r="K71" s="2" t="s">
        <v>2470</v>
      </c>
    </row>
    <row r="72" spans="1:11" x14ac:dyDescent="0.3">
      <c r="A72" s="5" t="s">
        <v>307</v>
      </c>
      <c r="B72" s="5" t="s">
        <v>308</v>
      </c>
      <c r="C72" s="5" t="s">
        <v>169</v>
      </c>
      <c r="D72" s="5" t="s">
        <v>296</v>
      </c>
      <c r="E72" s="5" t="s">
        <v>309</v>
      </c>
      <c r="F72" s="5" t="s">
        <v>6</v>
      </c>
      <c r="G72" s="5">
        <v>43</v>
      </c>
      <c r="H72" s="5">
        <v>20</v>
      </c>
      <c r="I72" s="5">
        <v>80</v>
      </c>
      <c r="J72" s="6">
        <f>G72*280</f>
        <v>12040</v>
      </c>
      <c r="K72" s="5" t="s">
        <v>2470</v>
      </c>
    </row>
    <row r="73" spans="1:11" x14ac:dyDescent="0.3">
      <c r="A73" s="2" t="s">
        <v>312</v>
      </c>
      <c r="B73" s="2" t="s">
        <v>313</v>
      </c>
      <c r="C73" s="2" t="s">
        <v>169</v>
      </c>
      <c r="D73" s="2" t="s">
        <v>296</v>
      </c>
      <c r="E73" s="2" t="s">
        <v>314</v>
      </c>
      <c r="F73" s="2" t="s">
        <v>6</v>
      </c>
      <c r="G73" s="2">
        <v>47</v>
      </c>
      <c r="H73" s="2">
        <v>15</v>
      </c>
      <c r="I73" s="2">
        <v>60</v>
      </c>
      <c r="J73" s="3">
        <f>G73*350</f>
        <v>16450</v>
      </c>
      <c r="K73" s="2" t="s">
        <v>2470</v>
      </c>
    </row>
    <row r="74" spans="1:11" x14ac:dyDescent="0.3">
      <c r="A74" s="5" t="s">
        <v>317</v>
      </c>
      <c r="B74" s="5" t="s">
        <v>318</v>
      </c>
      <c r="C74" s="5" t="s">
        <v>169</v>
      </c>
      <c r="D74" s="5" t="s">
        <v>296</v>
      </c>
      <c r="E74" s="5" t="s">
        <v>319</v>
      </c>
      <c r="F74" s="5" t="s">
        <v>6</v>
      </c>
      <c r="G74" s="5">
        <v>47</v>
      </c>
      <c r="H74" s="5">
        <v>15</v>
      </c>
      <c r="I74" s="5">
        <v>60</v>
      </c>
      <c r="J74" s="6">
        <f>G74*680</f>
        <v>31960</v>
      </c>
      <c r="K74" s="5" t="s">
        <v>2470</v>
      </c>
    </row>
    <row r="75" spans="1:11" x14ac:dyDescent="0.3">
      <c r="A75" s="2" t="s">
        <v>322</v>
      </c>
      <c r="B75" s="2" t="s">
        <v>323</v>
      </c>
      <c r="C75" s="2" t="s">
        <v>169</v>
      </c>
      <c r="D75" s="2" t="s">
        <v>296</v>
      </c>
      <c r="E75" s="2" t="s">
        <v>324</v>
      </c>
      <c r="F75" s="2" t="s">
        <v>6</v>
      </c>
      <c r="G75" s="2">
        <v>131</v>
      </c>
      <c r="H75" s="2">
        <v>15</v>
      </c>
      <c r="I75" s="2">
        <v>60</v>
      </c>
      <c r="J75" s="3">
        <f>G75*750</f>
        <v>98250</v>
      </c>
      <c r="K75" s="2" t="s">
        <v>2470</v>
      </c>
    </row>
    <row r="76" spans="1:11" x14ac:dyDescent="0.3">
      <c r="A76" s="5" t="s">
        <v>325</v>
      </c>
      <c r="B76" s="5" t="s">
        <v>326</v>
      </c>
      <c r="C76" s="5" t="s">
        <v>169</v>
      </c>
      <c r="D76" s="5" t="s">
        <v>296</v>
      </c>
      <c r="E76" s="5" t="s">
        <v>327</v>
      </c>
      <c r="F76" s="5" t="s">
        <v>6</v>
      </c>
      <c r="G76" s="5">
        <v>72</v>
      </c>
      <c r="H76" s="5">
        <v>20</v>
      </c>
      <c r="I76" s="5">
        <v>80</v>
      </c>
      <c r="J76" s="6">
        <f>G76*280</f>
        <v>20160</v>
      </c>
      <c r="K76" s="5" t="s">
        <v>2470</v>
      </c>
    </row>
    <row r="77" spans="1:11" x14ac:dyDescent="0.3">
      <c r="A77" s="2" t="s">
        <v>329</v>
      </c>
      <c r="B77" s="2" t="s">
        <v>332</v>
      </c>
      <c r="C77" s="2" t="s">
        <v>330</v>
      </c>
      <c r="D77" s="2" t="s">
        <v>331</v>
      </c>
      <c r="E77" s="2" t="s">
        <v>333</v>
      </c>
      <c r="F77" s="2" t="s">
        <v>6</v>
      </c>
      <c r="G77" s="2">
        <v>107</v>
      </c>
      <c r="H77" s="2">
        <v>10</v>
      </c>
      <c r="I77" s="2">
        <v>30</v>
      </c>
      <c r="J77" s="3">
        <f>G77*1200</f>
        <v>128400</v>
      </c>
      <c r="K77" s="2" t="s">
        <v>2470</v>
      </c>
    </row>
    <row r="78" spans="1:11" x14ac:dyDescent="0.3">
      <c r="A78" s="5" t="s">
        <v>335</v>
      </c>
      <c r="B78" s="5" t="s">
        <v>336</v>
      </c>
      <c r="C78" s="5" t="s">
        <v>330</v>
      </c>
      <c r="D78" s="5" t="s">
        <v>331</v>
      </c>
      <c r="E78" s="5" t="s">
        <v>337</v>
      </c>
      <c r="F78" s="5" t="s">
        <v>6</v>
      </c>
      <c r="G78" s="5">
        <v>57</v>
      </c>
      <c r="H78" s="5">
        <v>10</v>
      </c>
      <c r="I78" s="5">
        <v>30</v>
      </c>
      <c r="J78" s="6">
        <f>G78*1500</f>
        <v>85500</v>
      </c>
      <c r="K78" s="5" t="s">
        <v>2470</v>
      </c>
    </row>
    <row r="79" spans="1:11" x14ac:dyDescent="0.3">
      <c r="A79" s="2" t="s">
        <v>339</v>
      </c>
      <c r="B79" s="2" t="s">
        <v>340</v>
      </c>
      <c r="C79" s="2" t="s">
        <v>330</v>
      </c>
      <c r="D79" s="2" t="s">
        <v>331</v>
      </c>
      <c r="E79" s="2" t="s">
        <v>341</v>
      </c>
      <c r="F79" s="2" t="s">
        <v>6</v>
      </c>
      <c r="G79" s="2">
        <v>54</v>
      </c>
      <c r="H79" s="2">
        <v>10</v>
      </c>
      <c r="I79" s="2">
        <v>30</v>
      </c>
      <c r="J79" s="3">
        <f>G79*2500</f>
        <v>135000</v>
      </c>
      <c r="K79" s="2" t="s">
        <v>2470</v>
      </c>
    </row>
    <row r="80" spans="1:11" x14ac:dyDescent="0.3">
      <c r="A80" s="5" t="s">
        <v>343</v>
      </c>
      <c r="B80" s="5" t="s">
        <v>344</v>
      </c>
      <c r="C80" s="5" t="s">
        <v>330</v>
      </c>
      <c r="D80" s="5" t="s">
        <v>331</v>
      </c>
      <c r="E80" s="5" t="s">
        <v>345</v>
      </c>
      <c r="F80" s="5" t="s">
        <v>6</v>
      </c>
      <c r="G80" s="5">
        <v>122</v>
      </c>
      <c r="H80" s="5">
        <v>10</v>
      </c>
      <c r="I80" s="5">
        <v>30</v>
      </c>
      <c r="J80" s="6">
        <f>G80*1800</f>
        <v>219600</v>
      </c>
      <c r="K80" s="5" t="s">
        <v>2470</v>
      </c>
    </row>
    <row r="81" spans="1:11" x14ac:dyDescent="0.3">
      <c r="A81" s="2" t="s">
        <v>348</v>
      </c>
      <c r="B81" s="2" t="s">
        <v>349</v>
      </c>
      <c r="C81" s="2" t="s">
        <v>330</v>
      </c>
      <c r="D81" s="2" t="s">
        <v>331</v>
      </c>
      <c r="E81" s="2" t="s">
        <v>350</v>
      </c>
      <c r="F81" s="2" t="s">
        <v>6</v>
      </c>
      <c r="G81" s="2">
        <v>94</v>
      </c>
      <c r="H81" s="2">
        <v>5</v>
      </c>
      <c r="I81" s="2">
        <v>20</v>
      </c>
      <c r="J81" s="3">
        <f>G81*2200</f>
        <v>206800</v>
      </c>
      <c r="K81" s="2" t="s">
        <v>2470</v>
      </c>
    </row>
    <row r="82" spans="1:11" x14ac:dyDescent="0.3">
      <c r="A82" s="5" t="s">
        <v>353</v>
      </c>
      <c r="B82" s="5" t="s">
        <v>354</v>
      </c>
      <c r="C82" s="5" t="s">
        <v>330</v>
      </c>
      <c r="D82" s="5" t="s">
        <v>331</v>
      </c>
      <c r="E82" s="5" t="s">
        <v>355</v>
      </c>
      <c r="F82" s="5" t="s">
        <v>6</v>
      </c>
      <c r="G82" s="5">
        <v>110</v>
      </c>
      <c r="H82" s="5">
        <v>10</v>
      </c>
      <c r="I82" s="5">
        <v>30</v>
      </c>
      <c r="J82" s="6">
        <f>G82*1400</f>
        <v>154000</v>
      </c>
      <c r="K82" s="5" t="s">
        <v>2470</v>
      </c>
    </row>
    <row r="83" spans="1:11" x14ac:dyDescent="0.3">
      <c r="A83" s="2" t="s">
        <v>357</v>
      </c>
      <c r="B83" s="2" t="s">
        <v>358</v>
      </c>
      <c r="C83" s="2" t="s">
        <v>330</v>
      </c>
      <c r="D83" s="2" t="s">
        <v>331</v>
      </c>
      <c r="E83" s="2" t="s">
        <v>359</v>
      </c>
      <c r="F83" s="2" t="s">
        <v>6</v>
      </c>
      <c r="G83" s="2">
        <v>76</v>
      </c>
      <c r="H83" s="2">
        <v>10</v>
      </c>
      <c r="I83" s="2">
        <v>30</v>
      </c>
      <c r="J83" s="3">
        <f>G83*1400</f>
        <v>106400</v>
      </c>
      <c r="K83" s="2" t="s">
        <v>2470</v>
      </c>
    </row>
    <row r="84" spans="1:11" x14ac:dyDescent="0.3">
      <c r="A84" s="5" t="s">
        <v>360</v>
      </c>
      <c r="B84" s="5" t="s">
        <v>361</v>
      </c>
      <c r="C84" s="5" t="s">
        <v>330</v>
      </c>
      <c r="D84" s="5" t="s">
        <v>331</v>
      </c>
      <c r="E84" s="5" t="s">
        <v>362</v>
      </c>
      <c r="F84" s="5" t="s">
        <v>6</v>
      </c>
      <c r="G84" s="5">
        <v>130</v>
      </c>
      <c r="H84" s="5">
        <v>10</v>
      </c>
      <c r="I84" s="5">
        <v>30</v>
      </c>
      <c r="J84" s="6">
        <f>G84*1600</f>
        <v>208000</v>
      </c>
      <c r="K84" s="5" t="s">
        <v>2470</v>
      </c>
    </row>
    <row r="85" spans="1:11" x14ac:dyDescent="0.3">
      <c r="A85" s="2" t="s">
        <v>364</v>
      </c>
      <c r="B85" s="2" t="s">
        <v>365</v>
      </c>
      <c r="C85" s="2" t="s">
        <v>330</v>
      </c>
      <c r="D85" s="2" t="s">
        <v>331</v>
      </c>
      <c r="E85" s="2" t="s">
        <v>366</v>
      </c>
      <c r="F85" s="2" t="s">
        <v>6</v>
      </c>
      <c r="G85" s="2">
        <v>97</v>
      </c>
      <c r="H85" s="2">
        <v>15</v>
      </c>
      <c r="I85" s="2">
        <v>40</v>
      </c>
      <c r="J85" s="3">
        <f>G85*650</f>
        <v>63050</v>
      </c>
      <c r="K85" s="2" t="s">
        <v>2470</v>
      </c>
    </row>
    <row r="86" spans="1:11" x14ac:dyDescent="0.3">
      <c r="A86" s="5" t="s">
        <v>368</v>
      </c>
      <c r="B86" s="5" t="s">
        <v>369</v>
      </c>
      <c r="C86" s="5" t="s">
        <v>330</v>
      </c>
      <c r="D86" s="5" t="s">
        <v>331</v>
      </c>
      <c r="E86" s="5" t="s">
        <v>370</v>
      </c>
      <c r="F86" s="5" t="s">
        <v>6</v>
      </c>
      <c r="G86" s="5">
        <v>97</v>
      </c>
      <c r="H86" s="5">
        <v>15</v>
      </c>
      <c r="I86" s="5">
        <v>40</v>
      </c>
      <c r="J86" s="6">
        <f>G86*700</f>
        <v>67900</v>
      </c>
      <c r="K86" s="5" t="s">
        <v>2470</v>
      </c>
    </row>
    <row r="87" spans="1:11" x14ac:dyDescent="0.3">
      <c r="A87" s="2" t="s">
        <v>371</v>
      </c>
      <c r="B87" s="2" t="s">
        <v>373</v>
      </c>
      <c r="C87" s="2" t="s">
        <v>330</v>
      </c>
      <c r="D87" s="2" t="s">
        <v>372</v>
      </c>
      <c r="E87" s="2" t="s">
        <v>374</v>
      </c>
      <c r="F87" s="2" t="s">
        <v>6</v>
      </c>
      <c r="G87" s="2">
        <v>77</v>
      </c>
      <c r="H87" s="2">
        <v>10</v>
      </c>
      <c r="I87" s="2">
        <v>25</v>
      </c>
      <c r="J87" s="3">
        <f>G87*1800</f>
        <v>138600</v>
      </c>
      <c r="K87" s="2" t="s">
        <v>2470</v>
      </c>
    </row>
    <row r="88" spans="1:11" x14ac:dyDescent="0.3">
      <c r="A88" s="5" t="s">
        <v>375</v>
      </c>
      <c r="B88" s="5" t="s">
        <v>376</v>
      </c>
      <c r="C88" s="5" t="s">
        <v>330</v>
      </c>
      <c r="D88" s="5" t="s">
        <v>372</v>
      </c>
      <c r="E88" s="5" t="s">
        <v>377</v>
      </c>
      <c r="F88" s="5" t="s">
        <v>6</v>
      </c>
      <c r="G88" s="5">
        <v>120</v>
      </c>
      <c r="H88" s="5">
        <v>5</v>
      </c>
      <c r="I88" s="5">
        <v>15</v>
      </c>
      <c r="J88" s="6">
        <f>G88*4500</f>
        <v>540000</v>
      </c>
      <c r="K88" s="5" t="s">
        <v>2470</v>
      </c>
    </row>
    <row r="89" spans="1:11" x14ac:dyDescent="0.3">
      <c r="A89" s="2" t="s">
        <v>378</v>
      </c>
      <c r="B89" s="2" t="s">
        <v>379</v>
      </c>
      <c r="C89" s="2" t="s">
        <v>330</v>
      </c>
      <c r="D89" s="2" t="s">
        <v>372</v>
      </c>
      <c r="E89" s="2" t="s">
        <v>380</v>
      </c>
      <c r="F89" s="2" t="s">
        <v>6</v>
      </c>
      <c r="G89" s="2">
        <v>95</v>
      </c>
      <c r="H89" s="2">
        <v>8</v>
      </c>
      <c r="I89" s="2">
        <v>20</v>
      </c>
      <c r="J89" s="3">
        <f>G89*2200</f>
        <v>209000</v>
      </c>
      <c r="K89" s="2" t="s">
        <v>2470</v>
      </c>
    </row>
    <row r="90" spans="1:11" x14ac:dyDescent="0.3">
      <c r="A90" s="5" t="s">
        <v>381</v>
      </c>
      <c r="B90" s="5" t="s">
        <v>382</v>
      </c>
      <c r="C90" s="5" t="s">
        <v>330</v>
      </c>
      <c r="D90" s="5" t="s">
        <v>372</v>
      </c>
      <c r="E90" s="5" t="s">
        <v>383</v>
      </c>
      <c r="F90" s="5" t="s">
        <v>6</v>
      </c>
      <c r="G90" s="5">
        <v>79</v>
      </c>
      <c r="H90" s="5">
        <v>8</v>
      </c>
      <c r="I90" s="5">
        <v>20</v>
      </c>
      <c r="J90" s="6">
        <f>G90*3200</f>
        <v>252800</v>
      </c>
      <c r="K90" s="5" t="s">
        <v>2470</v>
      </c>
    </row>
    <row r="91" spans="1:11" x14ac:dyDescent="0.3">
      <c r="A91" s="2" t="s">
        <v>385</v>
      </c>
      <c r="B91" s="2" t="s">
        <v>386</v>
      </c>
      <c r="C91" s="2" t="s">
        <v>330</v>
      </c>
      <c r="D91" s="2" t="s">
        <v>372</v>
      </c>
      <c r="E91" s="2" t="s">
        <v>387</v>
      </c>
      <c r="F91" s="2" t="s">
        <v>6</v>
      </c>
      <c r="G91" s="2">
        <v>132</v>
      </c>
      <c r="H91" s="2">
        <v>8</v>
      </c>
      <c r="I91" s="2">
        <v>20</v>
      </c>
      <c r="J91" s="3">
        <f>G91*2800</f>
        <v>369600</v>
      </c>
      <c r="K91" s="2" t="s">
        <v>2470</v>
      </c>
    </row>
    <row r="92" spans="1:11" x14ac:dyDescent="0.3">
      <c r="A92" s="5" t="s">
        <v>390</v>
      </c>
      <c r="B92" s="5" t="s">
        <v>391</v>
      </c>
      <c r="C92" s="5" t="s">
        <v>330</v>
      </c>
      <c r="D92" s="5" t="s">
        <v>372</v>
      </c>
      <c r="E92" s="5" t="s">
        <v>392</v>
      </c>
      <c r="F92" s="5" t="s">
        <v>6</v>
      </c>
      <c r="G92" s="5">
        <v>35</v>
      </c>
      <c r="H92" s="5">
        <v>10</v>
      </c>
      <c r="I92" s="5">
        <v>25</v>
      </c>
      <c r="J92" s="6">
        <f>G92*1500</f>
        <v>52500</v>
      </c>
      <c r="K92" s="5" t="s">
        <v>2470</v>
      </c>
    </row>
    <row r="93" spans="1:11" x14ac:dyDescent="0.3">
      <c r="A93" s="2" t="s">
        <v>394</v>
      </c>
      <c r="B93" s="2" t="s">
        <v>395</v>
      </c>
      <c r="C93" s="2" t="s">
        <v>330</v>
      </c>
      <c r="D93" s="2" t="s">
        <v>372</v>
      </c>
      <c r="E93" s="2" t="s">
        <v>396</v>
      </c>
      <c r="F93" s="2" t="s">
        <v>6</v>
      </c>
      <c r="G93" s="2">
        <v>40</v>
      </c>
      <c r="H93" s="2">
        <v>15</v>
      </c>
      <c r="I93" s="2">
        <v>40</v>
      </c>
      <c r="J93" s="3">
        <f>G93*800</f>
        <v>32000</v>
      </c>
      <c r="K93" s="2" t="s">
        <v>2470</v>
      </c>
    </row>
    <row r="94" spans="1:11" x14ac:dyDescent="0.3">
      <c r="A94" s="5" t="s">
        <v>398</v>
      </c>
      <c r="B94" s="5" t="s">
        <v>399</v>
      </c>
      <c r="C94" s="5" t="s">
        <v>330</v>
      </c>
      <c r="D94" s="5" t="s">
        <v>372</v>
      </c>
      <c r="E94" s="5" t="s">
        <v>400</v>
      </c>
      <c r="F94" s="5" t="s">
        <v>6</v>
      </c>
      <c r="G94" s="5">
        <v>75</v>
      </c>
      <c r="H94" s="5">
        <v>10</v>
      </c>
      <c r="I94" s="5">
        <v>25</v>
      </c>
      <c r="J94" s="6">
        <f>G94*1500</f>
        <v>112500</v>
      </c>
      <c r="K94" s="5" t="s">
        <v>2470</v>
      </c>
    </row>
    <row r="95" spans="1:11" x14ac:dyDescent="0.3">
      <c r="A95" s="2" t="s">
        <v>401</v>
      </c>
      <c r="B95" s="2" t="s">
        <v>402</v>
      </c>
      <c r="C95" s="2" t="s">
        <v>330</v>
      </c>
      <c r="D95" s="2" t="s">
        <v>372</v>
      </c>
      <c r="E95" s="2" t="s">
        <v>403</v>
      </c>
      <c r="F95" s="2" t="s">
        <v>6</v>
      </c>
      <c r="G95" s="2">
        <v>135</v>
      </c>
      <c r="H95" s="2">
        <v>8</v>
      </c>
      <c r="I95" s="2">
        <v>20</v>
      </c>
      <c r="J95" s="3">
        <f>G95*1800</f>
        <v>243000</v>
      </c>
      <c r="K95" s="2" t="s">
        <v>2470</v>
      </c>
    </row>
    <row r="96" spans="1:11" x14ac:dyDescent="0.3">
      <c r="A96" s="5" t="s">
        <v>405</v>
      </c>
      <c r="B96" s="5" t="s">
        <v>406</v>
      </c>
      <c r="C96" s="5" t="s">
        <v>330</v>
      </c>
      <c r="D96" s="5" t="s">
        <v>372</v>
      </c>
      <c r="E96" s="5" t="s">
        <v>407</v>
      </c>
      <c r="F96" s="5" t="s">
        <v>6</v>
      </c>
      <c r="G96" s="5">
        <v>82</v>
      </c>
      <c r="H96" s="5">
        <v>20</v>
      </c>
      <c r="I96" s="5">
        <v>60</v>
      </c>
      <c r="J96" s="6">
        <f>G96*500</f>
        <v>41000</v>
      </c>
      <c r="K96" s="5" t="s">
        <v>2470</v>
      </c>
    </row>
    <row r="97" spans="1:11" x14ac:dyDescent="0.3">
      <c r="A97" s="2" t="s">
        <v>408</v>
      </c>
      <c r="B97" s="2" t="s">
        <v>410</v>
      </c>
      <c r="C97" s="2" t="s">
        <v>330</v>
      </c>
      <c r="D97" s="2" t="s">
        <v>409</v>
      </c>
      <c r="E97" s="2" t="s">
        <v>411</v>
      </c>
      <c r="F97" s="2" t="s">
        <v>6</v>
      </c>
      <c r="G97" s="2">
        <v>5</v>
      </c>
      <c r="H97" s="2">
        <v>5</v>
      </c>
      <c r="I97" s="2">
        <v>15</v>
      </c>
      <c r="J97" s="3">
        <f>G97*3500</f>
        <v>17500</v>
      </c>
      <c r="K97" s="2" t="s">
        <v>2470</v>
      </c>
    </row>
    <row r="98" spans="1:11" x14ac:dyDescent="0.3">
      <c r="A98" s="5" t="s">
        <v>414</v>
      </c>
      <c r="B98" s="5" t="s">
        <v>415</v>
      </c>
      <c r="C98" s="5" t="s">
        <v>330</v>
      </c>
      <c r="D98" s="5" t="s">
        <v>409</v>
      </c>
      <c r="E98" s="5" t="s">
        <v>416</v>
      </c>
      <c r="F98" s="5" t="s">
        <v>6</v>
      </c>
      <c r="G98" s="5">
        <v>48</v>
      </c>
      <c r="H98" s="5">
        <v>5</v>
      </c>
      <c r="I98" s="5">
        <v>15</v>
      </c>
      <c r="J98" s="6">
        <f>G98*2800</f>
        <v>134400</v>
      </c>
      <c r="K98" s="5" t="s">
        <v>2470</v>
      </c>
    </row>
    <row r="99" spans="1:11" x14ac:dyDescent="0.3">
      <c r="A99" s="2" t="s">
        <v>417</v>
      </c>
      <c r="B99" s="2" t="s">
        <v>418</v>
      </c>
      <c r="C99" s="2" t="s">
        <v>330</v>
      </c>
      <c r="D99" s="2" t="s">
        <v>409</v>
      </c>
      <c r="E99" s="2" t="s">
        <v>419</v>
      </c>
      <c r="F99" s="2" t="s">
        <v>6</v>
      </c>
      <c r="G99" s="2">
        <v>30</v>
      </c>
      <c r="H99" s="2">
        <v>10</v>
      </c>
      <c r="I99" s="2">
        <v>20</v>
      </c>
      <c r="J99" s="3">
        <f>G99*1200</f>
        <v>36000</v>
      </c>
      <c r="K99" s="2" t="s">
        <v>2470</v>
      </c>
    </row>
    <row r="100" spans="1:11" x14ac:dyDescent="0.3">
      <c r="A100" s="5" t="s">
        <v>421</v>
      </c>
      <c r="B100" s="5" t="s">
        <v>422</v>
      </c>
      <c r="C100" s="5" t="s">
        <v>330</v>
      </c>
      <c r="D100" s="5" t="s">
        <v>409</v>
      </c>
      <c r="E100" s="5" t="s">
        <v>423</v>
      </c>
      <c r="F100" s="5" t="s">
        <v>6</v>
      </c>
      <c r="G100" s="5">
        <v>85</v>
      </c>
      <c r="H100" s="5">
        <v>8</v>
      </c>
      <c r="I100" s="5">
        <v>20</v>
      </c>
      <c r="J100" s="6">
        <f>G100*1500</f>
        <v>127500</v>
      </c>
      <c r="K100" s="5" t="s">
        <v>2470</v>
      </c>
    </row>
    <row r="101" spans="1:11" x14ac:dyDescent="0.3">
      <c r="A101" s="2" t="s">
        <v>424</v>
      </c>
      <c r="B101" s="2" t="s">
        <v>425</v>
      </c>
      <c r="C101" s="2" t="s">
        <v>330</v>
      </c>
      <c r="D101" s="2" t="s">
        <v>409</v>
      </c>
      <c r="E101" s="2" t="s">
        <v>426</v>
      </c>
      <c r="F101" s="2" t="s">
        <v>6</v>
      </c>
      <c r="G101" s="2">
        <v>143</v>
      </c>
      <c r="H101" s="2">
        <v>5</v>
      </c>
      <c r="I101" s="2">
        <v>10</v>
      </c>
      <c r="J101" s="3">
        <f>G101*3800</f>
        <v>543400</v>
      </c>
      <c r="K101" s="2" t="s">
        <v>2470</v>
      </c>
    </row>
    <row r="102" spans="1:11" x14ac:dyDescent="0.3">
      <c r="A102" s="5" t="s">
        <v>429</v>
      </c>
      <c r="B102" s="5" t="s">
        <v>430</v>
      </c>
      <c r="C102" s="5" t="s">
        <v>330</v>
      </c>
      <c r="D102" s="5" t="s">
        <v>409</v>
      </c>
      <c r="E102" s="5" t="s">
        <v>431</v>
      </c>
      <c r="F102" s="5" t="s">
        <v>6</v>
      </c>
      <c r="G102" s="5">
        <v>8</v>
      </c>
      <c r="H102" s="5">
        <v>5</v>
      </c>
      <c r="I102" s="5">
        <v>15</v>
      </c>
      <c r="J102" s="6">
        <f>G102*2200</f>
        <v>17600</v>
      </c>
      <c r="K102" s="5" t="s">
        <v>2470</v>
      </c>
    </row>
    <row r="103" spans="1:11" x14ac:dyDescent="0.3">
      <c r="A103" s="2" t="s">
        <v>433</v>
      </c>
      <c r="B103" s="2" t="s">
        <v>434</v>
      </c>
      <c r="C103" s="2" t="s">
        <v>330</v>
      </c>
      <c r="D103" s="2" t="s">
        <v>409</v>
      </c>
      <c r="E103" s="2" t="s">
        <v>435</v>
      </c>
      <c r="F103" s="2" t="s">
        <v>6</v>
      </c>
      <c r="G103" s="2">
        <v>148</v>
      </c>
      <c r="H103" s="2">
        <v>8</v>
      </c>
      <c r="I103" s="2">
        <v>20</v>
      </c>
      <c r="J103" s="3">
        <f>G103*1800</f>
        <v>266400</v>
      </c>
      <c r="K103" s="2" t="s">
        <v>2470</v>
      </c>
    </row>
    <row r="104" spans="1:11" x14ac:dyDescent="0.3">
      <c r="A104" s="5" t="s">
        <v>438</v>
      </c>
      <c r="B104" s="5" t="s">
        <v>439</v>
      </c>
      <c r="C104" s="5" t="s">
        <v>330</v>
      </c>
      <c r="D104" s="5" t="s">
        <v>409</v>
      </c>
      <c r="E104" s="5" t="s">
        <v>440</v>
      </c>
      <c r="F104" s="5" t="s">
        <v>6</v>
      </c>
      <c r="G104" s="5">
        <v>141</v>
      </c>
      <c r="H104" s="5">
        <v>5</v>
      </c>
      <c r="I104" s="5">
        <v>10</v>
      </c>
      <c r="J104" s="6">
        <f>G104*4200</f>
        <v>592200</v>
      </c>
      <c r="K104" s="5" t="s">
        <v>2470</v>
      </c>
    </row>
    <row r="105" spans="1:11" x14ac:dyDescent="0.3">
      <c r="A105" s="2" t="s">
        <v>442</v>
      </c>
      <c r="B105" s="2" t="s">
        <v>444</v>
      </c>
      <c r="C105" s="2" t="s">
        <v>330</v>
      </c>
      <c r="D105" s="2" t="s">
        <v>443</v>
      </c>
      <c r="E105" s="2" t="s">
        <v>445</v>
      </c>
      <c r="F105" s="2" t="s">
        <v>6</v>
      </c>
      <c r="G105" s="2">
        <v>64</v>
      </c>
      <c r="H105" s="2">
        <v>20</v>
      </c>
      <c r="I105" s="2">
        <v>100</v>
      </c>
      <c r="J105" s="3">
        <f>G105*250</f>
        <v>16000</v>
      </c>
      <c r="K105" s="2" t="s">
        <v>2470</v>
      </c>
    </row>
    <row r="106" spans="1:11" x14ac:dyDescent="0.3">
      <c r="A106" s="5" t="s">
        <v>446</v>
      </c>
      <c r="B106" s="5" t="s">
        <v>447</v>
      </c>
      <c r="C106" s="5" t="s">
        <v>330</v>
      </c>
      <c r="D106" s="5" t="s">
        <v>443</v>
      </c>
      <c r="E106" s="5" t="s">
        <v>448</v>
      </c>
      <c r="F106" s="5" t="s">
        <v>6</v>
      </c>
      <c r="G106" s="5">
        <v>100</v>
      </c>
      <c r="H106" s="5">
        <v>20</v>
      </c>
      <c r="I106" s="5">
        <v>100</v>
      </c>
      <c r="J106" s="6">
        <f>G106*350</f>
        <v>35000</v>
      </c>
      <c r="K106" s="5" t="s">
        <v>2470</v>
      </c>
    </row>
    <row r="107" spans="1:11" x14ac:dyDescent="0.3">
      <c r="A107" s="2" t="s">
        <v>449</v>
      </c>
      <c r="B107" s="2" t="s">
        <v>450</v>
      </c>
      <c r="C107" s="2" t="s">
        <v>330</v>
      </c>
      <c r="D107" s="2" t="s">
        <v>443</v>
      </c>
      <c r="E107" s="2" t="s">
        <v>451</v>
      </c>
      <c r="F107" s="2" t="s">
        <v>6</v>
      </c>
      <c r="G107" s="2">
        <v>136</v>
      </c>
      <c r="H107" s="2">
        <v>20</v>
      </c>
      <c r="I107" s="2">
        <v>100</v>
      </c>
      <c r="J107" s="3">
        <f>G107*200</f>
        <v>27200</v>
      </c>
      <c r="K107" s="2" t="s">
        <v>2470</v>
      </c>
    </row>
    <row r="108" spans="1:11" x14ac:dyDescent="0.3">
      <c r="A108" s="5" t="s">
        <v>452</v>
      </c>
      <c r="B108" s="5" t="s">
        <v>453</v>
      </c>
      <c r="C108" s="5" t="s">
        <v>330</v>
      </c>
      <c r="D108" s="5" t="s">
        <v>443</v>
      </c>
      <c r="E108" s="5" t="s">
        <v>454</v>
      </c>
      <c r="F108" s="5" t="s">
        <v>6</v>
      </c>
      <c r="G108" s="5">
        <v>9</v>
      </c>
      <c r="H108" s="5">
        <v>10</v>
      </c>
      <c r="I108" s="5">
        <v>40</v>
      </c>
      <c r="J108" s="6">
        <f>G108*700</f>
        <v>6300</v>
      </c>
      <c r="K108" s="8" t="s">
        <v>2471</v>
      </c>
    </row>
    <row r="109" spans="1:11" x14ac:dyDescent="0.3">
      <c r="A109" s="2" t="s">
        <v>455</v>
      </c>
      <c r="B109" s="2" t="s">
        <v>456</v>
      </c>
      <c r="C109" s="2" t="s">
        <v>330</v>
      </c>
      <c r="D109" s="2" t="s">
        <v>443</v>
      </c>
      <c r="E109" s="2" t="s">
        <v>457</v>
      </c>
      <c r="F109" s="2" t="s">
        <v>6</v>
      </c>
      <c r="G109" s="2">
        <v>113</v>
      </c>
      <c r="H109" s="2">
        <v>5</v>
      </c>
      <c r="I109" s="2">
        <v>15</v>
      </c>
      <c r="J109" s="3">
        <f>G109*1200</f>
        <v>135600</v>
      </c>
      <c r="K109" s="2" t="s">
        <v>2470</v>
      </c>
    </row>
    <row r="110" spans="1:11" x14ac:dyDescent="0.3">
      <c r="A110" s="5" t="s">
        <v>459</v>
      </c>
      <c r="B110" s="5" t="s">
        <v>460</v>
      </c>
      <c r="C110" s="5" t="s">
        <v>330</v>
      </c>
      <c r="D110" s="5" t="s">
        <v>443</v>
      </c>
      <c r="E110" s="5" t="s">
        <v>461</v>
      </c>
      <c r="F110" s="5" t="s">
        <v>6</v>
      </c>
      <c r="G110" s="5">
        <v>1</v>
      </c>
      <c r="H110" s="5">
        <v>10</v>
      </c>
      <c r="I110" s="5">
        <v>30</v>
      </c>
      <c r="J110" s="6">
        <f>G110*600</f>
        <v>600</v>
      </c>
      <c r="K110" s="8" t="s">
        <v>2471</v>
      </c>
    </row>
    <row r="111" spans="1:11" x14ac:dyDescent="0.3">
      <c r="A111" s="2" t="s">
        <v>462</v>
      </c>
      <c r="B111" s="2" t="s">
        <v>463</v>
      </c>
      <c r="C111" s="2" t="s">
        <v>330</v>
      </c>
      <c r="D111" s="2" t="s">
        <v>443</v>
      </c>
      <c r="E111" s="2" t="s">
        <v>464</v>
      </c>
      <c r="F111" s="2" t="s">
        <v>6</v>
      </c>
      <c r="G111" s="2">
        <v>36</v>
      </c>
      <c r="H111" s="2">
        <v>20</v>
      </c>
      <c r="I111" s="2">
        <v>60</v>
      </c>
      <c r="J111" s="3">
        <f>G111*400</f>
        <v>14400</v>
      </c>
      <c r="K111" s="2" t="s">
        <v>2470</v>
      </c>
    </row>
    <row r="112" spans="1:11" x14ac:dyDescent="0.3">
      <c r="A112" s="5" t="s">
        <v>465</v>
      </c>
      <c r="B112" s="5" t="s">
        <v>466</v>
      </c>
      <c r="C112" s="5" t="s">
        <v>330</v>
      </c>
      <c r="D112" s="5" t="s">
        <v>443</v>
      </c>
      <c r="E112" s="5" t="s">
        <v>467</v>
      </c>
      <c r="F112" s="5" t="s">
        <v>6</v>
      </c>
      <c r="G112" s="5">
        <v>127</v>
      </c>
      <c r="H112" s="5">
        <v>10</v>
      </c>
      <c r="I112" s="5">
        <v>30</v>
      </c>
      <c r="J112" s="6">
        <f>G112*550</f>
        <v>69850</v>
      </c>
      <c r="K112" s="5" t="s">
        <v>2470</v>
      </c>
    </row>
    <row r="113" spans="1:11" x14ac:dyDescent="0.3">
      <c r="A113" s="2" t="s">
        <v>468</v>
      </c>
      <c r="B113" s="2" t="s">
        <v>471</v>
      </c>
      <c r="C113" s="2" t="s">
        <v>469</v>
      </c>
      <c r="D113" s="2" t="s">
        <v>470</v>
      </c>
      <c r="E113" s="2" t="s">
        <v>472</v>
      </c>
      <c r="F113" s="2" t="s">
        <v>6</v>
      </c>
      <c r="G113" s="2">
        <v>95</v>
      </c>
      <c r="H113" s="2">
        <v>50</v>
      </c>
      <c r="I113" s="2">
        <v>200</v>
      </c>
      <c r="J113" s="3">
        <f>G113*850</f>
        <v>80750</v>
      </c>
      <c r="K113" s="2" t="s">
        <v>2470</v>
      </c>
    </row>
    <row r="114" spans="1:11" x14ac:dyDescent="0.3">
      <c r="A114" s="5" t="s">
        <v>475</v>
      </c>
      <c r="B114" s="5" t="s">
        <v>476</v>
      </c>
      <c r="C114" s="5" t="s">
        <v>469</v>
      </c>
      <c r="D114" s="5" t="s">
        <v>470</v>
      </c>
      <c r="E114" s="5" t="s">
        <v>477</v>
      </c>
      <c r="F114" s="5" t="s">
        <v>6</v>
      </c>
      <c r="G114" s="5">
        <v>67</v>
      </c>
      <c r="H114" s="5">
        <v>50</v>
      </c>
      <c r="I114" s="5">
        <v>200</v>
      </c>
      <c r="J114" s="6">
        <f>G114*840</f>
        <v>56280</v>
      </c>
      <c r="K114" s="5" t="s">
        <v>2470</v>
      </c>
    </row>
    <row r="115" spans="1:11" x14ac:dyDescent="0.3">
      <c r="A115" s="2" t="s">
        <v>480</v>
      </c>
      <c r="B115" s="2" t="s">
        <v>481</v>
      </c>
      <c r="C115" s="2" t="s">
        <v>469</v>
      </c>
      <c r="D115" s="2" t="s">
        <v>470</v>
      </c>
      <c r="E115" s="2" t="s">
        <v>482</v>
      </c>
      <c r="F115" s="2" t="s">
        <v>6</v>
      </c>
      <c r="G115" s="2">
        <v>112</v>
      </c>
      <c r="H115" s="2">
        <v>50</v>
      </c>
      <c r="I115" s="2">
        <v>200</v>
      </c>
      <c r="J115" s="3">
        <f>G115*845</f>
        <v>94640</v>
      </c>
      <c r="K115" s="2" t="s">
        <v>2470</v>
      </c>
    </row>
    <row r="116" spans="1:11" x14ac:dyDescent="0.3">
      <c r="A116" s="5" t="s">
        <v>484</v>
      </c>
      <c r="B116" s="5" t="s">
        <v>485</v>
      </c>
      <c r="C116" s="5" t="s">
        <v>469</v>
      </c>
      <c r="D116" s="5" t="s">
        <v>470</v>
      </c>
      <c r="E116" s="5" t="s">
        <v>486</v>
      </c>
      <c r="F116" s="5" t="s">
        <v>6</v>
      </c>
      <c r="G116" s="5">
        <v>132</v>
      </c>
      <c r="H116" s="5">
        <v>10</v>
      </c>
      <c r="I116" s="5">
        <v>50</v>
      </c>
      <c r="J116" s="6">
        <f>G116*14000</f>
        <v>1848000</v>
      </c>
      <c r="K116" s="5" t="s">
        <v>2470</v>
      </c>
    </row>
    <row r="117" spans="1:11" x14ac:dyDescent="0.3">
      <c r="A117" s="2" t="s">
        <v>489</v>
      </c>
      <c r="B117" s="2" t="s">
        <v>490</v>
      </c>
      <c r="C117" s="2" t="s">
        <v>469</v>
      </c>
      <c r="D117" s="2" t="s">
        <v>470</v>
      </c>
      <c r="E117" s="2" t="s">
        <v>491</v>
      </c>
      <c r="F117" s="2" t="s">
        <v>6</v>
      </c>
      <c r="G117" s="2">
        <v>35</v>
      </c>
      <c r="H117" s="2">
        <v>20</v>
      </c>
      <c r="I117" s="2">
        <v>100</v>
      </c>
      <c r="J117" s="3">
        <f>G117*55</f>
        <v>1925</v>
      </c>
      <c r="K117" s="2" t="s">
        <v>2470</v>
      </c>
    </row>
    <row r="118" spans="1:11" x14ac:dyDescent="0.3">
      <c r="A118" s="5" t="s">
        <v>493</v>
      </c>
      <c r="B118" s="5" t="s">
        <v>494</v>
      </c>
      <c r="C118" s="5" t="s">
        <v>469</v>
      </c>
      <c r="D118" s="5" t="s">
        <v>470</v>
      </c>
      <c r="E118" s="5" t="s">
        <v>495</v>
      </c>
      <c r="F118" s="5" t="s">
        <v>6</v>
      </c>
      <c r="G118" s="5">
        <v>34</v>
      </c>
      <c r="H118" s="5">
        <v>20</v>
      </c>
      <c r="I118" s="5">
        <v>100</v>
      </c>
      <c r="J118" s="6">
        <f>G118*180</f>
        <v>6120</v>
      </c>
      <c r="K118" s="5" t="s">
        <v>2470</v>
      </c>
    </row>
    <row r="119" spans="1:11" x14ac:dyDescent="0.3">
      <c r="A119" s="2" t="s">
        <v>497</v>
      </c>
      <c r="B119" s="2" t="s">
        <v>498</v>
      </c>
      <c r="C119" s="2" t="s">
        <v>469</v>
      </c>
      <c r="D119" s="2" t="s">
        <v>470</v>
      </c>
      <c r="E119" s="2" t="s">
        <v>499</v>
      </c>
      <c r="F119" s="2" t="s">
        <v>6</v>
      </c>
      <c r="G119" s="2">
        <v>99</v>
      </c>
      <c r="H119" s="2">
        <v>20</v>
      </c>
      <c r="I119" s="2">
        <v>100</v>
      </c>
      <c r="J119" s="3">
        <f>G119*200</f>
        <v>19800</v>
      </c>
      <c r="K119" s="2" t="s">
        <v>2470</v>
      </c>
    </row>
    <row r="120" spans="1:11" x14ac:dyDescent="0.3">
      <c r="A120" s="5" t="s">
        <v>500</v>
      </c>
      <c r="B120" s="5" t="s">
        <v>501</v>
      </c>
      <c r="C120" s="5" t="s">
        <v>469</v>
      </c>
      <c r="D120" s="5" t="s">
        <v>470</v>
      </c>
      <c r="E120" s="5" t="s">
        <v>502</v>
      </c>
      <c r="F120" s="5" t="s">
        <v>6</v>
      </c>
      <c r="G120" s="5">
        <v>135</v>
      </c>
      <c r="H120" s="5">
        <v>100</v>
      </c>
      <c r="I120" s="5">
        <v>500</v>
      </c>
      <c r="J120" s="6">
        <f>G120*260</f>
        <v>35100</v>
      </c>
      <c r="K120" s="5" t="s">
        <v>2470</v>
      </c>
    </row>
    <row r="121" spans="1:11" x14ac:dyDescent="0.3">
      <c r="A121" s="2" t="s">
        <v>505</v>
      </c>
      <c r="B121" s="2" t="s">
        <v>507</v>
      </c>
      <c r="C121" s="2" t="s">
        <v>469</v>
      </c>
      <c r="D121" s="2" t="s">
        <v>506</v>
      </c>
      <c r="E121" s="2" t="s">
        <v>508</v>
      </c>
      <c r="F121" s="2" t="s">
        <v>6</v>
      </c>
      <c r="G121" s="2">
        <v>18</v>
      </c>
      <c r="H121" s="2">
        <v>5</v>
      </c>
      <c r="I121" s="2">
        <v>20</v>
      </c>
      <c r="J121" s="3">
        <f>G121*3800</f>
        <v>68400</v>
      </c>
      <c r="K121" s="2" t="s">
        <v>2470</v>
      </c>
    </row>
    <row r="122" spans="1:11" x14ac:dyDescent="0.3">
      <c r="A122" s="5" t="s">
        <v>511</v>
      </c>
      <c r="B122" s="5" t="s">
        <v>512</v>
      </c>
      <c r="C122" s="5" t="s">
        <v>469</v>
      </c>
      <c r="D122" s="5" t="s">
        <v>506</v>
      </c>
      <c r="E122" s="5" t="s">
        <v>513</v>
      </c>
      <c r="F122" s="5" t="s">
        <v>6</v>
      </c>
      <c r="G122" s="5">
        <v>85</v>
      </c>
      <c r="H122" s="5">
        <v>5</v>
      </c>
      <c r="I122" s="5">
        <v>20</v>
      </c>
      <c r="J122" s="6">
        <f>G122*2800</f>
        <v>238000</v>
      </c>
      <c r="K122" s="5" t="s">
        <v>2470</v>
      </c>
    </row>
    <row r="123" spans="1:11" x14ac:dyDescent="0.3">
      <c r="A123" s="2" t="s">
        <v>514</v>
      </c>
      <c r="B123" s="2" t="s">
        <v>515</v>
      </c>
      <c r="C123" s="2" t="s">
        <v>469</v>
      </c>
      <c r="D123" s="2" t="s">
        <v>506</v>
      </c>
      <c r="E123" s="2" t="s">
        <v>516</v>
      </c>
      <c r="F123" s="2" t="s">
        <v>6</v>
      </c>
      <c r="G123" s="2">
        <v>6</v>
      </c>
      <c r="H123" s="2">
        <v>5</v>
      </c>
      <c r="I123" s="2">
        <v>20</v>
      </c>
      <c r="J123" s="3">
        <f>G123*3600</f>
        <v>21600</v>
      </c>
      <c r="K123" s="2" t="s">
        <v>2470</v>
      </c>
    </row>
    <row r="124" spans="1:11" x14ac:dyDescent="0.3">
      <c r="A124" s="5" t="s">
        <v>519</v>
      </c>
      <c r="B124" s="5" t="s">
        <v>520</v>
      </c>
      <c r="C124" s="5" t="s">
        <v>469</v>
      </c>
      <c r="D124" s="5" t="s">
        <v>506</v>
      </c>
      <c r="E124" s="5" t="s">
        <v>521</v>
      </c>
      <c r="F124" s="5" t="s">
        <v>6</v>
      </c>
      <c r="G124" s="5">
        <v>49</v>
      </c>
      <c r="H124" s="5">
        <v>5</v>
      </c>
      <c r="I124" s="5">
        <v>20</v>
      </c>
      <c r="J124" s="6">
        <f>G124*3200</f>
        <v>156800</v>
      </c>
      <c r="K124" s="5" t="s">
        <v>2470</v>
      </c>
    </row>
    <row r="125" spans="1:11" x14ac:dyDescent="0.3">
      <c r="A125" s="2" t="s">
        <v>524</v>
      </c>
      <c r="B125" s="2" t="s">
        <v>525</v>
      </c>
      <c r="C125" s="2" t="s">
        <v>469</v>
      </c>
      <c r="D125" s="2" t="s">
        <v>506</v>
      </c>
      <c r="E125" s="2" t="s">
        <v>526</v>
      </c>
      <c r="F125" s="2" t="s">
        <v>6</v>
      </c>
      <c r="G125" s="2">
        <v>104</v>
      </c>
      <c r="H125" s="2">
        <v>10</v>
      </c>
      <c r="I125" s="2">
        <v>40</v>
      </c>
      <c r="J125" s="3">
        <f>G125*1200</f>
        <v>124800</v>
      </c>
      <c r="K125" s="2" t="s">
        <v>2470</v>
      </c>
    </row>
    <row r="126" spans="1:11" x14ac:dyDescent="0.3">
      <c r="A126" s="5" t="s">
        <v>529</v>
      </c>
      <c r="B126" s="5" t="s">
        <v>530</v>
      </c>
      <c r="C126" s="5" t="s">
        <v>469</v>
      </c>
      <c r="D126" s="5" t="s">
        <v>506</v>
      </c>
      <c r="E126" s="5" t="s">
        <v>531</v>
      </c>
      <c r="F126" s="5" t="s">
        <v>6</v>
      </c>
      <c r="G126" s="5">
        <v>147</v>
      </c>
      <c r="H126" s="5">
        <v>8</v>
      </c>
      <c r="I126" s="5">
        <v>30</v>
      </c>
      <c r="J126" s="6">
        <f>G126*1500</f>
        <v>220500</v>
      </c>
      <c r="K126" s="5" t="s">
        <v>2470</v>
      </c>
    </row>
    <row r="127" spans="1:11" x14ac:dyDescent="0.3">
      <c r="A127" s="2" t="s">
        <v>533</v>
      </c>
      <c r="B127" s="2" t="s">
        <v>534</v>
      </c>
      <c r="C127" s="2" t="s">
        <v>469</v>
      </c>
      <c r="D127" s="2" t="s">
        <v>506</v>
      </c>
      <c r="E127" s="2" t="s">
        <v>535</v>
      </c>
      <c r="F127" s="2" t="s">
        <v>6</v>
      </c>
      <c r="G127" s="2">
        <v>121</v>
      </c>
      <c r="H127" s="2">
        <v>10</v>
      </c>
      <c r="I127" s="2">
        <v>40</v>
      </c>
      <c r="J127" s="3">
        <f>G127*750</f>
        <v>90750</v>
      </c>
      <c r="K127" s="2" t="s">
        <v>2470</v>
      </c>
    </row>
    <row r="128" spans="1:11" x14ac:dyDescent="0.3">
      <c r="A128" s="5" t="s">
        <v>536</v>
      </c>
      <c r="B128" s="5" t="s">
        <v>538</v>
      </c>
      <c r="C128" s="5" t="s">
        <v>469</v>
      </c>
      <c r="D128" s="5" t="s">
        <v>537</v>
      </c>
      <c r="E128" s="5" t="s">
        <v>539</v>
      </c>
      <c r="F128" s="5" t="s">
        <v>6</v>
      </c>
      <c r="G128" s="5">
        <v>0</v>
      </c>
      <c r="H128" s="5">
        <v>20</v>
      </c>
      <c r="I128" s="5">
        <v>100</v>
      </c>
      <c r="J128" s="6">
        <f>G128*180</f>
        <v>0</v>
      </c>
      <c r="K128" s="8" t="s">
        <v>2471</v>
      </c>
    </row>
    <row r="129" spans="1:11" x14ac:dyDescent="0.3">
      <c r="A129" s="2" t="s">
        <v>542</v>
      </c>
      <c r="B129" s="2" t="s">
        <v>543</v>
      </c>
      <c r="C129" s="2" t="s">
        <v>469</v>
      </c>
      <c r="D129" s="2" t="s">
        <v>537</v>
      </c>
      <c r="E129" s="2" t="s">
        <v>544</v>
      </c>
      <c r="F129" s="2" t="s">
        <v>6</v>
      </c>
      <c r="G129" s="2">
        <v>36</v>
      </c>
      <c r="H129" s="2">
        <v>20</v>
      </c>
      <c r="I129" s="2">
        <v>100</v>
      </c>
      <c r="J129" s="3">
        <f>G129*250</f>
        <v>9000</v>
      </c>
      <c r="K129" s="2" t="s">
        <v>2470</v>
      </c>
    </row>
    <row r="130" spans="1:11" x14ac:dyDescent="0.3">
      <c r="A130" s="5" t="s">
        <v>545</v>
      </c>
      <c r="B130" s="5" t="s">
        <v>546</v>
      </c>
      <c r="C130" s="5" t="s">
        <v>469</v>
      </c>
      <c r="D130" s="5" t="s">
        <v>537</v>
      </c>
      <c r="E130" s="5" t="s">
        <v>547</v>
      </c>
      <c r="F130" s="5" t="s">
        <v>6</v>
      </c>
      <c r="G130" s="5">
        <v>108</v>
      </c>
      <c r="H130" s="5">
        <v>20</v>
      </c>
      <c r="I130" s="5">
        <v>80</v>
      </c>
      <c r="J130" s="6">
        <f>G130*220</f>
        <v>23760</v>
      </c>
      <c r="K130" s="5" t="s">
        <v>2470</v>
      </c>
    </row>
    <row r="131" spans="1:11" x14ac:dyDescent="0.3">
      <c r="A131" s="2" t="s">
        <v>548</v>
      </c>
      <c r="B131" s="2" t="s">
        <v>549</v>
      </c>
      <c r="C131" s="2" t="s">
        <v>469</v>
      </c>
      <c r="D131" s="2" t="s">
        <v>537</v>
      </c>
      <c r="E131" s="2" t="s">
        <v>550</v>
      </c>
      <c r="F131" s="2" t="s">
        <v>6</v>
      </c>
      <c r="G131" s="2">
        <v>16</v>
      </c>
      <c r="H131" s="2">
        <v>3</v>
      </c>
      <c r="I131" s="2">
        <v>10</v>
      </c>
      <c r="J131" s="3">
        <f>G131*12000</f>
        <v>192000</v>
      </c>
      <c r="K131" s="2" t="s">
        <v>2470</v>
      </c>
    </row>
    <row r="132" spans="1:11" x14ac:dyDescent="0.3">
      <c r="A132" s="5" t="s">
        <v>553</v>
      </c>
      <c r="B132" s="5" t="s">
        <v>554</v>
      </c>
      <c r="C132" s="5" t="s">
        <v>469</v>
      </c>
      <c r="D132" s="5" t="s">
        <v>537</v>
      </c>
      <c r="E132" s="5" t="s">
        <v>555</v>
      </c>
      <c r="F132" s="5" t="s">
        <v>6</v>
      </c>
      <c r="G132" s="5">
        <v>97</v>
      </c>
      <c r="H132" s="5">
        <v>50</v>
      </c>
      <c r="I132" s="5">
        <v>200</v>
      </c>
      <c r="J132" s="6">
        <f>G132*45</f>
        <v>4365</v>
      </c>
      <c r="K132" s="5" t="s">
        <v>2470</v>
      </c>
    </row>
    <row r="133" spans="1:11" x14ac:dyDescent="0.3">
      <c r="A133" s="2" t="s">
        <v>558</v>
      </c>
      <c r="B133" s="2" t="s">
        <v>559</v>
      </c>
      <c r="C133" s="2" t="s">
        <v>469</v>
      </c>
      <c r="D133" s="2" t="s">
        <v>537</v>
      </c>
      <c r="E133" s="2" t="s">
        <v>560</v>
      </c>
      <c r="F133" s="2" t="s">
        <v>6</v>
      </c>
      <c r="G133" s="2">
        <v>63</v>
      </c>
      <c r="H133" s="2">
        <v>50</v>
      </c>
      <c r="I133" s="2">
        <v>200</v>
      </c>
      <c r="J133" s="3">
        <f>G133*65</f>
        <v>4095</v>
      </c>
      <c r="K133" s="2" t="s">
        <v>2470</v>
      </c>
    </row>
    <row r="134" spans="1:11" x14ac:dyDescent="0.3">
      <c r="A134" s="5" t="s">
        <v>561</v>
      </c>
      <c r="B134" s="5" t="s">
        <v>562</v>
      </c>
      <c r="C134" s="5" t="s">
        <v>469</v>
      </c>
      <c r="D134" s="5" t="s">
        <v>537</v>
      </c>
      <c r="E134" s="5" t="s">
        <v>563</v>
      </c>
      <c r="F134" s="5" t="s">
        <v>6</v>
      </c>
      <c r="G134" s="5">
        <v>74</v>
      </c>
      <c r="H134" s="5">
        <v>20</v>
      </c>
      <c r="I134" s="5">
        <v>80</v>
      </c>
      <c r="J134" s="6">
        <f>G134*450</f>
        <v>33300</v>
      </c>
      <c r="K134" s="5" t="s">
        <v>2470</v>
      </c>
    </row>
    <row r="135" spans="1:11" x14ac:dyDescent="0.3">
      <c r="A135" s="2" t="s">
        <v>564</v>
      </c>
      <c r="B135" s="2" t="s">
        <v>565</v>
      </c>
      <c r="C135" s="2" t="s">
        <v>469</v>
      </c>
      <c r="D135" s="2" t="s">
        <v>537</v>
      </c>
      <c r="E135" s="2" t="s">
        <v>566</v>
      </c>
      <c r="F135" s="2" t="s">
        <v>6</v>
      </c>
      <c r="G135" s="2">
        <v>76</v>
      </c>
      <c r="H135" s="2">
        <v>20</v>
      </c>
      <c r="I135" s="2">
        <v>100</v>
      </c>
      <c r="J135" s="3">
        <f>G135*180</f>
        <v>13680</v>
      </c>
      <c r="K135" s="2" t="s">
        <v>2470</v>
      </c>
    </row>
    <row r="136" spans="1:11" x14ac:dyDescent="0.3">
      <c r="A136" s="5" t="s">
        <v>569</v>
      </c>
      <c r="B136" s="5" t="s">
        <v>570</v>
      </c>
      <c r="C136" s="5" t="s">
        <v>469</v>
      </c>
      <c r="D136" s="5" t="s">
        <v>537</v>
      </c>
      <c r="E136" s="5" t="s">
        <v>571</v>
      </c>
      <c r="F136" s="5" t="s">
        <v>6</v>
      </c>
      <c r="G136" s="5">
        <v>3</v>
      </c>
      <c r="H136" s="5">
        <v>30</v>
      </c>
      <c r="I136" s="5">
        <v>150</v>
      </c>
      <c r="J136" s="6">
        <f>G136*120</f>
        <v>360</v>
      </c>
      <c r="K136" s="8" t="s">
        <v>2471</v>
      </c>
    </row>
    <row r="137" spans="1:11" x14ac:dyDescent="0.3">
      <c r="A137" s="2" t="s">
        <v>572</v>
      </c>
      <c r="B137" s="2" t="s">
        <v>573</v>
      </c>
      <c r="C137" s="2" t="s">
        <v>469</v>
      </c>
      <c r="D137" s="2" t="s">
        <v>537</v>
      </c>
      <c r="E137" s="2" t="s">
        <v>574</v>
      </c>
      <c r="F137" s="2" t="s">
        <v>6</v>
      </c>
      <c r="G137" s="2">
        <v>80</v>
      </c>
      <c r="H137" s="2">
        <v>5</v>
      </c>
      <c r="I137" s="2">
        <v>20</v>
      </c>
      <c r="J137" s="3">
        <f>G137*3200</f>
        <v>256000</v>
      </c>
      <c r="K137" s="2" t="s">
        <v>2470</v>
      </c>
    </row>
    <row r="138" spans="1:11" x14ac:dyDescent="0.3">
      <c r="A138" s="5" t="s">
        <v>577</v>
      </c>
      <c r="B138" s="5" t="s">
        <v>579</v>
      </c>
      <c r="C138" s="5" t="s">
        <v>469</v>
      </c>
      <c r="D138" s="5" t="s">
        <v>578</v>
      </c>
      <c r="E138" s="5" t="s">
        <v>580</v>
      </c>
      <c r="F138" s="5" t="s">
        <v>6</v>
      </c>
      <c r="G138" s="5">
        <v>87</v>
      </c>
      <c r="H138" s="5">
        <v>5</v>
      </c>
      <c r="I138" s="5">
        <v>20</v>
      </c>
      <c r="J138" s="6">
        <f>G138*850</f>
        <v>73950</v>
      </c>
      <c r="K138" s="5" t="s">
        <v>2470</v>
      </c>
    </row>
    <row r="139" spans="1:11" x14ac:dyDescent="0.3">
      <c r="A139" s="2" t="s">
        <v>583</v>
      </c>
      <c r="B139" s="2" t="s">
        <v>584</v>
      </c>
      <c r="C139" s="2" t="s">
        <v>469</v>
      </c>
      <c r="D139" s="2" t="s">
        <v>578</v>
      </c>
      <c r="E139" s="2" t="s">
        <v>585</v>
      </c>
      <c r="F139" s="2" t="s">
        <v>6</v>
      </c>
      <c r="G139" s="2">
        <v>0</v>
      </c>
      <c r="H139" s="2">
        <v>3</v>
      </c>
      <c r="I139" s="2">
        <v>10</v>
      </c>
      <c r="J139" s="3">
        <f>G139*4500</f>
        <v>0</v>
      </c>
      <c r="K139" s="8" t="s">
        <v>2471</v>
      </c>
    </row>
    <row r="140" spans="1:11" x14ac:dyDescent="0.3">
      <c r="A140" s="5" t="s">
        <v>588</v>
      </c>
      <c r="B140" s="5" t="s">
        <v>589</v>
      </c>
      <c r="C140" s="5" t="s">
        <v>469</v>
      </c>
      <c r="D140" s="5" t="s">
        <v>578</v>
      </c>
      <c r="E140" s="5" t="s">
        <v>590</v>
      </c>
      <c r="F140" s="5" t="s">
        <v>6</v>
      </c>
      <c r="G140" s="5">
        <v>122</v>
      </c>
      <c r="H140" s="5">
        <v>10</v>
      </c>
      <c r="I140" s="5">
        <v>40</v>
      </c>
      <c r="J140" s="6">
        <f>G140*350</f>
        <v>42700</v>
      </c>
      <c r="K140" s="5" t="s">
        <v>2470</v>
      </c>
    </row>
    <row r="141" spans="1:11" x14ac:dyDescent="0.3">
      <c r="A141" s="2" t="s">
        <v>591</v>
      </c>
      <c r="B141" s="2" t="s">
        <v>592</v>
      </c>
      <c r="C141" s="2" t="s">
        <v>469</v>
      </c>
      <c r="D141" s="2" t="s">
        <v>578</v>
      </c>
      <c r="E141" s="2" t="s">
        <v>593</v>
      </c>
      <c r="F141" s="2" t="s">
        <v>6</v>
      </c>
      <c r="G141" s="2">
        <v>114</v>
      </c>
      <c r="H141" s="2">
        <v>10</v>
      </c>
      <c r="I141" s="2">
        <v>40</v>
      </c>
      <c r="J141" s="3">
        <f>G141*450</f>
        <v>51300</v>
      </c>
      <c r="K141" s="2" t="s">
        <v>2470</v>
      </c>
    </row>
    <row r="142" spans="1:11" x14ac:dyDescent="0.3">
      <c r="A142" s="5" t="s">
        <v>594</v>
      </c>
      <c r="B142" s="5" t="s">
        <v>595</v>
      </c>
      <c r="C142" s="5" t="s">
        <v>469</v>
      </c>
      <c r="D142" s="5" t="s">
        <v>578</v>
      </c>
      <c r="E142" s="5" t="s">
        <v>596</v>
      </c>
      <c r="F142" s="5" t="s">
        <v>6</v>
      </c>
      <c r="G142" s="5">
        <v>25</v>
      </c>
      <c r="H142" s="5">
        <v>5</v>
      </c>
      <c r="I142" s="5">
        <v>20</v>
      </c>
      <c r="J142" s="6">
        <f>G142*1800</f>
        <v>45000</v>
      </c>
      <c r="K142" s="5" t="s">
        <v>2470</v>
      </c>
    </row>
    <row r="143" spans="1:11" x14ac:dyDescent="0.3">
      <c r="A143" s="2" t="s">
        <v>597</v>
      </c>
      <c r="B143" s="2" t="s">
        <v>598</v>
      </c>
      <c r="C143" s="2" t="s">
        <v>469</v>
      </c>
      <c r="D143" s="2" t="s">
        <v>578</v>
      </c>
      <c r="E143" s="2" t="s">
        <v>599</v>
      </c>
      <c r="F143" s="2" t="s">
        <v>6</v>
      </c>
      <c r="G143" s="2">
        <v>91</v>
      </c>
      <c r="H143" s="2">
        <v>10</v>
      </c>
      <c r="I143" s="2">
        <v>40</v>
      </c>
      <c r="J143" s="3">
        <f>G143*600</f>
        <v>54600</v>
      </c>
      <c r="K143" s="2" t="s">
        <v>2470</v>
      </c>
    </row>
    <row r="144" spans="1:11" x14ac:dyDescent="0.3">
      <c r="A144" s="5" t="s">
        <v>600</v>
      </c>
      <c r="B144" s="5" t="s">
        <v>601</v>
      </c>
      <c r="C144" s="5" t="s">
        <v>469</v>
      </c>
      <c r="D144" s="5" t="s">
        <v>578</v>
      </c>
      <c r="E144" s="5" t="s">
        <v>602</v>
      </c>
      <c r="F144" s="5" t="s">
        <v>6</v>
      </c>
      <c r="G144" s="5">
        <v>125</v>
      </c>
      <c r="H144" s="5">
        <v>10</v>
      </c>
      <c r="I144" s="5">
        <v>50</v>
      </c>
      <c r="J144" s="6">
        <f>G144*280</f>
        <v>35000</v>
      </c>
      <c r="K144" s="5" t="s">
        <v>2470</v>
      </c>
    </row>
    <row r="145" spans="1:11" x14ac:dyDescent="0.3">
      <c r="A145" s="2" t="s">
        <v>605</v>
      </c>
      <c r="B145" s="2" t="s">
        <v>606</v>
      </c>
      <c r="C145" s="2" t="s">
        <v>469</v>
      </c>
      <c r="D145" s="2" t="s">
        <v>578</v>
      </c>
      <c r="E145" s="2" t="s">
        <v>607</v>
      </c>
      <c r="F145" s="2" t="s">
        <v>6</v>
      </c>
      <c r="G145" s="2">
        <v>122</v>
      </c>
      <c r="H145" s="2">
        <v>10</v>
      </c>
      <c r="I145" s="2">
        <v>40</v>
      </c>
      <c r="J145" s="3">
        <f>G145*450</f>
        <v>54900</v>
      </c>
      <c r="K145" s="2" t="s">
        <v>2470</v>
      </c>
    </row>
    <row r="146" spans="1:11" x14ac:dyDescent="0.3">
      <c r="A146" s="5" t="s">
        <v>608</v>
      </c>
      <c r="B146" s="5" t="s">
        <v>611</v>
      </c>
      <c r="C146" s="5" t="s">
        <v>609</v>
      </c>
      <c r="D146" s="5" t="s">
        <v>610</v>
      </c>
      <c r="E146" s="5" t="s">
        <v>612</v>
      </c>
      <c r="F146" s="5" t="s">
        <v>6</v>
      </c>
      <c r="G146" s="5">
        <v>146</v>
      </c>
      <c r="H146" s="5">
        <v>30</v>
      </c>
      <c r="I146" s="5">
        <v>150</v>
      </c>
      <c r="J146" s="6">
        <f>G146*85</f>
        <v>12410</v>
      </c>
      <c r="K146" s="5" t="s">
        <v>2470</v>
      </c>
    </row>
    <row r="147" spans="1:11" x14ac:dyDescent="0.3">
      <c r="A147" s="2" t="s">
        <v>615</v>
      </c>
      <c r="B147" s="2" t="s">
        <v>616</v>
      </c>
      <c r="C147" s="2" t="s">
        <v>609</v>
      </c>
      <c r="D147" s="2" t="s">
        <v>610</v>
      </c>
      <c r="E147" s="2" t="s">
        <v>617</v>
      </c>
      <c r="F147" s="2" t="s">
        <v>6</v>
      </c>
      <c r="G147" s="2">
        <v>45</v>
      </c>
      <c r="H147" s="2">
        <v>30</v>
      </c>
      <c r="I147" s="2">
        <v>150</v>
      </c>
      <c r="J147" s="3">
        <f>G147*70</f>
        <v>3150</v>
      </c>
      <c r="K147" s="2" t="s">
        <v>2470</v>
      </c>
    </row>
    <row r="148" spans="1:11" x14ac:dyDescent="0.3">
      <c r="A148" s="5" t="s">
        <v>618</v>
      </c>
      <c r="B148" s="5" t="s">
        <v>619</v>
      </c>
      <c r="C148" s="5" t="s">
        <v>609</v>
      </c>
      <c r="D148" s="5" t="s">
        <v>610</v>
      </c>
      <c r="E148" s="5" t="s">
        <v>620</v>
      </c>
      <c r="F148" s="5" t="s">
        <v>6</v>
      </c>
      <c r="G148" s="5">
        <v>30</v>
      </c>
      <c r="H148" s="5">
        <v>30</v>
      </c>
      <c r="I148" s="5">
        <v>150</v>
      </c>
      <c r="J148" s="6">
        <f>G148*95</f>
        <v>2850</v>
      </c>
      <c r="K148" s="5" t="s">
        <v>2470</v>
      </c>
    </row>
    <row r="149" spans="1:11" x14ac:dyDescent="0.3">
      <c r="A149" s="2" t="s">
        <v>623</v>
      </c>
      <c r="B149" s="2" t="s">
        <v>624</v>
      </c>
      <c r="C149" s="2" t="s">
        <v>609</v>
      </c>
      <c r="D149" s="2" t="s">
        <v>610</v>
      </c>
      <c r="E149" s="2" t="s">
        <v>625</v>
      </c>
      <c r="F149" s="2" t="s">
        <v>6</v>
      </c>
      <c r="G149" s="2">
        <v>62</v>
      </c>
      <c r="H149" s="2">
        <v>30</v>
      </c>
      <c r="I149" s="2">
        <v>150</v>
      </c>
      <c r="J149" s="3">
        <f>G149*45</f>
        <v>2790</v>
      </c>
      <c r="K149" s="2" t="s">
        <v>2470</v>
      </c>
    </row>
    <row r="150" spans="1:11" x14ac:dyDescent="0.3">
      <c r="A150" s="5" t="s">
        <v>628</v>
      </c>
      <c r="B150" s="5" t="s">
        <v>629</v>
      </c>
      <c r="C150" s="5" t="s">
        <v>609</v>
      </c>
      <c r="D150" s="5" t="s">
        <v>610</v>
      </c>
      <c r="E150" s="5" t="s">
        <v>630</v>
      </c>
      <c r="F150" s="5" t="s">
        <v>6</v>
      </c>
      <c r="G150" s="5">
        <v>85</v>
      </c>
      <c r="H150" s="5">
        <v>30</v>
      </c>
      <c r="I150" s="5">
        <v>150</v>
      </c>
      <c r="J150" s="6">
        <f>G150*120</f>
        <v>10200</v>
      </c>
      <c r="K150" s="5" t="s">
        <v>2470</v>
      </c>
    </row>
    <row r="151" spans="1:11" x14ac:dyDescent="0.3">
      <c r="A151" s="2" t="s">
        <v>633</v>
      </c>
      <c r="B151" s="2" t="s">
        <v>634</v>
      </c>
      <c r="C151" s="2" t="s">
        <v>609</v>
      </c>
      <c r="D151" s="2" t="s">
        <v>610</v>
      </c>
      <c r="E151" s="2" t="s">
        <v>635</v>
      </c>
      <c r="F151" s="2" t="s">
        <v>6</v>
      </c>
      <c r="G151" s="2">
        <v>123</v>
      </c>
      <c r="H151" s="2">
        <v>15</v>
      </c>
      <c r="I151" s="2">
        <v>60</v>
      </c>
      <c r="J151" s="3">
        <f>G151*350</f>
        <v>43050</v>
      </c>
      <c r="K151" s="2" t="s">
        <v>2470</v>
      </c>
    </row>
    <row r="152" spans="1:11" x14ac:dyDescent="0.3">
      <c r="A152" s="5" t="s">
        <v>637</v>
      </c>
      <c r="B152" s="5" t="s">
        <v>638</v>
      </c>
      <c r="C152" s="5" t="s">
        <v>609</v>
      </c>
      <c r="D152" s="5" t="s">
        <v>610</v>
      </c>
      <c r="E152" s="5" t="s">
        <v>639</v>
      </c>
      <c r="F152" s="5" t="s">
        <v>6</v>
      </c>
      <c r="G152" s="5">
        <v>99</v>
      </c>
      <c r="H152" s="5">
        <v>20</v>
      </c>
      <c r="I152" s="5">
        <v>80</v>
      </c>
      <c r="J152" s="6">
        <f>G152*180</f>
        <v>17820</v>
      </c>
      <c r="K152" s="5" t="s">
        <v>2470</v>
      </c>
    </row>
    <row r="153" spans="1:11" x14ac:dyDescent="0.3">
      <c r="A153" s="2" t="s">
        <v>642</v>
      </c>
      <c r="B153" s="2" t="s">
        <v>643</v>
      </c>
      <c r="C153" s="2" t="s">
        <v>609</v>
      </c>
      <c r="D153" s="2" t="s">
        <v>610</v>
      </c>
      <c r="E153" s="2" t="s">
        <v>644</v>
      </c>
      <c r="F153" s="2" t="s">
        <v>6</v>
      </c>
      <c r="G153" s="2">
        <v>27</v>
      </c>
      <c r="H153" s="2">
        <v>20</v>
      </c>
      <c r="I153" s="2">
        <v>80</v>
      </c>
      <c r="J153" s="3">
        <f>G153*145</f>
        <v>3915</v>
      </c>
      <c r="K153" s="2" t="s">
        <v>2470</v>
      </c>
    </row>
    <row r="154" spans="1:11" x14ac:dyDescent="0.3">
      <c r="A154" s="5" t="s">
        <v>646</v>
      </c>
      <c r="B154" s="5" t="s">
        <v>647</v>
      </c>
      <c r="C154" s="5" t="s">
        <v>609</v>
      </c>
      <c r="D154" s="5" t="s">
        <v>610</v>
      </c>
      <c r="E154" s="5" t="s">
        <v>648</v>
      </c>
      <c r="F154" s="5" t="s">
        <v>6</v>
      </c>
      <c r="G154" s="5">
        <v>49</v>
      </c>
      <c r="H154" s="5">
        <v>20</v>
      </c>
      <c r="I154" s="5">
        <v>80</v>
      </c>
      <c r="J154" s="6">
        <f>G154*165</f>
        <v>8085</v>
      </c>
      <c r="K154" s="5" t="s">
        <v>2470</v>
      </c>
    </row>
    <row r="155" spans="1:11" x14ac:dyDescent="0.3">
      <c r="A155" s="2" t="s">
        <v>650</v>
      </c>
      <c r="B155" s="2" t="s">
        <v>651</v>
      </c>
      <c r="C155" s="2" t="s">
        <v>609</v>
      </c>
      <c r="D155" s="2" t="s">
        <v>610</v>
      </c>
      <c r="E155" s="2" t="s">
        <v>652</v>
      </c>
      <c r="F155" s="2" t="s">
        <v>6</v>
      </c>
      <c r="G155" s="2">
        <v>51</v>
      </c>
      <c r="H155" s="2">
        <v>20</v>
      </c>
      <c r="I155" s="2">
        <v>80</v>
      </c>
      <c r="J155" s="3">
        <f>G155*145</f>
        <v>7395</v>
      </c>
      <c r="K155" s="2" t="s">
        <v>2470</v>
      </c>
    </row>
    <row r="156" spans="1:11" x14ac:dyDescent="0.3">
      <c r="A156" s="5" t="s">
        <v>655</v>
      </c>
      <c r="B156" s="5" t="s">
        <v>657</v>
      </c>
      <c r="C156" s="5" t="s">
        <v>609</v>
      </c>
      <c r="D156" s="5" t="s">
        <v>656</v>
      </c>
      <c r="E156" s="5" t="s">
        <v>658</v>
      </c>
      <c r="F156" s="5" t="s">
        <v>6</v>
      </c>
      <c r="G156" s="5">
        <v>122</v>
      </c>
      <c r="H156" s="5">
        <v>10</v>
      </c>
      <c r="I156" s="5">
        <v>50</v>
      </c>
      <c r="J156" s="6">
        <f>G156*380</f>
        <v>46360</v>
      </c>
      <c r="K156" s="5" t="s">
        <v>2470</v>
      </c>
    </row>
    <row r="157" spans="1:11" x14ac:dyDescent="0.3">
      <c r="A157" s="2" t="s">
        <v>659</v>
      </c>
      <c r="B157" s="2" t="s">
        <v>660</v>
      </c>
      <c r="C157" s="2" t="s">
        <v>609</v>
      </c>
      <c r="D157" s="2" t="s">
        <v>656</v>
      </c>
      <c r="E157" s="2" t="s">
        <v>661</v>
      </c>
      <c r="F157" s="2" t="s">
        <v>6</v>
      </c>
      <c r="G157" s="2">
        <v>24</v>
      </c>
      <c r="H157" s="2">
        <v>10</v>
      </c>
      <c r="I157" s="2">
        <v>50</v>
      </c>
      <c r="J157" s="3">
        <f>G157*550</f>
        <v>13200</v>
      </c>
      <c r="K157" s="2" t="s">
        <v>2470</v>
      </c>
    </row>
    <row r="158" spans="1:11" x14ac:dyDescent="0.3">
      <c r="A158" s="5" t="s">
        <v>663</v>
      </c>
      <c r="B158" s="5" t="s">
        <v>664</v>
      </c>
      <c r="C158" s="5" t="s">
        <v>609</v>
      </c>
      <c r="D158" s="5" t="s">
        <v>656</v>
      </c>
      <c r="E158" s="5" t="s">
        <v>665</v>
      </c>
      <c r="F158" s="5" t="s">
        <v>6</v>
      </c>
      <c r="G158" s="5">
        <v>27</v>
      </c>
      <c r="H158" s="5">
        <v>20</v>
      </c>
      <c r="I158" s="5">
        <v>80</v>
      </c>
      <c r="J158" s="6">
        <f>G158*85</f>
        <v>2295</v>
      </c>
      <c r="K158" s="5" t="s">
        <v>2470</v>
      </c>
    </row>
    <row r="159" spans="1:11" x14ac:dyDescent="0.3">
      <c r="A159" s="2" t="s">
        <v>668</v>
      </c>
      <c r="B159" s="2" t="s">
        <v>669</v>
      </c>
      <c r="C159" s="2" t="s">
        <v>609</v>
      </c>
      <c r="D159" s="2" t="s">
        <v>656</v>
      </c>
      <c r="E159" s="2" t="s">
        <v>670</v>
      </c>
      <c r="F159" s="2" t="s">
        <v>6</v>
      </c>
      <c r="G159" s="2">
        <v>101</v>
      </c>
      <c r="H159" s="2">
        <v>10</v>
      </c>
      <c r="I159" s="2">
        <v>40</v>
      </c>
      <c r="J159" s="3">
        <f>G159*380</f>
        <v>38380</v>
      </c>
      <c r="K159" s="2" t="s">
        <v>2470</v>
      </c>
    </row>
    <row r="160" spans="1:11" x14ac:dyDescent="0.3">
      <c r="A160" s="5" t="s">
        <v>672</v>
      </c>
      <c r="B160" s="5" t="s">
        <v>673</v>
      </c>
      <c r="C160" s="5" t="s">
        <v>609</v>
      </c>
      <c r="D160" s="5" t="s">
        <v>656</v>
      </c>
      <c r="E160" s="5" t="s">
        <v>674</v>
      </c>
      <c r="F160" s="5" t="s">
        <v>6</v>
      </c>
      <c r="G160" s="5">
        <v>29</v>
      </c>
      <c r="H160" s="5">
        <v>20</v>
      </c>
      <c r="I160" s="5">
        <v>80</v>
      </c>
      <c r="J160" s="6">
        <f>G160*120</f>
        <v>3480</v>
      </c>
      <c r="K160" s="5" t="s">
        <v>2470</v>
      </c>
    </row>
    <row r="161" spans="1:11" x14ac:dyDescent="0.3">
      <c r="A161" s="2" t="s">
        <v>675</v>
      </c>
      <c r="B161" s="2" t="s">
        <v>676</v>
      </c>
      <c r="C161" s="2" t="s">
        <v>609</v>
      </c>
      <c r="D161" s="2" t="s">
        <v>656</v>
      </c>
      <c r="E161" s="2" t="s">
        <v>677</v>
      </c>
      <c r="F161" s="2" t="s">
        <v>6</v>
      </c>
      <c r="G161" s="2">
        <v>44</v>
      </c>
      <c r="H161" s="2">
        <v>3</v>
      </c>
      <c r="I161" s="2">
        <v>10</v>
      </c>
      <c r="J161" s="3">
        <f>G161*2800</f>
        <v>123200</v>
      </c>
      <c r="K161" s="2" t="s">
        <v>2470</v>
      </c>
    </row>
    <row r="162" spans="1:11" x14ac:dyDescent="0.3">
      <c r="A162" s="5" t="s">
        <v>679</v>
      </c>
      <c r="B162" s="5" t="s">
        <v>680</v>
      </c>
      <c r="C162" s="5" t="s">
        <v>609</v>
      </c>
      <c r="D162" s="5" t="s">
        <v>656</v>
      </c>
      <c r="E162" s="5" t="s">
        <v>681</v>
      </c>
      <c r="F162" s="5" t="s">
        <v>6</v>
      </c>
      <c r="G162" s="5">
        <v>40</v>
      </c>
      <c r="H162" s="5">
        <v>5</v>
      </c>
      <c r="I162" s="5">
        <v>20</v>
      </c>
      <c r="J162" s="6">
        <f>G162*650</f>
        <v>26000</v>
      </c>
      <c r="K162" s="5" t="s">
        <v>2470</v>
      </c>
    </row>
    <row r="163" spans="1:11" x14ac:dyDescent="0.3">
      <c r="A163" s="2" t="s">
        <v>682</v>
      </c>
      <c r="B163" s="2" t="s">
        <v>683</v>
      </c>
      <c r="C163" s="2" t="s">
        <v>609</v>
      </c>
      <c r="D163" s="2" t="s">
        <v>656</v>
      </c>
      <c r="E163" s="2" t="s">
        <v>684</v>
      </c>
      <c r="F163" s="2" t="s">
        <v>6</v>
      </c>
      <c r="G163" s="2">
        <v>132</v>
      </c>
      <c r="H163" s="2">
        <v>3</v>
      </c>
      <c r="I163" s="2">
        <v>10</v>
      </c>
      <c r="J163" s="3">
        <f>G163*3500</f>
        <v>462000</v>
      </c>
      <c r="K163" s="2" t="s">
        <v>2470</v>
      </c>
    </row>
    <row r="164" spans="1:11" x14ac:dyDescent="0.3">
      <c r="A164" s="5" t="s">
        <v>687</v>
      </c>
      <c r="B164" s="5" t="s">
        <v>689</v>
      </c>
      <c r="C164" s="5" t="s">
        <v>609</v>
      </c>
      <c r="D164" s="5" t="s">
        <v>688</v>
      </c>
      <c r="E164" s="5" t="s">
        <v>690</v>
      </c>
      <c r="F164" s="5" t="s">
        <v>6</v>
      </c>
      <c r="G164" s="5">
        <v>88</v>
      </c>
      <c r="H164" s="5">
        <v>10</v>
      </c>
      <c r="I164" s="5">
        <v>40</v>
      </c>
      <c r="J164" s="6">
        <f>G164*750</f>
        <v>66000</v>
      </c>
      <c r="K164" s="5" t="s">
        <v>2470</v>
      </c>
    </row>
    <row r="165" spans="1:11" x14ac:dyDescent="0.3">
      <c r="A165" s="2" t="s">
        <v>693</v>
      </c>
      <c r="B165" s="2" t="s">
        <v>694</v>
      </c>
      <c r="C165" s="2" t="s">
        <v>609</v>
      </c>
      <c r="D165" s="2" t="s">
        <v>688</v>
      </c>
      <c r="E165" s="2" t="s">
        <v>695</v>
      </c>
      <c r="F165" s="2" t="s">
        <v>6</v>
      </c>
      <c r="G165" s="2">
        <v>5</v>
      </c>
      <c r="H165" s="2">
        <v>10</v>
      </c>
      <c r="I165" s="2">
        <v>40</v>
      </c>
      <c r="J165" s="3">
        <f>G165*680</f>
        <v>3400</v>
      </c>
      <c r="K165" s="8" t="s">
        <v>2471</v>
      </c>
    </row>
    <row r="166" spans="1:11" x14ac:dyDescent="0.3">
      <c r="A166" s="5" t="s">
        <v>697</v>
      </c>
      <c r="B166" s="5" t="s">
        <v>698</v>
      </c>
      <c r="C166" s="5" t="s">
        <v>609</v>
      </c>
      <c r="D166" s="5" t="s">
        <v>688</v>
      </c>
      <c r="E166" s="5" t="s">
        <v>699</v>
      </c>
      <c r="F166" s="5" t="s">
        <v>6</v>
      </c>
      <c r="G166" s="5">
        <v>144</v>
      </c>
      <c r="H166" s="5">
        <v>20</v>
      </c>
      <c r="I166" s="5">
        <v>80</v>
      </c>
      <c r="J166" s="6">
        <f>G166*120</f>
        <v>17280</v>
      </c>
      <c r="K166" s="5" t="s">
        <v>2470</v>
      </c>
    </row>
    <row r="167" spans="1:11" x14ac:dyDescent="0.3">
      <c r="A167" s="2" t="s">
        <v>701</v>
      </c>
      <c r="B167" s="2" t="s">
        <v>702</v>
      </c>
      <c r="C167" s="2" t="s">
        <v>609</v>
      </c>
      <c r="D167" s="2" t="s">
        <v>688</v>
      </c>
      <c r="E167" s="2" t="s">
        <v>703</v>
      </c>
      <c r="F167" s="2" t="s">
        <v>6</v>
      </c>
      <c r="G167" s="2">
        <v>42</v>
      </c>
      <c r="H167" s="2">
        <v>8</v>
      </c>
      <c r="I167" s="2">
        <v>30</v>
      </c>
      <c r="J167" s="3">
        <f>G167*680</f>
        <v>28560</v>
      </c>
      <c r="K167" s="2" t="s">
        <v>2470</v>
      </c>
    </row>
    <row r="168" spans="1:11" x14ac:dyDescent="0.3">
      <c r="A168" s="5" t="s">
        <v>705</v>
      </c>
      <c r="B168" s="5" t="s">
        <v>706</v>
      </c>
      <c r="C168" s="5" t="s">
        <v>609</v>
      </c>
      <c r="D168" s="5" t="s">
        <v>688</v>
      </c>
      <c r="E168" s="5" t="s">
        <v>707</v>
      </c>
      <c r="F168" s="5" t="s">
        <v>6</v>
      </c>
      <c r="G168" s="5">
        <v>95</v>
      </c>
      <c r="H168" s="5">
        <v>20</v>
      </c>
      <c r="I168" s="5">
        <v>80</v>
      </c>
      <c r="J168" s="6">
        <f>G168*220</f>
        <v>20900</v>
      </c>
      <c r="K168" s="5" t="s">
        <v>2470</v>
      </c>
    </row>
    <row r="169" spans="1:11" x14ac:dyDescent="0.3">
      <c r="A169" s="2" t="s">
        <v>710</v>
      </c>
      <c r="B169" s="2" t="s">
        <v>711</v>
      </c>
      <c r="C169" s="2" t="s">
        <v>609</v>
      </c>
      <c r="D169" s="2" t="s">
        <v>688</v>
      </c>
      <c r="E169" s="2" t="s">
        <v>712</v>
      </c>
      <c r="F169" s="2" t="s">
        <v>6</v>
      </c>
      <c r="G169" s="2">
        <v>132</v>
      </c>
      <c r="H169" s="2">
        <v>20</v>
      </c>
      <c r="I169" s="2">
        <v>80</v>
      </c>
      <c r="J169" s="3">
        <f>G169*200</f>
        <v>26400</v>
      </c>
      <c r="K169" s="2" t="s">
        <v>2470</v>
      </c>
    </row>
    <row r="170" spans="1:11" x14ac:dyDescent="0.3">
      <c r="A170" s="5" t="s">
        <v>714</v>
      </c>
      <c r="B170" s="5" t="s">
        <v>715</v>
      </c>
      <c r="C170" s="5" t="s">
        <v>609</v>
      </c>
      <c r="D170" s="5" t="s">
        <v>688</v>
      </c>
      <c r="E170" s="5" t="s">
        <v>716</v>
      </c>
      <c r="F170" s="5" t="s">
        <v>6</v>
      </c>
      <c r="G170" s="5">
        <v>136</v>
      </c>
      <c r="H170" s="5">
        <v>10</v>
      </c>
      <c r="I170" s="5">
        <v>40</v>
      </c>
      <c r="J170" s="6">
        <f>G170*750</f>
        <v>102000</v>
      </c>
      <c r="K170" s="5" t="s">
        <v>2470</v>
      </c>
    </row>
    <row r="171" spans="1:11" x14ac:dyDescent="0.3">
      <c r="A171" s="2" t="s">
        <v>718</v>
      </c>
      <c r="B171" s="2" t="s">
        <v>719</v>
      </c>
      <c r="C171" s="2" t="s">
        <v>609</v>
      </c>
      <c r="D171" s="2" t="s">
        <v>688</v>
      </c>
      <c r="E171" s="2" t="s">
        <v>720</v>
      </c>
      <c r="F171" s="2" t="s">
        <v>6</v>
      </c>
      <c r="G171" s="2">
        <v>77</v>
      </c>
      <c r="H171" s="2">
        <v>15</v>
      </c>
      <c r="I171" s="2">
        <v>60</v>
      </c>
      <c r="J171" s="3">
        <f>G171*380</f>
        <v>29260</v>
      </c>
      <c r="K171" s="2" t="s">
        <v>2470</v>
      </c>
    </row>
    <row r="172" spans="1:11" x14ac:dyDescent="0.3">
      <c r="A172" s="5" t="s">
        <v>722</v>
      </c>
      <c r="B172" s="5" t="s">
        <v>723</v>
      </c>
      <c r="C172" s="5" t="s">
        <v>609</v>
      </c>
      <c r="D172" s="5" t="s">
        <v>688</v>
      </c>
      <c r="E172" s="5" t="s">
        <v>724</v>
      </c>
      <c r="F172" s="5" t="s">
        <v>6</v>
      </c>
      <c r="G172" s="5">
        <v>48</v>
      </c>
      <c r="H172" s="5">
        <v>15</v>
      </c>
      <c r="I172" s="5">
        <v>60</v>
      </c>
      <c r="J172" s="6">
        <f>G172*320</f>
        <v>15360</v>
      </c>
      <c r="K172" s="5" t="s">
        <v>2470</v>
      </c>
    </row>
    <row r="173" spans="1:11" x14ac:dyDescent="0.3">
      <c r="A173" s="2" t="s">
        <v>725</v>
      </c>
      <c r="B173" s="2" t="s">
        <v>726</v>
      </c>
      <c r="C173" s="2" t="s">
        <v>609</v>
      </c>
      <c r="D173" s="2" t="s">
        <v>688</v>
      </c>
      <c r="E173" s="2" t="s">
        <v>727</v>
      </c>
      <c r="F173" s="2" t="s">
        <v>6</v>
      </c>
      <c r="G173" s="2">
        <v>89</v>
      </c>
      <c r="H173" s="2">
        <v>10</v>
      </c>
      <c r="I173" s="2">
        <v>40</v>
      </c>
      <c r="J173" s="3">
        <f>G173*550</f>
        <v>48950</v>
      </c>
      <c r="K173" s="2" t="s">
        <v>2470</v>
      </c>
    </row>
    <row r="174" spans="1:11" x14ac:dyDescent="0.3">
      <c r="A174" s="5" t="s">
        <v>730</v>
      </c>
      <c r="B174" s="5" t="s">
        <v>733</v>
      </c>
      <c r="C174" s="5" t="s">
        <v>731</v>
      </c>
      <c r="D174" s="5" t="s">
        <v>732</v>
      </c>
      <c r="E174" s="5" t="s">
        <v>734</v>
      </c>
      <c r="F174" s="5" t="s">
        <v>6</v>
      </c>
      <c r="G174" s="5">
        <v>38</v>
      </c>
      <c r="H174" s="5">
        <v>10</v>
      </c>
      <c r="I174" s="5">
        <v>50</v>
      </c>
      <c r="J174" s="6">
        <f>G174*1100</f>
        <v>41800</v>
      </c>
      <c r="K174" s="5" t="s">
        <v>2470</v>
      </c>
    </row>
    <row r="175" spans="1:11" x14ac:dyDescent="0.3">
      <c r="A175" s="2" t="s">
        <v>737</v>
      </c>
      <c r="B175" s="2" t="s">
        <v>738</v>
      </c>
      <c r="C175" s="2" t="s">
        <v>731</v>
      </c>
      <c r="D175" s="2" t="s">
        <v>732</v>
      </c>
      <c r="E175" s="2" t="s">
        <v>739</v>
      </c>
      <c r="F175" s="2" t="s">
        <v>6</v>
      </c>
      <c r="G175" s="2">
        <v>147</v>
      </c>
      <c r="H175" s="2">
        <v>20</v>
      </c>
      <c r="I175" s="2">
        <v>100</v>
      </c>
      <c r="J175" s="3">
        <f>G175*180</f>
        <v>26460</v>
      </c>
      <c r="K175" s="2" t="s">
        <v>2470</v>
      </c>
    </row>
    <row r="176" spans="1:11" x14ac:dyDescent="0.3">
      <c r="A176" s="5" t="s">
        <v>742</v>
      </c>
      <c r="B176" s="5" t="s">
        <v>743</v>
      </c>
      <c r="C176" s="5" t="s">
        <v>731</v>
      </c>
      <c r="D176" s="5" t="s">
        <v>732</v>
      </c>
      <c r="E176" s="5" t="s">
        <v>744</v>
      </c>
      <c r="F176" s="5" t="s">
        <v>6</v>
      </c>
      <c r="G176" s="5">
        <v>58</v>
      </c>
      <c r="H176" s="5">
        <v>15</v>
      </c>
      <c r="I176" s="5">
        <v>60</v>
      </c>
      <c r="J176" s="6">
        <f>G176*150</f>
        <v>8700</v>
      </c>
      <c r="K176" s="5" t="s">
        <v>2470</v>
      </c>
    </row>
    <row r="177" spans="1:11" x14ac:dyDescent="0.3">
      <c r="A177" s="2" t="s">
        <v>745</v>
      </c>
      <c r="B177" s="2" t="s">
        <v>746</v>
      </c>
      <c r="C177" s="2" t="s">
        <v>731</v>
      </c>
      <c r="D177" s="2" t="s">
        <v>732</v>
      </c>
      <c r="E177" s="2" t="s">
        <v>747</v>
      </c>
      <c r="F177" s="2" t="s">
        <v>6</v>
      </c>
      <c r="G177" s="2">
        <v>49</v>
      </c>
      <c r="H177" s="2">
        <v>15</v>
      </c>
      <c r="I177" s="2">
        <v>60</v>
      </c>
      <c r="J177" s="3">
        <f>G177*180</f>
        <v>8820</v>
      </c>
      <c r="K177" s="2" t="s">
        <v>2470</v>
      </c>
    </row>
    <row r="178" spans="1:11" x14ac:dyDescent="0.3">
      <c r="A178" s="5" t="s">
        <v>748</v>
      </c>
      <c r="B178" s="5" t="s">
        <v>749</v>
      </c>
      <c r="C178" s="5" t="s">
        <v>731</v>
      </c>
      <c r="D178" s="5" t="s">
        <v>732</v>
      </c>
      <c r="E178" s="5" t="s">
        <v>750</v>
      </c>
      <c r="F178" s="5" t="s">
        <v>6</v>
      </c>
      <c r="G178" s="5">
        <v>35</v>
      </c>
      <c r="H178" s="5">
        <v>10</v>
      </c>
      <c r="I178" s="5">
        <v>40</v>
      </c>
      <c r="J178" s="6">
        <f>G178*380</f>
        <v>13300</v>
      </c>
      <c r="K178" s="5" t="s">
        <v>2470</v>
      </c>
    </row>
    <row r="179" spans="1:11" x14ac:dyDescent="0.3">
      <c r="A179" s="2" t="s">
        <v>751</v>
      </c>
      <c r="B179" s="2" t="s">
        <v>752</v>
      </c>
      <c r="C179" s="2" t="s">
        <v>731</v>
      </c>
      <c r="D179" s="2" t="s">
        <v>732</v>
      </c>
      <c r="E179" s="2" t="s">
        <v>753</v>
      </c>
      <c r="F179" s="2" t="s">
        <v>6</v>
      </c>
      <c r="G179" s="2">
        <v>36</v>
      </c>
      <c r="H179" s="2">
        <v>20</v>
      </c>
      <c r="I179" s="2">
        <v>80</v>
      </c>
      <c r="J179" s="3">
        <f>G179*120</f>
        <v>4320</v>
      </c>
      <c r="K179" s="2" t="s">
        <v>2470</v>
      </c>
    </row>
    <row r="180" spans="1:11" x14ac:dyDescent="0.3">
      <c r="A180" s="5" t="s">
        <v>754</v>
      </c>
      <c r="B180" s="5" t="s">
        <v>755</v>
      </c>
      <c r="C180" s="5" t="s">
        <v>731</v>
      </c>
      <c r="D180" s="5" t="s">
        <v>732</v>
      </c>
      <c r="E180" s="5" t="s">
        <v>756</v>
      </c>
      <c r="F180" s="5" t="s">
        <v>6</v>
      </c>
      <c r="G180" s="5">
        <v>113</v>
      </c>
      <c r="H180" s="5">
        <v>10</v>
      </c>
      <c r="I180" s="5">
        <v>40</v>
      </c>
      <c r="J180" s="6">
        <f>G180*320</f>
        <v>36160</v>
      </c>
      <c r="K180" s="5" t="s">
        <v>2470</v>
      </c>
    </row>
    <row r="181" spans="1:11" x14ac:dyDescent="0.3">
      <c r="A181" s="2" t="s">
        <v>757</v>
      </c>
      <c r="B181" s="2" t="s">
        <v>759</v>
      </c>
      <c r="C181" s="2" t="s">
        <v>731</v>
      </c>
      <c r="D181" s="2" t="s">
        <v>758</v>
      </c>
      <c r="E181" s="2" t="s">
        <v>760</v>
      </c>
      <c r="F181" s="2" t="s">
        <v>6</v>
      </c>
      <c r="G181" s="2">
        <v>31</v>
      </c>
      <c r="H181" s="2">
        <v>10</v>
      </c>
      <c r="I181" s="2">
        <v>50</v>
      </c>
      <c r="J181" s="3">
        <f>G181*120</f>
        <v>3720</v>
      </c>
      <c r="K181" s="2" t="s">
        <v>2470</v>
      </c>
    </row>
    <row r="182" spans="1:11" x14ac:dyDescent="0.3">
      <c r="A182" s="5" t="s">
        <v>762</v>
      </c>
      <c r="B182" s="5" t="s">
        <v>763</v>
      </c>
      <c r="C182" s="5" t="s">
        <v>731</v>
      </c>
      <c r="D182" s="5" t="s">
        <v>758</v>
      </c>
      <c r="E182" s="5" t="s">
        <v>764</v>
      </c>
      <c r="F182" s="5" t="s">
        <v>6</v>
      </c>
      <c r="G182" s="5">
        <v>56</v>
      </c>
      <c r="H182" s="5">
        <v>20</v>
      </c>
      <c r="I182" s="5">
        <v>100</v>
      </c>
      <c r="J182" s="6">
        <f>G182*45</f>
        <v>2520</v>
      </c>
      <c r="K182" s="5" t="s">
        <v>2470</v>
      </c>
    </row>
    <row r="183" spans="1:11" x14ac:dyDescent="0.3">
      <c r="A183" s="2" t="s">
        <v>766</v>
      </c>
      <c r="B183" s="2" t="s">
        <v>767</v>
      </c>
      <c r="C183" s="2" t="s">
        <v>731</v>
      </c>
      <c r="D183" s="2" t="s">
        <v>758</v>
      </c>
      <c r="E183" s="2" t="s">
        <v>768</v>
      </c>
      <c r="F183" s="2" t="s">
        <v>6</v>
      </c>
      <c r="G183" s="2">
        <v>82</v>
      </c>
      <c r="H183" s="2">
        <v>5</v>
      </c>
      <c r="I183" s="2">
        <v>20</v>
      </c>
      <c r="J183" s="3">
        <f>G183*1500</f>
        <v>123000</v>
      </c>
      <c r="K183" s="2" t="s">
        <v>2470</v>
      </c>
    </row>
    <row r="184" spans="1:11" x14ac:dyDescent="0.3">
      <c r="A184" s="5" t="s">
        <v>770</v>
      </c>
      <c r="B184" s="5" t="s">
        <v>771</v>
      </c>
      <c r="C184" s="5" t="s">
        <v>731</v>
      </c>
      <c r="D184" s="5" t="s">
        <v>758</v>
      </c>
      <c r="E184" s="5" t="s">
        <v>772</v>
      </c>
      <c r="F184" s="5" t="s">
        <v>6</v>
      </c>
      <c r="G184" s="5">
        <v>128</v>
      </c>
      <c r="H184" s="5">
        <v>10</v>
      </c>
      <c r="I184" s="5">
        <v>40</v>
      </c>
      <c r="J184" s="6">
        <f>G184*350</f>
        <v>44800</v>
      </c>
      <c r="K184" s="5" t="s">
        <v>2470</v>
      </c>
    </row>
    <row r="185" spans="1:11" x14ac:dyDescent="0.3">
      <c r="A185" s="2" t="s">
        <v>773</v>
      </c>
      <c r="B185" s="2" t="s">
        <v>774</v>
      </c>
      <c r="C185" s="2" t="s">
        <v>731</v>
      </c>
      <c r="D185" s="2" t="s">
        <v>758</v>
      </c>
      <c r="E185" s="2" t="s">
        <v>775</v>
      </c>
      <c r="F185" s="2" t="s">
        <v>6</v>
      </c>
      <c r="G185" s="2">
        <v>36</v>
      </c>
      <c r="H185" s="2">
        <v>15</v>
      </c>
      <c r="I185" s="2">
        <v>60</v>
      </c>
      <c r="J185" s="3">
        <f>G185*280</f>
        <v>10080</v>
      </c>
      <c r="K185" s="2" t="s">
        <v>2470</v>
      </c>
    </row>
    <row r="186" spans="1:11" x14ac:dyDescent="0.3">
      <c r="A186" s="5" t="s">
        <v>777</v>
      </c>
      <c r="B186" s="5" t="s">
        <v>778</v>
      </c>
      <c r="C186" s="5" t="s">
        <v>731</v>
      </c>
      <c r="D186" s="5" t="s">
        <v>758</v>
      </c>
      <c r="E186" s="5" t="s">
        <v>779</v>
      </c>
      <c r="F186" s="5" t="s">
        <v>6</v>
      </c>
      <c r="G186" s="5">
        <v>48</v>
      </c>
      <c r="H186" s="5">
        <v>20</v>
      </c>
      <c r="I186" s="5">
        <v>80</v>
      </c>
      <c r="J186" s="6">
        <f>G186*180</f>
        <v>8640</v>
      </c>
      <c r="K186" s="5" t="s">
        <v>2470</v>
      </c>
    </row>
    <row r="187" spans="1:11" x14ac:dyDescent="0.3">
      <c r="A187" s="2" t="s">
        <v>781</v>
      </c>
      <c r="B187" s="2" t="s">
        <v>782</v>
      </c>
      <c r="C187" s="2" t="s">
        <v>731</v>
      </c>
      <c r="D187" s="2" t="s">
        <v>758</v>
      </c>
      <c r="E187" s="2" t="s">
        <v>783</v>
      </c>
      <c r="F187" s="2" t="s">
        <v>6</v>
      </c>
      <c r="G187" s="2">
        <v>42</v>
      </c>
      <c r="H187" s="2">
        <v>30</v>
      </c>
      <c r="I187" s="2">
        <v>100</v>
      </c>
      <c r="J187" s="3">
        <f>G187*50</f>
        <v>2100</v>
      </c>
      <c r="K187" s="2" t="s">
        <v>2470</v>
      </c>
    </row>
    <row r="188" spans="1:11" x14ac:dyDescent="0.3">
      <c r="A188" s="5" t="s">
        <v>784</v>
      </c>
      <c r="B188" s="5" t="s">
        <v>786</v>
      </c>
      <c r="C188" s="5" t="s">
        <v>731</v>
      </c>
      <c r="D188" s="5" t="s">
        <v>785</v>
      </c>
      <c r="E188" s="5" t="s">
        <v>787</v>
      </c>
      <c r="F188" s="5" t="s">
        <v>6</v>
      </c>
      <c r="G188" s="5">
        <v>77</v>
      </c>
      <c r="H188" s="5">
        <v>5</v>
      </c>
      <c r="I188" s="5">
        <v>20</v>
      </c>
      <c r="J188" s="6">
        <f>G188*650</f>
        <v>50050</v>
      </c>
      <c r="K188" s="5" t="s">
        <v>2470</v>
      </c>
    </row>
    <row r="189" spans="1:11" x14ac:dyDescent="0.3">
      <c r="A189" s="2" t="s">
        <v>789</v>
      </c>
      <c r="B189" s="2" t="s">
        <v>790</v>
      </c>
      <c r="C189" s="2" t="s">
        <v>731</v>
      </c>
      <c r="D189" s="2" t="s">
        <v>785</v>
      </c>
      <c r="E189" s="2" t="s">
        <v>791</v>
      </c>
      <c r="F189" s="2" t="s">
        <v>6</v>
      </c>
      <c r="G189" s="2">
        <v>106</v>
      </c>
      <c r="H189" s="2">
        <v>10</v>
      </c>
      <c r="I189" s="2">
        <v>50</v>
      </c>
      <c r="J189" s="3">
        <f>G189*120</f>
        <v>12720</v>
      </c>
      <c r="K189" s="2" t="s">
        <v>2470</v>
      </c>
    </row>
    <row r="190" spans="1:11" x14ac:dyDescent="0.3">
      <c r="A190" s="5" t="s">
        <v>792</v>
      </c>
      <c r="B190" s="5" t="s">
        <v>793</v>
      </c>
      <c r="C190" s="5" t="s">
        <v>731</v>
      </c>
      <c r="D190" s="5" t="s">
        <v>785</v>
      </c>
      <c r="E190" s="5" t="s">
        <v>794</v>
      </c>
      <c r="F190" s="5" t="s">
        <v>6</v>
      </c>
      <c r="G190" s="5">
        <v>51</v>
      </c>
      <c r="H190" s="5">
        <v>5</v>
      </c>
      <c r="I190" s="5">
        <v>20</v>
      </c>
      <c r="J190" s="6">
        <f>G190*550</f>
        <v>28050</v>
      </c>
      <c r="K190" s="5" t="s">
        <v>2470</v>
      </c>
    </row>
    <row r="191" spans="1:11" x14ac:dyDescent="0.3">
      <c r="A191" s="2" t="s">
        <v>795</v>
      </c>
      <c r="B191" s="2" t="s">
        <v>796</v>
      </c>
      <c r="C191" s="2" t="s">
        <v>731</v>
      </c>
      <c r="D191" s="2" t="s">
        <v>785</v>
      </c>
      <c r="E191" s="2" t="s">
        <v>797</v>
      </c>
      <c r="F191" s="2" t="s">
        <v>6</v>
      </c>
      <c r="G191" s="2">
        <v>73</v>
      </c>
      <c r="H191" s="2">
        <v>10</v>
      </c>
      <c r="I191" s="2">
        <v>40</v>
      </c>
      <c r="J191" s="3">
        <f>G191*280</f>
        <v>20440</v>
      </c>
      <c r="K191" s="2" t="s">
        <v>2470</v>
      </c>
    </row>
    <row r="192" spans="1:11" x14ac:dyDescent="0.3">
      <c r="A192" s="5" t="s">
        <v>799</v>
      </c>
      <c r="B192" s="5" t="s">
        <v>800</v>
      </c>
      <c r="C192" s="5" t="s">
        <v>731</v>
      </c>
      <c r="D192" s="5" t="s">
        <v>785</v>
      </c>
      <c r="E192" s="5" t="s">
        <v>801</v>
      </c>
      <c r="F192" s="5" t="s">
        <v>6</v>
      </c>
      <c r="G192" s="5">
        <v>6</v>
      </c>
      <c r="H192" s="5">
        <v>10</v>
      </c>
      <c r="I192" s="5">
        <v>40</v>
      </c>
      <c r="J192" s="6">
        <f>G192*380</f>
        <v>2280</v>
      </c>
      <c r="K192" s="8" t="s">
        <v>2471</v>
      </c>
    </row>
    <row r="193" spans="1:11" x14ac:dyDescent="0.3">
      <c r="A193" s="2" t="s">
        <v>802</v>
      </c>
      <c r="B193" s="2" t="s">
        <v>803</v>
      </c>
      <c r="C193" s="2" t="s">
        <v>731</v>
      </c>
      <c r="D193" s="2" t="s">
        <v>785</v>
      </c>
      <c r="E193" s="2" t="s">
        <v>804</v>
      </c>
      <c r="F193" s="2" t="s">
        <v>6</v>
      </c>
      <c r="G193" s="2">
        <v>106</v>
      </c>
      <c r="H193" s="2">
        <v>20</v>
      </c>
      <c r="I193" s="2">
        <v>100</v>
      </c>
      <c r="J193" s="3">
        <f>G193*85</f>
        <v>9010</v>
      </c>
      <c r="K193" s="2" t="s">
        <v>2470</v>
      </c>
    </row>
    <row r="194" spans="1:11" x14ac:dyDescent="0.3">
      <c r="A194" s="5" t="s">
        <v>805</v>
      </c>
      <c r="B194" s="5" t="s">
        <v>806</v>
      </c>
      <c r="C194" s="5" t="s">
        <v>731</v>
      </c>
      <c r="D194" s="5" t="s">
        <v>785</v>
      </c>
      <c r="E194" s="5" t="s">
        <v>807</v>
      </c>
      <c r="F194" s="5" t="s">
        <v>6</v>
      </c>
      <c r="G194" s="5">
        <v>74</v>
      </c>
      <c r="H194" s="5">
        <v>10</v>
      </c>
      <c r="I194" s="5">
        <v>50</v>
      </c>
      <c r="J194" s="6">
        <f>G194*120</f>
        <v>8880</v>
      </c>
      <c r="K194" s="5" t="s">
        <v>2470</v>
      </c>
    </row>
    <row r="195" spans="1:11" x14ac:dyDescent="0.3">
      <c r="A195" s="2" t="s">
        <v>808</v>
      </c>
      <c r="B195" s="2" t="s">
        <v>809</v>
      </c>
      <c r="C195" s="2" t="s">
        <v>731</v>
      </c>
      <c r="D195" s="2" t="s">
        <v>785</v>
      </c>
      <c r="E195" s="2" t="s">
        <v>810</v>
      </c>
      <c r="F195" s="2" t="s">
        <v>6</v>
      </c>
      <c r="G195" s="2">
        <v>1</v>
      </c>
      <c r="H195" s="2">
        <v>15</v>
      </c>
      <c r="I195" s="2">
        <v>60</v>
      </c>
      <c r="J195" s="3">
        <f>G195*250</f>
        <v>250</v>
      </c>
      <c r="K195" s="8" t="s">
        <v>2471</v>
      </c>
    </row>
    <row r="196" spans="1:11" x14ac:dyDescent="0.3">
      <c r="A196" s="5" t="s">
        <v>811</v>
      </c>
      <c r="B196" s="5" t="s">
        <v>812</v>
      </c>
      <c r="C196" s="5" t="s">
        <v>731</v>
      </c>
      <c r="D196" s="5" t="s">
        <v>785</v>
      </c>
      <c r="E196" s="5" t="s">
        <v>813</v>
      </c>
      <c r="F196" s="5" t="s">
        <v>6</v>
      </c>
      <c r="G196" s="5">
        <v>102</v>
      </c>
      <c r="H196" s="5">
        <v>5</v>
      </c>
      <c r="I196" s="5">
        <v>20</v>
      </c>
      <c r="J196" s="6">
        <f>G196*1800</f>
        <v>183600</v>
      </c>
      <c r="K196" s="5" t="s">
        <v>2470</v>
      </c>
    </row>
    <row r="197" spans="1:11" x14ac:dyDescent="0.3">
      <c r="A197" s="2" t="s">
        <v>815</v>
      </c>
      <c r="B197" s="2" t="s">
        <v>818</v>
      </c>
      <c r="C197" s="2" t="s">
        <v>816</v>
      </c>
      <c r="D197" s="2" t="s">
        <v>817</v>
      </c>
      <c r="E197" s="2" t="s">
        <v>819</v>
      </c>
      <c r="F197" s="2" t="s">
        <v>6</v>
      </c>
      <c r="G197" s="2">
        <v>70</v>
      </c>
      <c r="H197" s="2">
        <v>5</v>
      </c>
      <c r="I197" s="2">
        <v>20</v>
      </c>
      <c r="J197" s="3">
        <f>G197*3500</f>
        <v>245000</v>
      </c>
      <c r="K197" s="2" t="s">
        <v>2470</v>
      </c>
    </row>
    <row r="198" spans="1:11" x14ac:dyDescent="0.3">
      <c r="A198" s="5" t="s">
        <v>822</v>
      </c>
      <c r="B198" s="5" t="s">
        <v>823</v>
      </c>
      <c r="C198" s="5" t="s">
        <v>816</v>
      </c>
      <c r="D198" s="5" t="s">
        <v>817</v>
      </c>
      <c r="E198" s="5" t="s">
        <v>824</v>
      </c>
      <c r="F198" s="5" t="s">
        <v>6</v>
      </c>
      <c r="G198" s="5">
        <v>30</v>
      </c>
      <c r="H198" s="5">
        <v>5</v>
      </c>
      <c r="I198" s="5">
        <v>20</v>
      </c>
      <c r="J198" s="6">
        <f>G198*3200</f>
        <v>96000</v>
      </c>
      <c r="K198" s="5" t="s">
        <v>2470</v>
      </c>
    </row>
    <row r="199" spans="1:11" x14ac:dyDescent="0.3">
      <c r="A199" s="2" t="s">
        <v>827</v>
      </c>
      <c r="B199" s="2" t="s">
        <v>828</v>
      </c>
      <c r="C199" s="2" t="s">
        <v>816</v>
      </c>
      <c r="D199" s="2" t="s">
        <v>817</v>
      </c>
      <c r="E199" s="2" t="s">
        <v>829</v>
      </c>
      <c r="F199" s="2" t="s">
        <v>6</v>
      </c>
      <c r="G199" s="2">
        <v>122</v>
      </c>
      <c r="H199" s="2">
        <v>5</v>
      </c>
      <c r="I199" s="2">
        <v>20</v>
      </c>
      <c r="J199" s="3">
        <f>G199*3300</f>
        <v>402600</v>
      </c>
      <c r="K199" s="2" t="s">
        <v>2470</v>
      </c>
    </row>
    <row r="200" spans="1:11" x14ac:dyDescent="0.3">
      <c r="A200" s="5" t="s">
        <v>832</v>
      </c>
      <c r="B200" s="5" t="s">
        <v>833</v>
      </c>
      <c r="C200" s="5" t="s">
        <v>816</v>
      </c>
      <c r="D200" s="5" t="s">
        <v>817</v>
      </c>
      <c r="E200" s="5" t="s">
        <v>834</v>
      </c>
      <c r="F200" s="5" t="s">
        <v>6</v>
      </c>
      <c r="G200" s="5">
        <v>69</v>
      </c>
      <c r="H200" s="5">
        <v>5</v>
      </c>
      <c r="I200" s="5">
        <v>20</v>
      </c>
      <c r="J200" s="6">
        <f>G200*1200</f>
        <v>82800</v>
      </c>
      <c r="K200" s="5" t="s">
        <v>2470</v>
      </c>
    </row>
    <row r="201" spans="1:11" x14ac:dyDescent="0.3">
      <c r="A201" s="2" t="s">
        <v>837</v>
      </c>
      <c r="B201" s="2" t="s">
        <v>838</v>
      </c>
      <c r="C201" s="2" t="s">
        <v>816</v>
      </c>
      <c r="D201" s="2" t="s">
        <v>817</v>
      </c>
      <c r="E201" s="2" t="s">
        <v>839</v>
      </c>
      <c r="F201" s="2" t="s">
        <v>6</v>
      </c>
      <c r="G201" s="2">
        <v>25</v>
      </c>
      <c r="H201" s="2">
        <v>10</v>
      </c>
      <c r="I201" s="2">
        <v>40</v>
      </c>
      <c r="J201" s="3">
        <f>G201*550</f>
        <v>13750</v>
      </c>
      <c r="K201" s="2" t="s">
        <v>2470</v>
      </c>
    </row>
    <row r="202" spans="1:11" x14ac:dyDescent="0.3">
      <c r="A202" s="5" t="s">
        <v>840</v>
      </c>
      <c r="B202" s="5" t="s">
        <v>841</v>
      </c>
      <c r="C202" s="5" t="s">
        <v>816</v>
      </c>
      <c r="D202" s="5" t="s">
        <v>817</v>
      </c>
      <c r="E202" s="5" t="s">
        <v>842</v>
      </c>
      <c r="F202" s="5" t="s">
        <v>6</v>
      </c>
      <c r="G202" s="5">
        <v>107</v>
      </c>
      <c r="H202" s="5">
        <v>10</v>
      </c>
      <c r="I202" s="5">
        <v>40</v>
      </c>
      <c r="J202" s="6">
        <f>G202*650</f>
        <v>69550</v>
      </c>
      <c r="K202" s="5" t="s">
        <v>2470</v>
      </c>
    </row>
    <row r="203" spans="1:11" x14ac:dyDescent="0.3">
      <c r="A203" s="2" t="s">
        <v>844</v>
      </c>
      <c r="B203" s="2" t="s">
        <v>845</v>
      </c>
      <c r="C203" s="2" t="s">
        <v>816</v>
      </c>
      <c r="D203" s="2" t="s">
        <v>817</v>
      </c>
      <c r="E203" s="2" t="s">
        <v>846</v>
      </c>
      <c r="F203" s="2" t="s">
        <v>6</v>
      </c>
      <c r="G203" s="2">
        <v>118</v>
      </c>
      <c r="H203" s="2">
        <v>10</v>
      </c>
      <c r="I203" s="2">
        <v>40</v>
      </c>
      <c r="J203" s="3">
        <f>G203*380</f>
        <v>44840</v>
      </c>
      <c r="K203" s="2" t="s">
        <v>2470</v>
      </c>
    </row>
    <row r="204" spans="1:11" x14ac:dyDescent="0.3">
      <c r="A204" s="5" t="s">
        <v>847</v>
      </c>
      <c r="B204" s="5" t="s">
        <v>848</v>
      </c>
      <c r="C204" s="5" t="s">
        <v>816</v>
      </c>
      <c r="D204" s="5" t="s">
        <v>817</v>
      </c>
      <c r="E204" s="5" t="s">
        <v>849</v>
      </c>
      <c r="F204" s="5" t="s">
        <v>6</v>
      </c>
      <c r="G204" s="5">
        <v>142</v>
      </c>
      <c r="H204" s="5">
        <v>10</v>
      </c>
      <c r="I204" s="5">
        <v>40</v>
      </c>
      <c r="J204" s="6">
        <f>G204*320</f>
        <v>45440</v>
      </c>
      <c r="K204" s="5" t="s">
        <v>2470</v>
      </c>
    </row>
    <row r="205" spans="1:11" x14ac:dyDescent="0.3">
      <c r="A205" s="2" t="s">
        <v>850</v>
      </c>
      <c r="B205" s="2" t="s">
        <v>852</v>
      </c>
      <c r="C205" s="2" t="s">
        <v>816</v>
      </c>
      <c r="D205" s="2" t="s">
        <v>851</v>
      </c>
      <c r="E205" s="2" t="s">
        <v>853</v>
      </c>
      <c r="F205" s="2" t="s">
        <v>6</v>
      </c>
      <c r="G205" s="2">
        <v>23</v>
      </c>
      <c r="H205" s="2">
        <v>5</v>
      </c>
      <c r="I205" s="2">
        <v>10</v>
      </c>
      <c r="J205" s="3">
        <f>G205*12500</f>
        <v>287500</v>
      </c>
      <c r="K205" s="2" t="s">
        <v>2470</v>
      </c>
    </row>
    <row r="206" spans="1:11" x14ac:dyDescent="0.3">
      <c r="A206" s="5" t="s">
        <v>855</v>
      </c>
      <c r="B206" s="5" t="s">
        <v>856</v>
      </c>
      <c r="C206" s="5" t="s">
        <v>816</v>
      </c>
      <c r="D206" s="5" t="s">
        <v>851</v>
      </c>
      <c r="E206" s="5" t="s">
        <v>857</v>
      </c>
      <c r="F206" s="5" t="s">
        <v>6</v>
      </c>
      <c r="G206" s="5">
        <v>120</v>
      </c>
      <c r="H206" s="5">
        <v>4</v>
      </c>
      <c r="I206" s="5">
        <v>8</v>
      </c>
      <c r="J206" s="6">
        <f>G206*16000</f>
        <v>1920000</v>
      </c>
      <c r="K206" s="5" t="s">
        <v>2470</v>
      </c>
    </row>
    <row r="207" spans="1:11" x14ac:dyDescent="0.3">
      <c r="A207" s="2" t="s">
        <v>860</v>
      </c>
      <c r="B207" s="2" t="s">
        <v>861</v>
      </c>
      <c r="C207" s="2" t="s">
        <v>816</v>
      </c>
      <c r="D207" s="2" t="s">
        <v>851</v>
      </c>
      <c r="E207" s="2" t="s">
        <v>862</v>
      </c>
      <c r="F207" s="2" t="s">
        <v>6</v>
      </c>
      <c r="G207" s="2">
        <v>19</v>
      </c>
      <c r="H207" s="2">
        <v>3</v>
      </c>
      <c r="I207" s="2">
        <v>8</v>
      </c>
      <c r="J207" s="3">
        <f>G207*14000</f>
        <v>266000</v>
      </c>
      <c r="K207" s="2" t="s">
        <v>2470</v>
      </c>
    </row>
    <row r="208" spans="1:11" x14ac:dyDescent="0.3">
      <c r="A208" s="5" t="s">
        <v>865</v>
      </c>
      <c r="B208" s="5" t="s">
        <v>866</v>
      </c>
      <c r="C208" s="5" t="s">
        <v>816</v>
      </c>
      <c r="D208" s="5" t="s">
        <v>851</v>
      </c>
      <c r="E208" s="5" t="s">
        <v>867</v>
      </c>
      <c r="F208" s="5" t="s">
        <v>6</v>
      </c>
      <c r="G208" s="5">
        <v>61</v>
      </c>
      <c r="H208" s="5">
        <v>3</v>
      </c>
      <c r="I208" s="5">
        <v>8</v>
      </c>
      <c r="J208" s="6">
        <f>G208*16500</f>
        <v>1006500</v>
      </c>
      <c r="K208" s="5" t="s">
        <v>2470</v>
      </c>
    </row>
    <row r="209" spans="1:11" x14ac:dyDescent="0.3">
      <c r="A209" s="2" t="s">
        <v>869</v>
      </c>
      <c r="B209" s="2" t="s">
        <v>870</v>
      </c>
      <c r="C209" s="2" t="s">
        <v>816</v>
      </c>
      <c r="D209" s="2" t="s">
        <v>851</v>
      </c>
      <c r="E209" s="2" t="s">
        <v>871</v>
      </c>
      <c r="F209" s="2" t="s">
        <v>6</v>
      </c>
      <c r="G209" s="2">
        <v>11</v>
      </c>
      <c r="H209" s="2">
        <v>3</v>
      </c>
      <c r="I209" s="2">
        <v>8</v>
      </c>
      <c r="J209" s="3">
        <f>G209*10500</f>
        <v>115500</v>
      </c>
      <c r="K209" s="2" t="s">
        <v>2470</v>
      </c>
    </row>
    <row r="210" spans="1:11" x14ac:dyDescent="0.3">
      <c r="A210" s="5" t="s">
        <v>874</v>
      </c>
      <c r="B210" s="5" t="s">
        <v>876</v>
      </c>
      <c r="C210" s="5" t="s">
        <v>816</v>
      </c>
      <c r="D210" s="5" t="s">
        <v>875</v>
      </c>
      <c r="E210" s="5" t="s">
        <v>877</v>
      </c>
      <c r="F210" s="5" t="s">
        <v>6</v>
      </c>
      <c r="G210" s="5">
        <v>143</v>
      </c>
      <c r="H210" s="5">
        <v>10</v>
      </c>
      <c r="I210" s="5">
        <v>30</v>
      </c>
      <c r="J210" s="6">
        <f>G210*1800</f>
        <v>257400</v>
      </c>
      <c r="K210" s="5" t="s">
        <v>2470</v>
      </c>
    </row>
    <row r="211" spans="1:11" x14ac:dyDescent="0.3">
      <c r="A211" s="2" t="s">
        <v>879</v>
      </c>
      <c r="B211" s="2" t="s">
        <v>880</v>
      </c>
      <c r="C211" s="2" t="s">
        <v>816</v>
      </c>
      <c r="D211" s="2" t="s">
        <v>875</v>
      </c>
      <c r="E211" s="2" t="s">
        <v>881</v>
      </c>
      <c r="F211" s="2" t="s">
        <v>6</v>
      </c>
      <c r="G211" s="2">
        <v>115</v>
      </c>
      <c r="H211" s="2">
        <v>5</v>
      </c>
      <c r="I211" s="2">
        <v>15</v>
      </c>
      <c r="J211" s="3">
        <f>G211*2500</f>
        <v>287500</v>
      </c>
      <c r="K211" s="2" t="s">
        <v>2470</v>
      </c>
    </row>
    <row r="212" spans="1:11" x14ac:dyDescent="0.3">
      <c r="A212" s="5" t="s">
        <v>882</v>
      </c>
      <c r="B212" s="5" t="s">
        <v>883</v>
      </c>
      <c r="C212" s="5" t="s">
        <v>816</v>
      </c>
      <c r="D212" s="5" t="s">
        <v>875</v>
      </c>
      <c r="E212" s="5" t="s">
        <v>884</v>
      </c>
      <c r="F212" s="5" t="s">
        <v>6</v>
      </c>
      <c r="G212" s="5">
        <v>53</v>
      </c>
      <c r="H212" s="5">
        <v>15</v>
      </c>
      <c r="I212" s="5">
        <v>50</v>
      </c>
      <c r="J212" s="6">
        <f>G212*380</f>
        <v>20140</v>
      </c>
      <c r="K212" s="5" t="s">
        <v>2470</v>
      </c>
    </row>
    <row r="213" spans="1:11" x14ac:dyDescent="0.3">
      <c r="A213" s="2" t="s">
        <v>885</v>
      </c>
      <c r="B213" s="2" t="s">
        <v>886</v>
      </c>
      <c r="C213" s="2" t="s">
        <v>816</v>
      </c>
      <c r="D213" s="2" t="s">
        <v>875</v>
      </c>
      <c r="E213" s="2" t="s">
        <v>887</v>
      </c>
      <c r="F213" s="2" t="s">
        <v>6</v>
      </c>
      <c r="G213" s="2">
        <v>150</v>
      </c>
      <c r="H213" s="2">
        <v>20</v>
      </c>
      <c r="I213" s="2">
        <v>80</v>
      </c>
      <c r="J213" s="3">
        <f>G213*180</f>
        <v>27000</v>
      </c>
      <c r="K213" s="2" t="s">
        <v>2470</v>
      </c>
    </row>
    <row r="214" spans="1:11" x14ac:dyDescent="0.3">
      <c r="A214" s="5" t="s">
        <v>889</v>
      </c>
      <c r="B214" s="5" t="s">
        <v>890</v>
      </c>
      <c r="C214" s="5" t="s">
        <v>816</v>
      </c>
      <c r="D214" s="5" t="s">
        <v>875</v>
      </c>
      <c r="E214" s="5" t="s">
        <v>891</v>
      </c>
      <c r="F214" s="5" t="s">
        <v>6</v>
      </c>
      <c r="G214" s="5">
        <v>0</v>
      </c>
      <c r="H214" s="5">
        <v>10</v>
      </c>
      <c r="I214" s="5">
        <v>30</v>
      </c>
      <c r="J214" s="6">
        <f>G214*550</f>
        <v>0</v>
      </c>
      <c r="K214" s="8" t="s">
        <v>2471</v>
      </c>
    </row>
    <row r="215" spans="1:11" x14ac:dyDescent="0.3">
      <c r="A215" s="2" t="s">
        <v>892</v>
      </c>
      <c r="B215" s="2" t="s">
        <v>893</v>
      </c>
      <c r="C215" s="2" t="s">
        <v>816</v>
      </c>
      <c r="D215" s="2" t="s">
        <v>875</v>
      </c>
      <c r="E215" s="2" t="s">
        <v>894</v>
      </c>
      <c r="F215" s="2" t="s">
        <v>6</v>
      </c>
      <c r="G215" s="2">
        <v>34</v>
      </c>
      <c r="H215" s="2">
        <v>5</v>
      </c>
      <c r="I215" s="2">
        <v>15</v>
      </c>
      <c r="J215" s="3">
        <f>G215*1800</f>
        <v>61200</v>
      </c>
      <c r="K215" s="2" t="s">
        <v>2470</v>
      </c>
    </row>
    <row r="216" spans="1:11" x14ac:dyDescent="0.3">
      <c r="A216" s="5" t="s">
        <v>895</v>
      </c>
      <c r="B216" s="5" t="s">
        <v>896</v>
      </c>
      <c r="C216" s="5" t="s">
        <v>816</v>
      </c>
      <c r="D216" s="5" t="s">
        <v>875</v>
      </c>
      <c r="E216" s="5" t="s">
        <v>897</v>
      </c>
      <c r="F216" s="5" t="s">
        <v>6</v>
      </c>
      <c r="G216" s="5">
        <v>29</v>
      </c>
      <c r="H216" s="5">
        <v>3</v>
      </c>
      <c r="I216" s="5">
        <v>10</v>
      </c>
      <c r="J216" s="6">
        <f>G216*5500</f>
        <v>159500</v>
      </c>
      <c r="K216" s="5" t="s">
        <v>2470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zoomScaleNormal="100" workbookViewId="0">
      <pane ySplit="2" topLeftCell="A3" activePane="bottomLeft" state="frozen"/>
      <selection pane="bottomLeft" sqref="A1:J1"/>
    </sheetView>
  </sheetViews>
  <sheetFormatPr defaultColWidth="8.6640625" defaultRowHeight="14.4" x14ac:dyDescent="0.3"/>
  <cols>
    <col min="1" max="1" width="10" customWidth="1"/>
    <col min="2" max="2" width="28" customWidth="1"/>
    <col min="3" max="4" width="20" customWidth="1"/>
    <col min="5" max="5" width="16" customWidth="1"/>
    <col min="6" max="6" width="30" customWidth="1"/>
    <col min="7" max="7" width="12" customWidth="1"/>
    <col min="8" max="9" width="18" customWidth="1"/>
    <col min="10" max="10" width="10" customWidth="1"/>
  </cols>
  <sheetData>
    <row r="1" spans="1:10" ht="30" customHeight="1" x14ac:dyDescent="0.3">
      <c r="A1" s="14" t="s">
        <v>898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7.6" x14ac:dyDescent="0.3">
      <c r="A2" s="1" t="s">
        <v>899</v>
      </c>
      <c r="B2" s="1" t="s">
        <v>900</v>
      </c>
      <c r="C2" s="1" t="s">
        <v>2</v>
      </c>
      <c r="D2" s="1" t="s">
        <v>901</v>
      </c>
      <c r="E2" s="1" t="s">
        <v>902</v>
      </c>
      <c r="F2" s="1" t="s">
        <v>903</v>
      </c>
      <c r="G2" s="1" t="s">
        <v>904</v>
      </c>
      <c r="H2" s="1" t="s">
        <v>905</v>
      </c>
      <c r="I2" s="1" t="s">
        <v>906</v>
      </c>
      <c r="J2" s="1" t="s">
        <v>15</v>
      </c>
    </row>
    <row r="3" spans="1:10" x14ac:dyDescent="0.3">
      <c r="A3" s="2" t="s">
        <v>907</v>
      </c>
      <c r="B3" s="2" t="s">
        <v>21</v>
      </c>
      <c r="C3" s="2" t="s">
        <v>908</v>
      </c>
      <c r="D3" s="2" t="s">
        <v>909</v>
      </c>
      <c r="E3" s="2" t="s">
        <v>910</v>
      </c>
      <c r="F3" s="2" t="s">
        <v>911</v>
      </c>
      <c r="G3" s="2" t="s">
        <v>912</v>
      </c>
      <c r="H3" s="2">
        <v>30</v>
      </c>
      <c r="I3" s="3">
        <v>500000</v>
      </c>
      <c r="J3" s="2" t="s">
        <v>23</v>
      </c>
    </row>
    <row r="4" spans="1:10" x14ac:dyDescent="0.3">
      <c r="A4" s="5" t="s">
        <v>913</v>
      </c>
      <c r="B4" s="5" t="s">
        <v>30</v>
      </c>
      <c r="C4" s="5" t="s">
        <v>908</v>
      </c>
      <c r="D4" s="5" t="s">
        <v>914</v>
      </c>
      <c r="E4" s="5" t="s">
        <v>915</v>
      </c>
      <c r="F4" s="5" t="s">
        <v>916</v>
      </c>
      <c r="G4" s="5" t="s">
        <v>917</v>
      </c>
      <c r="H4" s="5">
        <v>15</v>
      </c>
      <c r="I4" s="6">
        <v>1000000</v>
      </c>
      <c r="J4" s="5" t="s">
        <v>23</v>
      </c>
    </row>
    <row r="5" spans="1:10" x14ac:dyDescent="0.3">
      <c r="A5" s="2" t="s">
        <v>918</v>
      </c>
      <c r="B5" s="2" t="s">
        <v>38</v>
      </c>
      <c r="C5" s="2" t="s">
        <v>908</v>
      </c>
      <c r="D5" s="2" t="s">
        <v>919</v>
      </c>
      <c r="E5" s="2" t="s">
        <v>920</v>
      </c>
      <c r="F5" s="2" t="s">
        <v>921</v>
      </c>
      <c r="G5" s="2" t="s">
        <v>912</v>
      </c>
      <c r="H5" s="2">
        <v>30</v>
      </c>
      <c r="I5" s="3">
        <v>600000</v>
      </c>
      <c r="J5" s="2" t="s">
        <v>23</v>
      </c>
    </row>
    <row r="6" spans="1:10" x14ac:dyDescent="0.3">
      <c r="A6" s="5" t="s">
        <v>922</v>
      </c>
      <c r="B6" s="5" t="s">
        <v>46</v>
      </c>
      <c r="C6" s="5" t="s">
        <v>908</v>
      </c>
      <c r="D6" s="5" t="s">
        <v>923</v>
      </c>
      <c r="E6" s="5" t="s">
        <v>924</v>
      </c>
      <c r="F6" s="5" t="s">
        <v>925</v>
      </c>
      <c r="G6" s="5" t="s">
        <v>926</v>
      </c>
      <c r="H6" s="5">
        <v>30</v>
      </c>
      <c r="I6" s="6">
        <v>500000</v>
      </c>
      <c r="J6" s="5" t="s">
        <v>23</v>
      </c>
    </row>
    <row r="7" spans="1:10" x14ac:dyDescent="0.3">
      <c r="A7" s="2" t="s">
        <v>927</v>
      </c>
      <c r="B7" s="2" t="s">
        <v>54</v>
      </c>
      <c r="C7" s="2" t="s">
        <v>908</v>
      </c>
      <c r="D7" s="2" t="s">
        <v>928</v>
      </c>
      <c r="E7" s="2" t="s">
        <v>929</v>
      </c>
      <c r="F7" s="2" t="s">
        <v>930</v>
      </c>
      <c r="G7" s="2" t="s">
        <v>912</v>
      </c>
      <c r="H7" s="2">
        <v>30</v>
      </c>
      <c r="I7" s="3">
        <v>400000</v>
      </c>
      <c r="J7" s="2" t="s">
        <v>23</v>
      </c>
    </row>
    <row r="8" spans="1:10" x14ac:dyDescent="0.3">
      <c r="A8" s="5" t="s">
        <v>931</v>
      </c>
      <c r="B8" s="5" t="s">
        <v>59</v>
      </c>
      <c r="C8" s="5" t="s">
        <v>908</v>
      </c>
      <c r="D8" s="5" t="s">
        <v>932</v>
      </c>
      <c r="E8" s="5" t="s">
        <v>933</v>
      </c>
      <c r="F8" s="5" t="s">
        <v>934</v>
      </c>
      <c r="G8" s="5" t="s">
        <v>912</v>
      </c>
      <c r="H8" s="5">
        <v>30</v>
      </c>
      <c r="I8" s="6">
        <v>450000</v>
      </c>
      <c r="J8" s="5" t="s">
        <v>23</v>
      </c>
    </row>
    <row r="9" spans="1:10" x14ac:dyDescent="0.3">
      <c r="A9" s="2" t="s">
        <v>935</v>
      </c>
      <c r="B9" s="2" t="s">
        <v>65</v>
      </c>
      <c r="C9" s="2" t="s">
        <v>936</v>
      </c>
      <c r="D9" s="2" t="s">
        <v>937</v>
      </c>
      <c r="E9" s="2" t="s">
        <v>938</v>
      </c>
      <c r="F9" s="2" t="s">
        <v>939</v>
      </c>
      <c r="G9" s="2" t="s">
        <v>917</v>
      </c>
      <c r="H9" s="2">
        <v>45</v>
      </c>
      <c r="I9" s="3">
        <v>800000</v>
      </c>
      <c r="J9" s="2" t="s">
        <v>23</v>
      </c>
    </row>
    <row r="10" spans="1:10" x14ac:dyDescent="0.3">
      <c r="A10" s="5" t="s">
        <v>940</v>
      </c>
      <c r="B10" s="5" t="s">
        <v>70</v>
      </c>
      <c r="C10" s="5" t="s">
        <v>936</v>
      </c>
      <c r="D10" s="5" t="s">
        <v>941</v>
      </c>
      <c r="E10" s="5" t="s">
        <v>942</v>
      </c>
      <c r="F10" s="5" t="s">
        <v>943</v>
      </c>
      <c r="G10" s="5" t="s">
        <v>912</v>
      </c>
      <c r="H10" s="5">
        <v>45</v>
      </c>
      <c r="I10" s="6">
        <v>700000</v>
      </c>
      <c r="J10" s="5" t="s">
        <v>23</v>
      </c>
    </row>
    <row r="11" spans="1:10" x14ac:dyDescent="0.3">
      <c r="A11" s="2" t="s">
        <v>944</v>
      </c>
      <c r="B11" s="2" t="s">
        <v>75</v>
      </c>
      <c r="C11" s="2" t="s">
        <v>936</v>
      </c>
      <c r="D11" s="2" t="s">
        <v>945</v>
      </c>
      <c r="E11" s="2" t="s">
        <v>946</v>
      </c>
      <c r="F11" s="2" t="s">
        <v>947</v>
      </c>
      <c r="G11" s="2" t="s">
        <v>926</v>
      </c>
      <c r="H11" s="2">
        <v>45</v>
      </c>
      <c r="I11" s="3">
        <v>600000</v>
      </c>
      <c r="J11" s="2" t="s">
        <v>23</v>
      </c>
    </row>
    <row r="12" spans="1:10" x14ac:dyDescent="0.3">
      <c r="A12" s="5" t="s">
        <v>948</v>
      </c>
      <c r="B12" s="5" t="s">
        <v>80</v>
      </c>
      <c r="C12" s="5" t="s">
        <v>936</v>
      </c>
      <c r="D12" s="5" t="s">
        <v>949</v>
      </c>
      <c r="E12" s="5" t="s">
        <v>950</v>
      </c>
      <c r="F12" s="5" t="s">
        <v>951</v>
      </c>
      <c r="G12" s="5" t="s">
        <v>917</v>
      </c>
      <c r="H12" s="5">
        <v>45</v>
      </c>
      <c r="I12" s="6">
        <v>550000</v>
      </c>
      <c r="J12" s="5" t="s">
        <v>23</v>
      </c>
    </row>
    <row r="13" spans="1:10" x14ac:dyDescent="0.3">
      <c r="A13" s="2" t="s">
        <v>952</v>
      </c>
      <c r="B13" s="2" t="s">
        <v>94</v>
      </c>
      <c r="C13" s="2" t="s">
        <v>936</v>
      </c>
      <c r="D13" s="2" t="s">
        <v>953</v>
      </c>
      <c r="E13" s="2" t="s">
        <v>954</v>
      </c>
      <c r="F13" s="2" t="s">
        <v>955</v>
      </c>
      <c r="G13" s="2" t="s">
        <v>912</v>
      </c>
      <c r="H13" s="2">
        <v>45</v>
      </c>
      <c r="I13" s="3">
        <v>500000</v>
      </c>
      <c r="J13" s="2" t="s">
        <v>23</v>
      </c>
    </row>
    <row r="14" spans="1:10" x14ac:dyDescent="0.3">
      <c r="A14" s="5" t="s">
        <v>956</v>
      </c>
      <c r="B14" s="5" t="s">
        <v>106</v>
      </c>
      <c r="C14" s="5" t="s">
        <v>908</v>
      </c>
      <c r="D14" s="5" t="s">
        <v>957</v>
      </c>
      <c r="E14" s="5" t="s">
        <v>958</v>
      </c>
      <c r="F14" s="5" t="s">
        <v>959</v>
      </c>
      <c r="G14" s="5" t="s">
        <v>912</v>
      </c>
      <c r="H14" s="5">
        <v>30</v>
      </c>
      <c r="I14" s="6">
        <v>400000</v>
      </c>
      <c r="J14" s="5" t="s">
        <v>23</v>
      </c>
    </row>
    <row r="15" spans="1:10" x14ac:dyDescent="0.3">
      <c r="A15" s="2" t="s">
        <v>960</v>
      </c>
      <c r="B15" s="2" t="s">
        <v>114</v>
      </c>
      <c r="C15" s="2" t="s">
        <v>961</v>
      </c>
      <c r="D15" s="2" t="s">
        <v>962</v>
      </c>
      <c r="E15" s="2" t="s">
        <v>963</v>
      </c>
      <c r="F15" s="2" t="s">
        <v>964</v>
      </c>
      <c r="G15" s="2" t="s">
        <v>912</v>
      </c>
      <c r="H15" s="2">
        <v>30</v>
      </c>
      <c r="I15" s="3">
        <v>800000</v>
      </c>
      <c r="J15" s="2" t="s">
        <v>23</v>
      </c>
    </row>
    <row r="16" spans="1:10" x14ac:dyDescent="0.3">
      <c r="A16" s="5" t="s">
        <v>965</v>
      </c>
      <c r="B16" s="5" t="s">
        <v>133</v>
      </c>
      <c r="C16" s="5" t="s">
        <v>961</v>
      </c>
      <c r="D16" s="5" t="s">
        <v>966</v>
      </c>
      <c r="E16" s="5" t="s">
        <v>967</v>
      </c>
      <c r="F16" s="5" t="s">
        <v>968</v>
      </c>
      <c r="G16" s="5" t="s">
        <v>917</v>
      </c>
      <c r="H16" s="5">
        <v>30</v>
      </c>
      <c r="I16" s="6">
        <v>900000</v>
      </c>
      <c r="J16" s="5" t="s">
        <v>23</v>
      </c>
    </row>
    <row r="17" spans="1:10" x14ac:dyDescent="0.3">
      <c r="A17" s="2" t="s">
        <v>969</v>
      </c>
      <c r="B17" s="2" t="s">
        <v>151</v>
      </c>
      <c r="C17" s="2" t="s">
        <v>961</v>
      </c>
      <c r="D17" s="2" t="s">
        <v>970</v>
      </c>
      <c r="E17" s="2" t="s">
        <v>971</v>
      </c>
      <c r="F17" s="2" t="s">
        <v>972</v>
      </c>
      <c r="G17" s="2" t="s">
        <v>912</v>
      </c>
      <c r="H17" s="2">
        <v>30</v>
      </c>
      <c r="I17" s="3">
        <v>700000</v>
      </c>
      <c r="J17" s="2" t="s">
        <v>23</v>
      </c>
    </row>
    <row r="18" spans="1:10" x14ac:dyDescent="0.3">
      <c r="A18" s="5" t="s">
        <v>973</v>
      </c>
      <c r="B18" s="5" t="s">
        <v>140</v>
      </c>
      <c r="C18" s="5" t="s">
        <v>961</v>
      </c>
      <c r="D18" s="5" t="s">
        <v>974</v>
      </c>
      <c r="E18" s="5" t="s">
        <v>975</v>
      </c>
      <c r="F18" s="5" t="s">
        <v>976</v>
      </c>
      <c r="G18" s="5" t="s">
        <v>912</v>
      </c>
      <c r="H18" s="5">
        <v>30</v>
      </c>
      <c r="I18" s="6">
        <v>600000</v>
      </c>
      <c r="J18" s="5" t="s">
        <v>23</v>
      </c>
    </row>
    <row r="19" spans="1:10" x14ac:dyDescent="0.3">
      <c r="A19" s="2" t="s">
        <v>977</v>
      </c>
      <c r="B19" s="2" t="s">
        <v>122</v>
      </c>
      <c r="C19" s="2" t="s">
        <v>908</v>
      </c>
      <c r="D19" s="2" t="s">
        <v>978</v>
      </c>
      <c r="E19" s="2" t="s">
        <v>979</v>
      </c>
      <c r="F19" s="2" t="s">
        <v>980</v>
      </c>
      <c r="G19" s="2" t="s">
        <v>917</v>
      </c>
      <c r="H19" s="2">
        <v>45</v>
      </c>
      <c r="I19" s="3">
        <v>1000000</v>
      </c>
      <c r="J19" s="2" t="s">
        <v>23</v>
      </c>
    </row>
    <row r="20" spans="1:10" x14ac:dyDescent="0.3">
      <c r="A20" s="5" t="s">
        <v>981</v>
      </c>
      <c r="B20" s="5" t="s">
        <v>127</v>
      </c>
      <c r="C20" s="5" t="s">
        <v>908</v>
      </c>
      <c r="D20" s="5" t="s">
        <v>982</v>
      </c>
      <c r="E20" s="5" t="s">
        <v>983</v>
      </c>
      <c r="F20" s="5" t="s">
        <v>984</v>
      </c>
      <c r="G20" s="5" t="s">
        <v>926</v>
      </c>
      <c r="H20" s="5">
        <v>45</v>
      </c>
      <c r="I20" s="6">
        <v>900000</v>
      </c>
      <c r="J20" s="5" t="s">
        <v>23</v>
      </c>
    </row>
    <row r="21" spans="1:10" x14ac:dyDescent="0.3">
      <c r="A21" s="2" t="s">
        <v>985</v>
      </c>
      <c r="B21" s="2" t="s">
        <v>173</v>
      </c>
      <c r="C21" s="2" t="s">
        <v>986</v>
      </c>
      <c r="D21" s="2" t="s">
        <v>987</v>
      </c>
      <c r="E21" s="2" t="s">
        <v>988</v>
      </c>
      <c r="F21" s="2" t="s">
        <v>989</v>
      </c>
      <c r="G21" s="2" t="s">
        <v>912</v>
      </c>
      <c r="H21" s="2">
        <v>15</v>
      </c>
      <c r="I21" s="3">
        <v>300000</v>
      </c>
      <c r="J21" s="2" t="s">
        <v>23</v>
      </c>
    </row>
    <row r="22" spans="1:10" x14ac:dyDescent="0.3">
      <c r="A22" s="5" t="s">
        <v>990</v>
      </c>
      <c r="B22" s="5" t="s">
        <v>181</v>
      </c>
      <c r="C22" s="5" t="s">
        <v>986</v>
      </c>
      <c r="D22" s="5" t="s">
        <v>991</v>
      </c>
      <c r="E22" s="5" t="s">
        <v>992</v>
      </c>
      <c r="F22" s="5" t="s">
        <v>993</v>
      </c>
      <c r="G22" s="5" t="s">
        <v>917</v>
      </c>
      <c r="H22" s="5">
        <v>15</v>
      </c>
      <c r="I22" s="6">
        <v>250000</v>
      </c>
      <c r="J22" s="5" t="s">
        <v>23</v>
      </c>
    </row>
    <row r="23" spans="1:10" x14ac:dyDescent="0.3">
      <c r="A23" s="2" t="s">
        <v>994</v>
      </c>
      <c r="B23" s="2" t="s">
        <v>189</v>
      </c>
      <c r="C23" s="2" t="s">
        <v>986</v>
      </c>
      <c r="D23" s="2" t="s">
        <v>995</v>
      </c>
      <c r="E23" s="2" t="s">
        <v>996</v>
      </c>
      <c r="F23" s="2" t="s">
        <v>997</v>
      </c>
      <c r="G23" s="2" t="s">
        <v>917</v>
      </c>
      <c r="H23" s="2">
        <v>15</v>
      </c>
      <c r="I23" s="3">
        <v>400000</v>
      </c>
      <c r="J23" s="2" t="s">
        <v>23</v>
      </c>
    </row>
    <row r="24" spans="1:10" x14ac:dyDescent="0.3">
      <c r="A24" s="5" t="s">
        <v>998</v>
      </c>
      <c r="B24" s="5" t="s">
        <v>218</v>
      </c>
      <c r="C24" s="5" t="s">
        <v>986</v>
      </c>
      <c r="D24" s="5" t="s">
        <v>999</v>
      </c>
      <c r="E24" s="5" t="s">
        <v>1000</v>
      </c>
      <c r="F24" s="5" t="s">
        <v>1001</v>
      </c>
      <c r="G24" s="5" t="s">
        <v>917</v>
      </c>
      <c r="H24" s="5">
        <v>15</v>
      </c>
      <c r="I24" s="6">
        <v>350000</v>
      </c>
      <c r="J24" s="5" t="s">
        <v>23</v>
      </c>
    </row>
    <row r="25" spans="1:10" x14ac:dyDescent="0.3">
      <c r="A25" s="2" t="s">
        <v>1002</v>
      </c>
      <c r="B25" s="2" t="s">
        <v>196</v>
      </c>
      <c r="C25" s="2" t="s">
        <v>986</v>
      </c>
      <c r="D25" s="2" t="s">
        <v>1003</v>
      </c>
      <c r="E25" s="2" t="s">
        <v>1004</v>
      </c>
      <c r="F25" s="2" t="s">
        <v>1005</v>
      </c>
      <c r="G25" s="2" t="s">
        <v>912</v>
      </c>
      <c r="H25" s="2">
        <v>15</v>
      </c>
      <c r="I25" s="3">
        <v>500000</v>
      </c>
      <c r="J25" s="2" t="s">
        <v>23</v>
      </c>
    </row>
    <row r="26" spans="1:10" x14ac:dyDescent="0.3">
      <c r="A26" s="5" t="s">
        <v>1006</v>
      </c>
      <c r="B26" s="5" t="s">
        <v>226</v>
      </c>
      <c r="C26" s="5" t="s">
        <v>986</v>
      </c>
      <c r="D26" s="5" t="s">
        <v>1007</v>
      </c>
      <c r="E26" s="5" t="s">
        <v>1008</v>
      </c>
      <c r="F26" s="5" t="s">
        <v>1009</v>
      </c>
      <c r="G26" s="5" t="s">
        <v>917</v>
      </c>
      <c r="H26" s="5">
        <v>15</v>
      </c>
      <c r="I26" s="6">
        <v>200000</v>
      </c>
      <c r="J26" s="5" t="s">
        <v>23</v>
      </c>
    </row>
    <row r="27" spans="1:10" x14ac:dyDescent="0.3">
      <c r="A27" s="2" t="s">
        <v>1010</v>
      </c>
      <c r="B27" s="2" t="s">
        <v>250</v>
      </c>
      <c r="C27" s="2" t="s">
        <v>1011</v>
      </c>
      <c r="D27" s="2" t="s">
        <v>1012</v>
      </c>
      <c r="E27" s="2" t="s">
        <v>1013</v>
      </c>
      <c r="F27" s="2" t="s">
        <v>1014</v>
      </c>
      <c r="G27" s="2" t="s">
        <v>912</v>
      </c>
      <c r="H27" s="2">
        <v>30</v>
      </c>
      <c r="I27" s="3">
        <v>600000</v>
      </c>
      <c r="J27" s="2" t="s">
        <v>23</v>
      </c>
    </row>
    <row r="28" spans="1:10" x14ac:dyDescent="0.3">
      <c r="A28" s="5" t="s">
        <v>1015</v>
      </c>
      <c r="B28" s="5" t="s">
        <v>260</v>
      </c>
      <c r="C28" s="5" t="s">
        <v>1011</v>
      </c>
      <c r="D28" s="5" t="s">
        <v>1016</v>
      </c>
      <c r="E28" s="5" t="s">
        <v>1017</v>
      </c>
      <c r="F28" s="5" t="s">
        <v>1018</v>
      </c>
      <c r="G28" s="5" t="s">
        <v>917</v>
      </c>
      <c r="H28" s="5">
        <v>30</v>
      </c>
      <c r="I28" s="6">
        <v>800000</v>
      </c>
      <c r="J28" s="5" t="s">
        <v>23</v>
      </c>
    </row>
    <row r="29" spans="1:10" x14ac:dyDescent="0.3">
      <c r="A29" s="2" t="s">
        <v>1019</v>
      </c>
      <c r="B29" s="2" t="s">
        <v>691</v>
      </c>
      <c r="C29" s="2" t="s">
        <v>1011</v>
      </c>
      <c r="D29" s="2" t="s">
        <v>1020</v>
      </c>
      <c r="E29" s="2" t="s">
        <v>1021</v>
      </c>
      <c r="F29" s="2" t="s">
        <v>1022</v>
      </c>
      <c r="G29" s="2" t="s">
        <v>912</v>
      </c>
      <c r="H29" s="2">
        <v>30</v>
      </c>
      <c r="I29" s="3">
        <v>700000</v>
      </c>
      <c r="J29" s="2" t="s">
        <v>23</v>
      </c>
    </row>
    <row r="30" spans="1:10" x14ac:dyDescent="0.3">
      <c r="A30" s="5" t="s">
        <v>1023</v>
      </c>
      <c r="B30" s="5" t="s">
        <v>626</v>
      </c>
      <c r="C30" s="5" t="s">
        <v>1011</v>
      </c>
      <c r="D30" s="5" t="s">
        <v>1024</v>
      </c>
      <c r="E30" s="5" t="s">
        <v>1025</v>
      </c>
      <c r="F30" s="5" t="s">
        <v>1026</v>
      </c>
      <c r="G30" s="5" t="s">
        <v>917</v>
      </c>
      <c r="H30" s="5">
        <v>30</v>
      </c>
      <c r="I30" s="6">
        <v>500000</v>
      </c>
      <c r="J30" s="5" t="s">
        <v>23</v>
      </c>
    </row>
    <row r="31" spans="1:10" x14ac:dyDescent="0.3">
      <c r="A31" s="2" t="s">
        <v>1027</v>
      </c>
      <c r="B31" s="2" t="s">
        <v>255</v>
      </c>
      <c r="C31" s="2" t="s">
        <v>247</v>
      </c>
      <c r="D31" s="2" t="s">
        <v>1028</v>
      </c>
      <c r="E31" s="2" t="s">
        <v>1029</v>
      </c>
      <c r="F31" s="2" t="s">
        <v>1030</v>
      </c>
      <c r="G31" s="2" t="s">
        <v>917</v>
      </c>
      <c r="H31" s="2">
        <v>15</v>
      </c>
      <c r="I31" s="3">
        <v>300000</v>
      </c>
      <c r="J31" s="2" t="s">
        <v>23</v>
      </c>
    </row>
    <row r="32" spans="1:10" x14ac:dyDescent="0.3">
      <c r="A32" s="5" t="s">
        <v>1031</v>
      </c>
      <c r="B32" s="5" t="s">
        <v>270</v>
      </c>
      <c r="C32" s="5" t="s">
        <v>247</v>
      </c>
      <c r="D32" s="5" t="s">
        <v>1032</v>
      </c>
      <c r="E32" s="5" t="s">
        <v>1033</v>
      </c>
      <c r="F32" s="5" t="s">
        <v>1034</v>
      </c>
      <c r="G32" s="5" t="s">
        <v>917</v>
      </c>
      <c r="H32" s="5">
        <v>30</v>
      </c>
      <c r="I32" s="6">
        <v>250000</v>
      </c>
      <c r="J32" s="5" t="s">
        <v>23</v>
      </c>
    </row>
    <row r="33" spans="1:10" x14ac:dyDescent="0.3">
      <c r="A33" s="2" t="s">
        <v>1035</v>
      </c>
      <c r="B33" s="2" t="s">
        <v>288</v>
      </c>
      <c r="C33" s="2" t="s">
        <v>1036</v>
      </c>
      <c r="D33" s="2" t="s">
        <v>1037</v>
      </c>
      <c r="E33" s="2" t="s">
        <v>1038</v>
      </c>
      <c r="F33" s="2" t="s">
        <v>1039</v>
      </c>
      <c r="G33" s="2" t="s">
        <v>912</v>
      </c>
      <c r="H33" s="2">
        <v>15</v>
      </c>
      <c r="I33" s="3">
        <v>400000</v>
      </c>
      <c r="J33" s="2" t="s">
        <v>23</v>
      </c>
    </row>
    <row r="34" spans="1:10" x14ac:dyDescent="0.3">
      <c r="A34" s="5" t="s">
        <v>1040</v>
      </c>
      <c r="B34" s="5" t="s">
        <v>305</v>
      </c>
      <c r="C34" s="5" t="s">
        <v>1036</v>
      </c>
      <c r="D34" s="5" t="s">
        <v>1041</v>
      </c>
      <c r="E34" s="5" t="s">
        <v>1042</v>
      </c>
      <c r="F34" s="5" t="s">
        <v>1043</v>
      </c>
      <c r="G34" s="5" t="s">
        <v>912</v>
      </c>
      <c r="H34" s="5">
        <v>15</v>
      </c>
      <c r="I34" s="6">
        <v>350000</v>
      </c>
      <c r="J34" s="5" t="s">
        <v>23</v>
      </c>
    </row>
    <row r="35" spans="1:10" x14ac:dyDescent="0.3">
      <c r="A35" s="2" t="s">
        <v>1044</v>
      </c>
      <c r="B35" s="2" t="s">
        <v>1045</v>
      </c>
      <c r="C35" s="2" t="s">
        <v>1046</v>
      </c>
      <c r="D35" s="2" t="s">
        <v>1047</v>
      </c>
      <c r="E35" s="2" t="s">
        <v>1048</v>
      </c>
      <c r="F35" s="2" t="s">
        <v>1049</v>
      </c>
      <c r="G35" s="2" t="s">
        <v>917</v>
      </c>
      <c r="H35" s="2">
        <v>15</v>
      </c>
      <c r="I35" s="3">
        <v>300000</v>
      </c>
      <c r="J35" s="2" t="s">
        <v>23</v>
      </c>
    </row>
    <row r="36" spans="1:10" x14ac:dyDescent="0.3">
      <c r="A36" s="5" t="s">
        <v>1050</v>
      </c>
      <c r="B36" s="5" t="s">
        <v>315</v>
      </c>
      <c r="C36" s="5" t="s">
        <v>1051</v>
      </c>
      <c r="D36" s="5" t="s">
        <v>1052</v>
      </c>
      <c r="E36" s="5" t="s">
        <v>1053</v>
      </c>
      <c r="F36" s="5" t="s">
        <v>1054</v>
      </c>
      <c r="G36" s="5" t="s">
        <v>917</v>
      </c>
      <c r="H36" s="5">
        <v>15</v>
      </c>
      <c r="I36" s="6">
        <v>250000</v>
      </c>
      <c r="J36" s="5" t="s">
        <v>23</v>
      </c>
    </row>
    <row r="37" spans="1:10" x14ac:dyDescent="0.3">
      <c r="A37" s="2" t="s">
        <v>1055</v>
      </c>
      <c r="B37" s="2" t="s">
        <v>334</v>
      </c>
      <c r="C37" s="2" t="s">
        <v>1056</v>
      </c>
      <c r="D37" s="2" t="s">
        <v>1057</v>
      </c>
      <c r="E37" s="2" t="s">
        <v>1058</v>
      </c>
      <c r="F37" s="2" t="s">
        <v>1059</v>
      </c>
      <c r="G37" s="2" t="s">
        <v>917</v>
      </c>
      <c r="H37" s="2">
        <v>30</v>
      </c>
      <c r="I37" s="3">
        <v>500000</v>
      </c>
      <c r="J37" s="2" t="s">
        <v>23</v>
      </c>
    </row>
    <row r="38" spans="1:10" x14ac:dyDescent="0.3">
      <c r="A38" s="5" t="s">
        <v>1060</v>
      </c>
      <c r="B38" s="5" t="s">
        <v>342</v>
      </c>
      <c r="C38" s="5" t="s">
        <v>1056</v>
      </c>
      <c r="D38" s="5" t="s">
        <v>1061</v>
      </c>
      <c r="E38" s="5" t="s">
        <v>1062</v>
      </c>
      <c r="F38" s="5" t="s">
        <v>1063</v>
      </c>
      <c r="G38" s="5" t="s">
        <v>917</v>
      </c>
      <c r="H38" s="5">
        <v>30</v>
      </c>
      <c r="I38" s="6">
        <v>400000</v>
      </c>
      <c r="J38" s="5" t="s">
        <v>23</v>
      </c>
    </row>
    <row r="39" spans="1:10" x14ac:dyDescent="0.3">
      <c r="A39" s="2" t="s">
        <v>1064</v>
      </c>
      <c r="B39" s="2" t="s">
        <v>363</v>
      </c>
      <c r="C39" s="2" t="s">
        <v>1056</v>
      </c>
      <c r="D39" s="2" t="s">
        <v>1065</v>
      </c>
      <c r="E39" s="2" t="s">
        <v>1066</v>
      </c>
      <c r="F39" s="2" t="s">
        <v>1067</v>
      </c>
      <c r="G39" s="2" t="s">
        <v>917</v>
      </c>
      <c r="H39" s="2">
        <v>30</v>
      </c>
      <c r="I39" s="3">
        <v>600000</v>
      </c>
      <c r="J39" s="2" t="s">
        <v>23</v>
      </c>
    </row>
    <row r="40" spans="1:10" x14ac:dyDescent="0.3">
      <c r="A40" s="5" t="s">
        <v>1068</v>
      </c>
      <c r="B40" s="5" t="s">
        <v>388</v>
      </c>
      <c r="C40" s="5" t="s">
        <v>1056</v>
      </c>
      <c r="D40" s="5" t="s">
        <v>1069</v>
      </c>
      <c r="E40" s="5" t="s">
        <v>1070</v>
      </c>
      <c r="F40" s="5" t="s">
        <v>1071</v>
      </c>
      <c r="G40" s="5" t="s">
        <v>912</v>
      </c>
      <c r="H40" s="5">
        <v>30</v>
      </c>
      <c r="I40" s="6">
        <v>500000</v>
      </c>
      <c r="J40" s="5" t="s">
        <v>23</v>
      </c>
    </row>
    <row r="41" spans="1:10" x14ac:dyDescent="0.3">
      <c r="A41" s="2" t="s">
        <v>1072</v>
      </c>
      <c r="B41" s="2" t="s">
        <v>1073</v>
      </c>
      <c r="C41" s="2" t="s">
        <v>1056</v>
      </c>
      <c r="D41" s="2" t="s">
        <v>1074</v>
      </c>
      <c r="E41" s="2" t="s">
        <v>1075</v>
      </c>
      <c r="F41" s="2" t="s">
        <v>1076</v>
      </c>
      <c r="G41" s="2" t="s">
        <v>912</v>
      </c>
      <c r="H41" s="2">
        <v>30</v>
      </c>
      <c r="I41" s="3">
        <v>400000</v>
      </c>
      <c r="J41" s="2" t="s">
        <v>23</v>
      </c>
    </row>
    <row r="42" spans="1:10" x14ac:dyDescent="0.3">
      <c r="A42" s="5" t="s">
        <v>1077</v>
      </c>
      <c r="B42" s="5" t="s">
        <v>412</v>
      </c>
      <c r="C42" s="5" t="s">
        <v>409</v>
      </c>
      <c r="D42" s="5" t="s">
        <v>1078</v>
      </c>
      <c r="E42" s="5" t="s">
        <v>1079</v>
      </c>
      <c r="F42" s="5" t="s">
        <v>1080</v>
      </c>
      <c r="G42" s="5" t="s">
        <v>912</v>
      </c>
      <c r="H42" s="5">
        <v>30</v>
      </c>
      <c r="I42" s="6">
        <v>400000</v>
      </c>
      <c r="J42" s="5" t="s">
        <v>23</v>
      </c>
    </row>
    <row r="43" spans="1:10" x14ac:dyDescent="0.3">
      <c r="A43" s="2" t="s">
        <v>1081</v>
      </c>
      <c r="B43" s="2" t="s">
        <v>420</v>
      </c>
      <c r="C43" s="2" t="s">
        <v>409</v>
      </c>
      <c r="D43" s="2" t="s">
        <v>1082</v>
      </c>
      <c r="E43" s="2" t="s">
        <v>1083</v>
      </c>
      <c r="F43" s="2" t="s">
        <v>1084</v>
      </c>
      <c r="G43" s="2" t="s">
        <v>912</v>
      </c>
      <c r="H43" s="2">
        <v>30</v>
      </c>
      <c r="I43" s="3">
        <v>350000</v>
      </c>
      <c r="J43" s="2" t="s">
        <v>23</v>
      </c>
    </row>
    <row r="44" spans="1:10" x14ac:dyDescent="0.3">
      <c r="A44" s="5" t="s">
        <v>1085</v>
      </c>
      <c r="B44" s="5" t="s">
        <v>473</v>
      </c>
      <c r="C44" s="5" t="s">
        <v>1086</v>
      </c>
      <c r="D44" s="5" t="s">
        <v>1087</v>
      </c>
      <c r="E44" s="5" t="s">
        <v>1088</v>
      </c>
      <c r="F44" s="5" t="s">
        <v>1089</v>
      </c>
      <c r="G44" s="5" t="s">
        <v>912</v>
      </c>
      <c r="H44" s="5">
        <v>30</v>
      </c>
      <c r="I44" s="6">
        <v>1000000</v>
      </c>
      <c r="J44" s="5" t="s">
        <v>23</v>
      </c>
    </row>
    <row r="45" spans="1:10" x14ac:dyDescent="0.3">
      <c r="A45" s="2" t="s">
        <v>1090</v>
      </c>
      <c r="B45" s="2" t="s">
        <v>478</v>
      </c>
      <c r="C45" s="2" t="s">
        <v>1086</v>
      </c>
      <c r="D45" s="2" t="s">
        <v>1091</v>
      </c>
      <c r="E45" s="2" t="s">
        <v>1092</v>
      </c>
      <c r="F45" s="2" t="s">
        <v>1093</v>
      </c>
      <c r="G45" s="2" t="s">
        <v>917</v>
      </c>
      <c r="H45" s="2">
        <v>30</v>
      </c>
      <c r="I45" s="3">
        <v>1000000</v>
      </c>
      <c r="J45" s="2" t="s">
        <v>23</v>
      </c>
    </row>
    <row r="46" spans="1:10" x14ac:dyDescent="0.3">
      <c r="A46" s="5" t="s">
        <v>1094</v>
      </c>
      <c r="B46" s="5" t="s">
        <v>509</v>
      </c>
      <c r="C46" s="5" t="s">
        <v>1095</v>
      </c>
      <c r="D46" s="5" t="s">
        <v>1096</v>
      </c>
      <c r="E46" s="5" t="s">
        <v>1097</v>
      </c>
      <c r="F46" s="5" t="s">
        <v>1098</v>
      </c>
      <c r="G46" s="5" t="s">
        <v>917</v>
      </c>
      <c r="H46" s="5">
        <v>30</v>
      </c>
      <c r="I46" s="6">
        <v>400000</v>
      </c>
      <c r="J46" s="5" t="s">
        <v>23</v>
      </c>
    </row>
    <row r="47" spans="1:10" x14ac:dyDescent="0.3">
      <c r="A47" s="2" t="s">
        <v>1099</v>
      </c>
      <c r="B47" s="2" t="s">
        <v>517</v>
      </c>
      <c r="C47" s="2" t="s">
        <v>1095</v>
      </c>
      <c r="D47" s="2" t="s">
        <v>1100</v>
      </c>
      <c r="E47" s="2" t="s">
        <v>1101</v>
      </c>
      <c r="F47" s="2" t="s">
        <v>1102</v>
      </c>
      <c r="G47" s="2" t="s">
        <v>912</v>
      </c>
      <c r="H47" s="2">
        <v>30</v>
      </c>
      <c r="I47" s="3">
        <v>350000</v>
      </c>
      <c r="J47" s="2" t="s">
        <v>23</v>
      </c>
    </row>
    <row r="48" spans="1:10" x14ac:dyDescent="0.3">
      <c r="A48" s="5" t="s">
        <v>1103</v>
      </c>
      <c r="B48" s="5" t="s">
        <v>503</v>
      </c>
      <c r="C48" s="5" t="s">
        <v>1086</v>
      </c>
      <c r="D48" s="5" t="s">
        <v>1104</v>
      </c>
      <c r="E48" s="5" t="s">
        <v>1105</v>
      </c>
      <c r="F48" s="5" t="s">
        <v>1106</v>
      </c>
      <c r="G48" s="5" t="s">
        <v>917</v>
      </c>
      <c r="H48" s="5">
        <v>30</v>
      </c>
      <c r="I48" s="6">
        <v>800000</v>
      </c>
      <c r="J48" s="5" t="s">
        <v>23</v>
      </c>
    </row>
    <row r="49" spans="1:10" x14ac:dyDescent="0.3">
      <c r="A49" s="2" t="s">
        <v>1107</v>
      </c>
      <c r="B49" s="2" t="s">
        <v>556</v>
      </c>
      <c r="C49" s="2" t="s">
        <v>1108</v>
      </c>
      <c r="D49" s="2" t="s">
        <v>1109</v>
      </c>
      <c r="E49" s="2" t="s">
        <v>1110</v>
      </c>
      <c r="F49" s="2" t="s">
        <v>1111</v>
      </c>
      <c r="G49" s="2" t="s">
        <v>912</v>
      </c>
      <c r="H49" s="2">
        <v>30</v>
      </c>
      <c r="I49" s="3">
        <v>500000</v>
      </c>
      <c r="J49" s="2" t="s">
        <v>23</v>
      </c>
    </row>
    <row r="50" spans="1:10" x14ac:dyDescent="0.3">
      <c r="A50" s="5" t="s">
        <v>1112</v>
      </c>
      <c r="B50" s="5" t="s">
        <v>551</v>
      </c>
      <c r="C50" s="5" t="s">
        <v>1108</v>
      </c>
      <c r="D50" s="5" t="s">
        <v>1113</v>
      </c>
      <c r="E50" s="5" t="s">
        <v>1114</v>
      </c>
      <c r="F50" s="5" t="s">
        <v>1115</v>
      </c>
      <c r="G50" s="5" t="s">
        <v>912</v>
      </c>
      <c r="H50" s="5">
        <v>45</v>
      </c>
      <c r="I50" s="6">
        <v>600000</v>
      </c>
      <c r="J50" s="5" t="s">
        <v>23</v>
      </c>
    </row>
    <row r="51" spans="1:10" x14ac:dyDescent="0.3">
      <c r="A51" s="2" t="s">
        <v>1116</v>
      </c>
      <c r="B51" s="2" t="s">
        <v>567</v>
      </c>
      <c r="C51" s="2" t="s">
        <v>1117</v>
      </c>
      <c r="D51" s="2" t="s">
        <v>1118</v>
      </c>
      <c r="E51" s="2" t="s">
        <v>1119</v>
      </c>
      <c r="F51" s="2" t="s">
        <v>1120</v>
      </c>
      <c r="G51" s="2" t="s">
        <v>917</v>
      </c>
      <c r="H51" s="2">
        <v>30</v>
      </c>
      <c r="I51" s="3">
        <v>400000</v>
      </c>
      <c r="J51" s="2" t="s">
        <v>23</v>
      </c>
    </row>
    <row r="52" spans="1:10" x14ac:dyDescent="0.3">
      <c r="A52" s="5" t="s">
        <v>1121</v>
      </c>
      <c r="B52" s="5" t="s">
        <v>613</v>
      </c>
      <c r="C52" s="5" t="s">
        <v>1122</v>
      </c>
      <c r="D52" s="5" t="s">
        <v>1123</v>
      </c>
      <c r="E52" s="5" t="s">
        <v>1124</v>
      </c>
      <c r="F52" s="5" t="s">
        <v>1125</v>
      </c>
      <c r="G52" s="5" t="s">
        <v>912</v>
      </c>
      <c r="H52" s="5">
        <v>30</v>
      </c>
      <c r="I52" s="6">
        <v>500000</v>
      </c>
      <c r="J52" s="5" t="s">
        <v>23</v>
      </c>
    </row>
    <row r="53" spans="1:10" x14ac:dyDescent="0.3">
      <c r="A53" s="2" t="s">
        <v>1126</v>
      </c>
      <c r="B53" s="2" t="s">
        <v>621</v>
      </c>
      <c r="C53" s="2" t="s">
        <v>1122</v>
      </c>
      <c r="D53" s="2" t="s">
        <v>1127</v>
      </c>
      <c r="E53" s="2" t="s">
        <v>1128</v>
      </c>
      <c r="F53" s="2" t="s">
        <v>1129</v>
      </c>
      <c r="G53" s="2" t="s">
        <v>917</v>
      </c>
      <c r="H53" s="2">
        <v>30</v>
      </c>
      <c r="I53" s="3">
        <v>450000</v>
      </c>
      <c r="J53" s="2" t="s">
        <v>23</v>
      </c>
    </row>
    <row r="54" spans="1:10" x14ac:dyDescent="0.3">
      <c r="A54" s="5" t="s">
        <v>1130</v>
      </c>
      <c r="B54" s="5" t="s">
        <v>586</v>
      </c>
      <c r="C54" s="5" t="s">
        <v>1131</v>
      </c>
      <c r="D54" s="5" t="s">
        <v>1132</v>
      </c>
      <c r="E54" s="5" t="s">
        <v>1133</v>
      </c>
      <c r="F54" s="5" t="s">
        <v>1134</v>
      </c>
      <c r="G54" s="5" t="s">
        <v>912</v>
      </c>
      <c r="H54" s="5">
        <v>30</v>
      </c>
      <c r="I54" s="6">
        <v>300000</v>
      </c>
      <c r="J54" s="5" t="s">
        <v>23</v>
      </c>
    </row>
    <row r="55" spans="1:10" x14ac:dyDescent="0.3">
      <c r="A55" s="2" t="s">
        <v>1135</v>
      </c>
      <c r="B55" s="2" t="s">
        <v>581</v>
      </c>
      <c r="C55" s="2" t="s">
        <v>1131</v>
      </c>
      <c r="D55" s="2" t="s">
        <v>1136</v>
      </c>
      <c r="E55" s="2" t="s">
        <v>1137</v>
      </c>
      <c r="F55" s="2" t="s">
        <v>1138</v>
      </c>
      <c r="G55" s="2" t="s">
        <v>917</v>
      </c>
      <c r="H55" s="2">
        <v>30</v>
      </c>
      <c r="I55" s="3">
        <v>250000</v>
      </c>
      <c r="J55" s="2" t="s">
        <v>23</v>
      </c>
    </row>
    <row r="56" spans="1:10" x14ac:dyDescent="0.3">
      <c r="A56" s="5" t="s">
        <v>1139</v>
      </c>
      <c r="B56" s="5" t="s">
        <v>820</v>
      </c>
      <c r="C56" s="5" t="s">
        <v>1140</v>
      </c>
      <c r="D56" s="5" t="s">
        <v>1141</v>
      </c>
      <c r="E56" s="5" t="s">
        <v>1142</v>
      </c>
      <c r="F56" s="5" t="s">
        <v>1143</v>
      </c>
      <c r="G56" s="5" t="s">
        <v>912</v>
      </c>
      <c r="H56" s="5">
        <v>30</v>
      </c>
      <c r="I56" s="6">
        <v>350000</v>
      </c>
      <c r="J56" s="5" t="s">
        <v>23</v>
      </c>
    </row>
    <row r="57" spans="1:10" x14ac:dyDescent="0.3">
      <c r="A57" s="2" t="s">
        <v>1144</v>
      </c>
      <c r="B57" s="2" t="s">
        <v>825</v>
      </c>
      <c r="C57" s="2" t="s">
        <v>1140</v>
      </c>
      <c r="D57" s="2" t="s">
        <v>1145</v>
      </c>
      <c r="E57" s="2" t="s">
        <v>1146</v>
      </c>
      <c r="F57" s="2" t="s">
        <v>1147</v>
      </c>
      <c r="G57" s="2" t="s">
        <v>917</v>
      </c>
      <c r="H57" s="2">
        <v>30</v>
      </c>
      <c r="I57" s="3">
        <v>400000</v>
      </c>
      <c r="J57" s="2" t="s">
        <v>23</v>
      </c>
    </row>
    <row r="58" spans="1:10" x14ac:dyDescent="0.3">
      <c r="A58" s="5" t="s">
        <v>1148</v>
      </c>
      <c r="B58" s="5" t="s">
        <v>854</v>
      </c>
      <c r="C58" s="5" t="s">
        <v>1140</v>
      </c>
      <c r="D58" s="5" t="s">
        <v>1149</v>
      </c>
      <c r="E58" s="5" t="s">
        <v>1150</v>
      </c>
      <c r="F58" s="5" t="s">
        <v>1151</v>
      </c>
      <c r="G58" s="5" t="s">
        <v>917</v>
      </c>
      <c r="H58" s="5">
        <v>30</v>
      </c>
      <c r="I58" s="6">
        <v>600000</v>
      </c>
      <c r="J58" s="5" t="s">
        <v>23</v>
      </c>
    </row>
    <row r="59" spans="1:10" x14ac:dyDescent="0.3">
      <c r="A59" s="2" t="s">
        <v>1152</v>
      </c>
      <c r="B59" s="2" t="s">
        <v>863</v>
      </c>
      <c r="C59" s="2" t="s">
        <v>1140</v>
      </c>
      <c r="D59" s="2" t="s">
        <v>1153</v>
      </c>
      <c r="E59" s="2" t="s">
        <v>1154</v>
      </c>
      <c r="F59" s="2" t="s">
        <v>1155</v>
      </c>
      <c r="G59" s="2" t="s">
        <v>912</v>
      </c>
      <c r="H59" s="2">
        <v>30</v>
      </c>
      <c r="I59" s="3">
        <v>500000</v>
      </c>
      <c r="J59" s="2" t="s">
        <v>23</v>
      </c>
    </row>
    <row r="60" spans="1:10" x14ac:dyDescent="0.3">
      <c r="A60" s="5" t="s">
        <v>1156</v>
      </c>
      <c r="B60" s="5" t="s">
        <v>740</v>
      </c>
      <c r="C60" s="5" t="s">
        <v>1157</v>
      </c>
      <c r="D60" s="5" t="s">
        <v>1158</v>
      </c>
      <c r="E60" s="5" t="s">
        <v>1159</v>
      </c>
      <c r="F60" s="5" t="s">
        <v>1160</v>
      </c>
      <c r="G60" s="5" t="s">
        <v>912</v>
      </c>
      <c r="H60" s="5">
        <v>15</v>
      </c>
      <c r="I60" s="6">
        <v>200000</v>
      </c>
      <c r="J60" s="5" t="s">
        <v>23</v>
      </c>
    </row>
    <row r="61" spans="1:10" x14ac:dyDescent="0.3">
      <c r="A61" s="2" t="s">
        <v>1161</v>
      </c>
      <c r="B61" s="2" t="s">
        <v>603</v>
      </c>
      <c r="C61" s="2" t="s">
        <v>1157</v>
      </c>
      <c r="D61" s="2" t="s">
        <v>1162</v>
      </c>
      <c r="E61" s="2" t="s">
        <v>1163</v>
      </c>
      <c r="F61" s="2" t="s">
        <v>1164</v>
      </c>
      <c r="G61" s="2" t="s">
        <v>917</v>
      </c>
      <c r="H61" s="2">
        <v>30</v>
      </c>
      <c r="I61" s="3">
        <v>300000</v>
      </c>
      <c r="J61" s="2" t="s">
        <v>23</v>
      </c>
    </row>
    <row r="62" spans="1:10" x14ac:dyDescent="0.3">
      <c r="A62" s="5" t="s">
        <v>1165</v>
      </c>
      <c r="B62" s="5" t="s">
        <v>1166</v>
      </c>
      <c r="C62" s="5" t="s">
        <v>908</v>
      </c>
      <c r="D62" s="5" t="s">
        <v>1167</v>
      </c>
      <c r="E62" s="5" t="s">
        <v>1168</v>
      </c>
      <c r="F62" s="5" t="s">
        <v>1169</v>
      </c>
      <c r="G62" s="5" t="s">
        <v>912</v>
      </c>
      <c r="H62" s="5">
        <v>30</v>
      </c>
      <c r="I62" s="6">
        <v>250000</v>
      </c>
      <c r="J62" s="5" t="s">
        <v>23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2"/>
  <sheetViews>
    <sheetView zoomScaleNormal="100" workbookViewId="0">
      <pane ySplit="2" topLeftCell="A3" activePane="bottomLeft" state="frozen"/>
      <selection pane="bottomLeft" sqref="A1:K1"/>
    </sheetView>
  </sheetViews>
  <sheetFormatPr defaultColWidth="8.6640625" defaultRowHeight="14.4" x14ac:dyDescent="0.3"/>
  <cols>
    <col min="1" max="1" width="12" customWidth="1"/>
    <col min="2" max="2" width="32" customWidth="1"/>
    <col min="3" max="3" width="14" customWidth="1"/>
    <col min="4" max="4" width="16" customWidth="1"/>
    <col min="5" max="5" width="32" customWidth="1"/>
    <col min="6" max="6" width="14" customWidth="1"/>
    <col min="7" max="7" width="32" customWidth="1"/>
    <col min="8" max="8" width="18" customWidth="1"/>
    <col min="9" max="9" width="16" customWidth="1"/>
    <col min="10" max="10" width="20" customWidth="1"/>
    <col min="11" max="11" width="10" customWidth="1"/>
  </cols>
  <sheetData>
    <row r="1" spans="1:11" ht="30" customHeight="1" x14ac:dyDescent="0.3">
      <c r="A1" s="14" t="s">
        <v>1170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7.6" x14ac:dyDescent="0.3">
      <c r="A2" s="1" t="s">
        <v>1171</v>
      </c>
      <c r="B2" s="1" t="s">
        <v>1172</v>
      </c>
      <c r="C2" s="1" t="s">
        <v>1173</v>
      </c>
      <c r="D2" s="1" t="s">
        <v>902</v>
      </c>
      <c r="E2" s="1" t="s">
        <v>903</v>
      </c>
      <c r="F2" s="1" t="s">
        <v>904</v>
      </c>
      <c r="G2" s="1" t="s">
        <v>1174</v>
      </c>
      <c r="H2" s="1" t="s">
        <v>906</v>
      </c>
      <c r="I2" s="1" t="s">
        <v>905</v>
      </c>
      <c r="J2" s="1" t="s">
        <v>1175</v>
      </c>
      <c r="K2" s="1" t="s">
        <v>15</v>
      </c>
    </row>
    <row r="3" spans="1:11" x14ac:dyDescent="0.3">
      <c r="A3" s="2" t="s">
        <v>1176</v>
      </c>
      <c r="B3" s="2" t="s">
        <v>1177</v>
      </c>
      <c r="C3" s="2" t="s">
        <v>1178</v>
      </c>
      <c r="D3" s="2" t="s">
        <v>1179</v>
      </c>
      <c r="E3" s="2" t="s">
        <v>1180</v>
      </c>
      <c r="F3" s="2" t="s">
        <v>912</v>
      </c>
      <c r="G3" s="2" t="s">
        <v>1181</v>
      </c>
      <c r="H3" s="3">
        <v>50000</v>
      </c>
      <c r="I3" s="2">
        <v>7</v>
      </c>
      <c r="J3" s="3">
        <v>250000</v>
      </c>
      <c r="K3" s="2" t="s">
        <v>23</v>
      </c>
    </row>
    <row r="4" spans="1:11" x14ac:dyDescent="0.3">
      <c r="A4" s="5" t="s">
        <v>1182</v>
      </c>
      <c r="B4" s="5" t="s">
        <v>1183</v>
      </c>
      <c r="C4" s="5" t="s">
        <v>1184</v>
      </c>
      <c r="D4" s="5" t="s">
        <v>1185</v>
      </c>
      <c r="E4" s="5" t="s">
        <v>1186</v>
      </c>
      <c r="F4" s="5" t="s">
        <v>912</v>
      </c>
      <c r="G4" s="5" t="s">
        <v>1187</v>
      </c>
      <c r="H4" s="6">
        <v>200000</v>
      </c>
      <c r="I4" s="5">
        <v>30</v>
      </c>
      <c r="J4" s="6">
        <v>1500000</v>
      </c>
      <c r="K4" s="5" t="s">
        <v>23</v>
      </c>
    </row>
    <row r="5" spans="1:11" x14ac:dyDescent="0.3">
      <c r="A5" s="2" t="s">
        <v>1188</v>
      </c>
      <c r="B5" s="2" t="s">
        <v>1189</v>
      </c>
      <c r="C5" s="2" t="s">
        <v>1178</v>
      </c>
      <c r="D5" s="2" t="s">
        <v>1190</v>
      </c>
      <c r="E5" s="2" t="s">
        <v>1191</v>
      </c>
      <c r="F5" s="2" t="s">
        <v>912</v>
      </c>
      <c r="G5" s="2" t="s">
        <v>1192</v>
      </c>
      <c r="H5" s="3">
        <v>100000</v>
      </c>
      <c r="I5" s="2">
        <v>15</v>
      </c>
      <c r="J5" s="3">
        <v>800000</v>
      </c>
      <c r="K5" s="2" t="s">
        <v>23</v>
      </c>
    </row>
    <row r="6" spans="1:11" x14ac:dyDescent="0.3">
      <c r="A6" s="5" t="s">
        <v>1193</v>
      </c>
      <c r="B6" s="5" t="s">
        <v>1194</v>
      </c>
      <c r="C6" s="5" t="s">
        <v>1184</v>
      </c>
      <c r="D6" s="5" t="s">
        <v>1195</v>
      </c>
      <c r="E6" s="5" t="s">
        <v>1196</v>
      </c>
      <c r="F6" s="5" t="s">
        <v>912</v>
      </c>
      <c r="G6" s="5" t="s">
        <v>1197</v>
      </c>
      <c r="H6" s="6">
        <v>500000</v>
      </c>
      <c r="I6" s="5">
        <v>30</v>
      </c>
      <c r="J6" s="6">
        <v>3500000</v>
      </c>
      <c r="K6" s="5" t="s">
        <v>23</v>
      </c>
    </row>
    <row r="7" spans="1:11" x14ac:dyDescent="0.3">
      <c r="A7" s="2" t="s">
        <v>1198</v>
      </c>
      <c r="B7" s="2" t="s">
        <v>1199</v>
      </c>
      <c r="C7" s="2" t="s">
        <v>1200</v>
      </c>
      <c r="D7" s="2" t="s">
        <v>1201</v>
      </c>
      <c r="E7" s="2" t="s">
        <v>1202</v>
      </c>
      <c r="F7" s="2" t="s">
        <v>917</v>
      </c>
      <c r="G7" s="2" t="s">
        <v>1203</v>
      </c>
      <c r="H7" s="3">
        <v>800000</v>
      </c>
      <c r="I7" s="2">
        <v>45</v>
      </c>
      <c r="J7" s="3">
        <v>6000000</v>
      </c>
      <c r="K7" s="2" t="s">
        <v>23</v>
      </c>
    </row>
    <row r="8" spans="1:11" x14ac:dyDescent="0.3">
      <c r="A8" s="5" t="s">
        <v>1204</v>
      </c>
      <c r="B8" s="5" t="s">
        <v>1205</v>
      </c>
      <c r="C8" s="5" t="s">
        <v>1178</v>
      </c>
      <c r="D8" s="5" t="s">
        <v>1206</v>
      </c>
      <c r="E8" s="5" t="s">
        <v>1207</v>
      </c>
      <c r="F8" s="5" t="s">
        <v>926</v>
      </c>
      <c r="G8" s="5" t="s">
        <v>1208</v>
      </c>
      <c r="H8" s="6">
        <v>75000</v>
      </c>
      <c r="I8" s="5">
        <v>15</v>
      </c>
      <c r="J8" s="6">
        <v>450000</v>
      </c>
      <c r="K8" s="5" t="s">
        <v>23</v>
      </c>
    </row>
    <row r="9" spans="1:11" x14ac:dyDescent="0.3">
      <c r="A9" s="2" t="s">
        <v>1209</v>
      </c>
      <c r="B9" s="2" t="s">
        <v>1210</v>
      </c>
      <c r="C9" s="2" t="s">
        <v>1211</v>
      </c>
      <c r="D9" s="2" t="s">
        <v>1212</v>
      </c>
      <c r="E9" s="2" t="s">
        <v>1213</v>
      </c>
      <c r="F9" s="2" t="s">
        <v>912</v>
      </c>
      <c r="G9" s="2" t="s">
        <v>1214</v>
      </c>
      <c r="H9" s="3">
        <v>300000</v>
      </c>
      <c r="I9" s="2">
        <v>30</v>
      </c>
      <c r="J9" s="3">
        <v>2500000</v>
      </c>
      <c r="K9" s="2" t="s">
        <v>23</v>
      </c>
    </row>
    <row r="10" spans="1:11" x14ac:dyDescent="0.3">
      <c r="A10" s="5" t="s">
        <v>1215</v>
      </c>
      <c r="B10" s="5" t="s">
        <v>1216</v>
      </c>
      <c r="C10" s="5" t="s">
        <v>1211</v>
      </c>
      <c r="D10" s="5" t="s">
        <v>1217</v>
      </c>
      <c r="E10" s="5" t="s">
        <v>1218</v>
      </c>
      <c r="F10" s="5" t="s">
        <v>917</v>
      </c>
      <c r="G10" s="5" t="s">
        <v>1219</v>
      </c>
      <c r="H10" s="6">
        <v>400000</v>
      </c>
      <c r="I10" s="5">
        <v>30</v>
      </c>
      <c r="J10" s="6">
        <v>3200000</v>
      </c>
      <c r="K10" s="5" t="s">
        <v>23</v>
      </c>
    </row>
    <row r="11" spans="1:11" x14ac:dyDescent="0.3">
      <c r="A11" s="2" t="s">
        <v>1220</v>
      </c>
      <c r="B11" s="2" t="s">
        <v>1221</v>
      </c>
      <c r="C11" s="2" t="s">
        <v>1184</v>
      </c>
      <c r="D11" s="2" t="s">
        <v>1222</v>
      </c>
      <c r="E11" s="2" t="s">
        <v>1223</v>
      </c>
      <c r="F11" s="2" t="s">
        <v>1224</v>
      </c>
      <c r="G11" s="2" t="s">
        <v>1225</v>
      </c>
      <c r="H11" s="3">
        <v>600000</v>
      </c>
      <c r="I11" s="2">
        <v>45</v>
      </c>
      <c r="J11" s="3">
        <v>4500000</v>
      </c>
      <c r="K11" s="2" t="s">
        <v>23</v>
      </c>
    </row>
    <row r="12" spans="1:11" x14ac:dyDescent="0.3">
      <c r="A12" s="5" t="s">
        <v>1226</v>
      </c>
      <c r="B12" s="5" t="s">
        <v>1227</v>
      </c>
      <c r="C12" s="5" t="s">
        <v>1184</v>
      </c>
      <c r="D12" s="5" t="s">
        <v>1228</v>
      </c>
      <c r="E12" s="5" t="s">
        <v>1229</v>
      </c>
      <c r="F12" s="5" t="s">
        <v>1230</v>
      </c>
      <c r="G12" s="5" t="s">
        <v>1231</v>
      </c>
      <c r="H12" s="6">
        <v>400000</v>
      </c>
      <c r="I12" s="5">
        <v>30</v>
      </c>
      <c r="J12" s="6">
        <v>3000000</v>
      </c>
      <c r="K12" s="5" t="s">
        <v>23</v>
      </c>
    </row>
    <row r="13" spans="1:11" x14ac:dyDescent="0.3">
      <c r="A13" s="2" t="s">
        <v>1232</v>
      </c>
      <c r="B13" s="2" t="s">
        <v>1233</v>
      </c>
      <c r="C13" s="2" t="s">
        <v>1184</v>
      </c>
      <c r="D13" s="2" t="s">
        <v>1234</v>
      </c>
      <c r="E13" s="2" t="s">
        <v>1235</v>
      </c>
      <c r="F13" s="2" t="s">
        <v>1224</v>
      </c>
      <c r="G13" s="2" t="s">
        <v>1236</v>
      </c>
      <c r="H13" s="3">
        <v>800000</v>
      </c>
      <c r="I13" s="2">
        <v>30</v>
      </c>
      <c r="J13" s="3">
        <v>4674866</v>
      </c>
      <c r="K13" s="2" t="s">
        <v>23</v>
      </c>
    </row>
    <row r="14" spans="1:11" x14ac:dyDescent="0.3">
      <c r="A14" s="5" t="s">
        <v>1237</v>
      </c>
      <c r="B14" s="5" t="s">
        <v>1238</v>
      </c>
      <c r="C14" s="5" t="s">
        <v>1178</v>
      </c>
      <c r="D14" s="5" t="s">
        <v>1239</v>
      </c>
      <c r="E14" s="5" t="s">
        <v>1240</v>
      </c>
      <c r="F14" s="5" t="s">
        <v>917</v>
      </c>
      <c r="G14" s="5" t="s">
        <v>1241</v>
      </c>
      <c r="H14" s="6">
        <v>500000</v>
      </c>
      <c r="I14" s="5">
        <v>7</v>
      </c>
      <c r="J14" s="6">
        <v>322599</v>
      </c>
      <c r="K14" s="5" t="s">
        <v>23</v>
      </c>
    </row>
    <row r="15" spans="1:11" x14ac:dyDescent="0.3">
      <c r="A15" s="2" t="s">
        <v>1242</v>
      </c>
      <c r="B15" s="2" t="s">
        <v>1243</v>
      </c>
      <c r="C15" s="2" t="s">
        <v>1200</v>
      </c>
      <c r="D15" s="2" t="s">
        <v>1244</v>
      </c>
      <c r="E15" s="2" t="s">
        <v>1245</v>
      </c>
      <c r="F15" s="2" t="s">
        <v>1224</v>
      </c>
      <c r="G15" s="2" t="s">
        <v>1246</v>
      </c>
      <c r="H15" s="3">
        <v>50000</v>
      </c>
      <c r="I15" s="2">
        <v>45</v>
      </c>
      <c r="J15" s="3">
        <v>1439319</v>
      </c>
      <c r="K15" s="2" t="s">
        <v>23</v>
      </c>
    </row>
    <row r="16" spans="1:11" x14ac:dyDescent="0.3">
      <c r="A16" s="5" t="s">
        <v>1247</v>
      </c>
      <c r="B16" s="5" t="s">
        <v>1248</v>
      </c>
      <c r="C16" s="5" t="s">
        <v>1184</v>
      </c>
      <c r="D16" s="5" t="s">
        <v>1249</v>
      </c>
      <c r="E16" s="5" t="s">
        <v>1250</v>
      </c>
      <c r="F16" s="5" t="s">
        <v>1224</v>
      </c>
      <c r="G16" s="5" t="s">
        <v>1251</v>
      </c>
      <c r="H16" s="6">
        <v>50000</v>
      </c>
      <c r="I16" s="5">
        <v>30</v>
      </c>
      <c r="J16" s="6">
        <v>3287061</v>
      </c>
      <c r="K16" s="5" t="s">
        <v>23</v>
      </c>
    </row>
    <row r="17" spans="1:11" x14ac:dyDescent="0.3">
      <c r="A17" s="2" t="s">
        <v>1252</v>
      </c>
      <c r="B17" s="2" t="s">
        <v>1253</v>
      </c>
      <c r="C17" s="2" t="s">
        <v>1211</v>
      </c>
      <c r="D17" s="2" t="s">
        <v>1254</v>
      </c>
      <c r="E17" s="2" t="s">
        <v>1255</v>
      </c>
      <c r="F17" s="2" t="s">
        <v>912</v>
      </c>
      <c r="G17" s="2" t="s">
        <v>1256</v>
      </c>
      <c r="H17" s="3">
        <v>50000</v>
      </c>
      <c r="I17" s="2">
        <v>45</v>
      </c>
      <c r="J17" s="3">
        <v>3275376</v>
      </c>
      <c r="K17" s="2" t="s">
        <v>23</v>
      </c>
    </row>
    <row r="18" spans="1:11" x14ac:dyDescent="0.3">
      <c r="A18" s="5" t="s">
        <v>1257</v>
      </c>
      <c r="B18" s="5" t="s">
        <v>1258</v>
      </c>
      <c r="C18" s="5" t="s">
        <v>1211</v>
      </c>
      <c r="D18" s="5" t="s">
        <v>1259</v>
      </c>
      <c r="E18" s="5" t="s">
        <v>1260</v>
      </c>
      <c r="F18" s="5" t="s">
        <v>1261</v>
      </c>
      <c r="G18" s="5" t="s">
        <v>1262</v>
      </c>
      <c r="H18" s="6">
        <v>50000</v>
      </c>
      <c r="I18" s="5">
        <v>45</v>
      </c>
      <c r="J18" s="6">
        <v>2011749</v>
      </c>
      <c r="K18" s="5" t="s">
        <v>23</v>
      </c>
    </row>
    <row r="19" spans="1:11" x14ac:dyDescent="0.3">
      <c r="A19" s="2" t="s">
        <v>1263</v>
      </c>
      <c r="B19" s="2" t="s">
        <v>1264</v>
      </c>
      <c r="C19" s="2" t="s">
        <v>1178</v>
      </c>
      <c r="D19" s="2" t="s">
        <v>1265</v>
      </c>
      <c r="E19" s="2" t="s">
        <v>1266</v>
      </c>
      <c r="F19" s="2" t="s">
        <v>1267</v>
      </c>
      <c r="G19" s="2" t="s">
        <v>1268</v>
      </c>
      <c r="H19" s="3">
        <v>800000</v>
      </c>
      <c r="I19" s="2">
        <v>7</v>
      </c>
      <c r="J19" s="3">
        <v>3160434</v>
      </c>
      <c r="K19" s="2" t="s">
        <v>23</v>
      </c>
    </row>
    <row r="20" spans="1:11" x14ac:dyDescent="0.3">
      <c r="A20" s="5" t="s">
        <v>1269</v>
      </c>
      <c r="B20" s="5" t="s">
        <v>1270</v>
      </c>
      <c r="C20" s="5" t="s">
        <v>1211</v>
      </c>
      <c r="D20" s="5" t="s">
        <v>1271</v>
      </c>
      <c r="E20" s="5" t="s">
        <v>1255</v>
      </c>
      <c r="F20" s="5" t="s">
        <v>917</v>
      </c>
      <c r="G20" s="5" t="s">
        <v>1272</v>
      </c>
      <c r="H20" s="6">
        <v>500000</v>
      </c>
      <c r="I20" s="5">
        <v>45</v>
      </c>
      <c r="J20" s="6">
        <v>2153622</v>
      </c>
      <c r="K20" s="5" t="s">
        <v>23</v>
      </c>
    </row>
    <row r="21" spans="1:11" x14ac:dyDescent="0.3">
      <c r="A21" s="2" t="s">
        <v>1273</v>
      </c>
      <c r="B21" s="2" t="s">
        <v>1274</v>
      </c>
      <c r="C21" s="2" t="s">
        <v>1184</v>
      </c>
      <c r="D21" s="2" t="s">
        <v>1275</v>
      </c>
      <c r="E21" s="2" t="s">
        <v>1276</v>
      </c>
      <c r="F21" s="2" t="s">
        <v>1277</v>
      </c>
      <c r="G21" s="2" t="s">
        <v>1278</v>
      </c>
      <c r="H21" s="3">
        <v>50000</v>
      </c>
      <c r="I21" s="2">
        <v>30</v>
      </c>
      <c r="J21" s="3">
        <v>2746211</v>
      </c>
      <c r="K21" s="2" t="s">
        <v>23</v>
      </c>
    </row>
    <row r="22" spans="1:11" x14ac:dyDescent="0.3">
      <c r="A22" s="5" t="s">
        <v>1279</v>
      </c>
      <c r="B22" s="5" t="s">
        <v>1280</v>
      </c>
      <c r="C22" s="5" t="s">
        <v>1211</v>
      </c>
      <c r="D22" s="5" t="s">
        <v>1281</v>
      </c>
      <c r="E22" s="5" t="s">
        <v>1282</v>
      </c>
      <c r="F22" s="5" t="s">
        <v>1224</v>
      </c>
      <c r="G22" s="5" t="s">
        <v>1283</v>
      </c>
      <c r="H22" s="6">
        <v>800000</v>
      </c>
      <c r="I22" s="5">
        <v>45</v>
      </c>
      <c r="J22" s="6">
        <v>3949128</v>
      </c>
      <c r="K22" s="5" t="s">
        <v>23</v>
      </c>
    </row>
    <row r="23" spans="1:11" x14ac:dyDescent="0.3">
      <c r="A23" s="2" t="s">
        <v>1284</v>
      </c>
      <c r="B23" s="2" t="s">
        <v>1285</v>
      </c>
      <c r="C23" s="2" t="s">
        <v>1211</v>
      </c>
      <c r="D23" s="2" t="s">
        <v>1286</v>
      </c>
      <c r="E23" s="2" t="s">
        <v>1287</v>
      </c>
      <c r="F23" s="2" t="s">
        <v>1261</v>
      </c>
      <c r="G23" s="2" t="s">
        <v>1288</v>
      </c>
      <c r="H23" s="3">
        <v>200000</v>
      </c>
      <c r="I23" s="2">
        <v>45</v>
      </c>
      <c r="J23" s="3">
        <v>1939795</v>
      </c>
      <c r="K23" s="2" t="s">
        <v>23</v>
      </c>
    </row>
    <row r="24" spans="1:11" x14ac:dyDescent="0.3">
      <c r="A24" s="5" t="s">
        <v>1289</v>
      </c>
      <c r="B24" s="5" t="s">
        <v>1290</v>
      </c>
      <c r="C24" s="5" t="s">
        <v>1178</v>
      </c>
      <c r="D24" s="5" t="s">
        <v>1291</v>
      </c>
      <c r="E24" s="5" t="s">
        <v>1292</v>
      </c>
      <c r="F24" s="5" t="s">
        <v>917</v>
      </c>
      <c r="G24" s="5" t="s">
        <v>1293</v>
      </c>
      <c r="H24" s="6">
        <v>800000</v>
      </c>
      <c r="I24" s="5">
        <v>7</v>
      </c>
      <c r="J24" s="6">
        <v>3641334</v>
      </c>
      <c r="K24" s="5" t="s">
        <v>23</v>
      </c>
    </row>
    <row r="25" spans="1:11" x14ac:dyDescent="0.3">
      <c r="A25" s="2" t="s">
        <v>1294</v>
      </c>
      <c r="B25" s="2" t="s">
        <v>1295</v>
      </c>
      <c r="C25" s="2" t="s">
        <v>1200</v>
      </c>
      <c r="D25" s="2" t="s">
        <v>1296</v>
      </c>
      <c r="E25" s="2" t="s">
        <v>1297</v>
      </c>
      <c r="F25" s="2" t="s">
        <v>1298</v>
      </c>
      <c r="G25" s="2" t="s">
        <v>1299</v>
      </c>
      <c r="H25" s="3">
        <v>800000</v>
      </c>
      <c r="I25" s="2">
        <v>45</v>
      </c>
      <c r="J25" s="3">
        <v>1060929</v>
      </c>
      <c r="K25" s="2" t="s">
        <v>23</v>
      </c>
    </row>
    <row r="26" spans="1:11" x14ac:dyDescent="0.3">
      <c r="A26" s="5" t="s">
        <v>1300</v>
      </c>
      <c r="B26" s="5" t="s">
        <v>1301</v>
      </c>
      <c r="C26" s="5" t="s">
        <v>1178</v>
      </c>
      <c r="D26" s="5" t="s">
        <v>1302</v>
      </c>
      <c r="E26" s="5" t="s">
        <v>1260</v>
      </c>
      <c r="F26" s="5" t="s">
        <v>1230</v>
      </c>
      <c r="G26" s="5" t="s">
        <v>1303</v>
      </c>
      <c r="H26" s="6">
        <v>300000</v>
      </c>
      <c r="I26" s="5">
        <v>7</v>
      </c>
      <c r="J26" s="6">
        <v>127223</v>
      </c>
      <c r="K26" s="5" t="s">
        <v>23</v>
      </c>
    </row>
    <row r="27" spans="1:11" x14ac:dyDescent="0.3">
      <c r="A27" s="2" t="s">
        <v>1304</v>
      </c>
      <c r="B27" s="2" t="s">
        <v>1305</v>
      </c>
      <c r="C27" s="2" t="s">
        <v>1178</v>
      </c>
      <c r="D27" s="2" t="s">
        <v>1306</v>
      </c>
      <c r="E27" s="2" t="s">
        <v>1307</v>
      </c>
      <c r="F27" s="2" t="s">
        <v>1230</v>
      </c>
      <c r="G27" s="2" t="s">
        <v>1308</v>
      </c>
      <c r="H27" s="3">
        <v>100000</v>
      </c>
      <c r="I27" s="2">
        <v>7</v>
      </c>
      <c r="J27" s="3">
        <v>3236616</v>
      </c>
      <c r="K27" s="2" t="s">
        <v>23</v>
      </c>
    </row>
    <row r="28" spans="1:11" x14ac:dyDescent="0.3">
      <c r="A28" s="5" t="s">
        <v>1309</v>
      </c>
      <c r="B28" s="5" t="s">
        <v>1310</v>
      </c>
      <c r="C28" s="5" t="s">
        <v>1178</v>
      </c>
      <c r="D28" s="5" t="s">
        <v>1311</v>
      </c>
      <c r="E28" s="5" t="s">
        <v>1312</v>
      </c>
      <c r="F28" s="5" t="s">
        <v>1261</v>
      </c>
      <c r="G28" s="5" t="s">
        <v>1313</v>
      </c>
      <c r="H28" s="6">
        <v>50000</v>
      </c>
      <c r="I28" s="5">
        <v>7</v>
      </c>
      <c r="J28" s="6">
        <v>1038414</v>
      </c>
      <c r="K28" s="5" t="s">
        <v>23</v>
      </c>
    </row>
    <row r="29" spans="1:11" x14ac:dyDescent="0.3">
      <c r="A29" s="2" t="s">
        <v>1314</v>
      </c>
      <c r="B29" s="2" t="s">
        <v>1315</v>
      </c>
      <c r="C29" s="2" t="s">
        <v>1184</v>
      </c>
      <c r="D29" s="2" t="s">
        <v>1316</v>
      </c>
      <c r="E29" s="2" t="s">
        <v>1317</v>
      </c>
      <c r="F29" s="2" t="s">
        <v>1261</v>
      </c>
      <c r="G29" s="2" t="s">
        <v>1318</v>
      </c>
      <c r="H29" s="3">
        <v>800000</v>
      </c>
      <c r="I29" s="2">
        <v>30</v>
      </c>
      <c r="J29" s="3">
        <v>4176783</v>
      </c>
      <c r="K29" s="2" t="s">
        <v>23</v>
      </c>
    </row>
    <row r="30" spans="1:11" x14ac:dyDescent="0.3">
      <c r="A30" s="5" t="s">
        <v>1319</v>
      </c>
      <c r="B30" s="5" t="s">
        <v>1320</v>
      </c>
      <c r="C30" s="5" t="s">
        <v>1200</v>
      </c>
      <c r="D30" s="5" t="s">
        <v>1321</v>
      </c>
      <c r="E30" s="5" t="s">
        <v>1322</v>
      </c>
      <c r="F30" s="5" t="s">
        <v>1298</v>
      </c>
      <c r="G30" s="5" t="s">
        <v>1323</v>
      </c>
      <c r="H30" s="6">
        <v>500000</v>
      </c>
      <c r="I30" s="5">
        <v>45</v>
      </c>
      <c r="J30" s="6">
        <v>3649538</v>
      </c>
      <c r="K30" s="5" t="s">
        <v>23</v>
      </c>
    </row>
    <row r="31" spans="1:11" x14ac:dyDescent="0.3">
      <c r="A31" s="2" t="s">
        <v>1324</v>
      </c>
      <c r="B31" s="2" t="s">
        <v>1325</v>
      </c>
      <c r="C31" s="2" t="s">
        <v>1211</v>
      </c>
      <c r="D31" s="2" t="s">
        <v>1326</v>
      </c>
      <c r="E31" s="2" t="s">
        <v>1327</v>
      </c>
      <c r="F31" s="2" t="s">
        <v>1267</v>
      </c>
      <c r="G31" s="2" t="s">
        <v>1328</v>
      </c>
      <c r="H31" s="3">
        <v>500000</v>
      </c>
      <c r="I31" s="2">
        <v>45</v>
      </c>
      <c r="J31" s="3">
        <v>3887340</v>
      </c>
      <c r="K31" s="2" t="s">
        <v>23</v>
      </c>
    </row>
    <row r="32" spans="1:11" x14ac:dyDescent="0.3">
      <c r="A32" s="5" t="s">
        <v>1329</v>
      </c>
      <c r="B32" s="5" t="s">
        <v>1330</v>
      </c>
      <c r="C32" s="5" t="s">
        <v>1211</v>
      </c>
      <c r="D32" s="5" t="s">
        <v>1331</v>
      </c>
      <c r="E32" s="5" t="s">
        <v>1332</v>
      </c>
      <c r="F32" s="5" t="s">
        <v>912</v>
      </c>
      <c r="G32" s="5" t="s">
        <v>1333</v>
      </c>
      <c r="H32" s="6">
        <v>500000</v>
      </c>
      <c r="I32" s="5">
        <v>45</v>
      </c>
      <c r="J32" s="6">
        <v>1947317</v>
      </c>
      <c r="K32" s="5" t="s">
        <v>23</v>
      </c>
    </row>
    <row r="33" spans="1:11" x14ac:dyDescent="0.3">
      <c r="A33" s="2" t="s">
        <v>1334</v>
      </c>
      <c r="B33" s="2" t="s">
        <v>1335</v>
      </c>
      <c r="C33" s="2" t="s">
        <v>1184</v>
      </c>
      <c r="D33" s="2" t="s">
        <v>1336</v>
      </c>
      <c r="E33" s="2" t="s">
        <v>1337</v>
      </c>
      <c r="F33" s="2" t="s">
        <v>917</v>
      </c>
      <c r="G33" s="2" t="s">
        <v>1338</v>
      </c>
      <c r="H33" s="3">
        <v>50000</v>
      </c>
      <c r="I33" s="2">
        <v>30</v>
      </c>
      <c r="J33" s="3">
        <v>4413054</v>
      </c>
      <c r="K33" s="2" t="s">
        <v>23</v>
      </c>
    </row>
    <row r="34" spans="1:11" x14ac:dyDescent="0.3">
      <c r="A34" s="5" t="s">
        <v>1339</v>
      </c>
      <c r="B34" s="5" t="s">
        <v>1340</v>
      </c>
      <c r="C34" s="5" t="s">
        <v>1184</v>
      </c>
      <c r="D34" s="5" t="s">
        <v>1341</v>
      </c>
      <c r="E34" s="5" t="s">
        <v>1342</v>
      </c>
      <c r="F34" s="5" t="s">
        <v>1298</v>
      </c>
      <c r="G34" s="5" t="s">
        <v>1343</v>
      </c>
      <c r="H34" s="6">
        <v>100000</v>
      </c>
      <c r="I34" s="5">
        <v>30</v>
      </c>
      <c r="J34" s="6">
        <v>4067584</v>
      </c>
      <c r="K34" s="5" t="s">
        <v>23</v>
      </c>
    </row>
    <row r="35" spans="1:11" x14ac:dyDescent="0.3">
      <c r="A35" s="2" t="s">
        <v>1344</v>
      </c>
      <c r="B35" s="2" t="s">
        <v>1345</v>
      </c>
      <c r="C35" s="2" t="s">
        <v>1200</v>
      </c>
      <c r="D35" s="2" t="s">
        <v>1346</v>
      </c>
      <c r="E35" s="2" t="s">
        <v>1347</v>
      </c>
      <c r="F35" s="2" t="s">
        <v>1277</v>
      </c>
      <c r="G35" s="2" t="s">
        <v>1348</v>
      </c>
      <c r="H35" s="3">
        <v>300000</v>
      </c>
      <c r="I35" s="2">
        <v>45</v>
      </c>
      <c r="J35" s="3">
        <v>554420</v>
      </c>
      <c r="K35" s="2" t="s">
        <v>23</v>
      </c>
    </row>
    <row r="36" spans="1:11" x14ac:dyDescent="0.3">
      <c r="A36" s="5" t="s">
        <v>1349</v>
      </c>
      <c r="B36" s="5" t="s">
        <v>1350</v>
      </c>
      <c r="C36" s="5" t="s">
        <v>1211</v>
      </c>
      <c r="D36" s="5" t="s">
        <v>1351</v>
      </c>
      <c r="E36" s="5" t="s">
        <v>1235</v>
      </c>
      <c r="F36" s="5" t="s">
        <v>917</v>
      </c>
      <c r="G36" s="5" t="s">
        <v>1352</v>
      </c>
      <c r="H36" s="6">
        <v>100000</v>
      </c>
      <c r="I36" s="5">
        <v>45</v>
      </c>
      <c r="J36" s="6">
        <v>4598690</v>
      </c>
      <c r="K36" s="5" t="s">
        <v>23</v>
      </c>
    </row>
    <row r="37" spans="1:11" x14ac:dyDescent="0.3">
      <c r="A37" s="2" t="s">
        <v>1353</v>
      </c>
      <c r="B37" s="2" t="s">
        <v>1354</v>
      </c>
      <c r="C37" s="2" t="s">
        <v>1211</v>
      </c>
      <c r="D37" s="2" t="s">
        <v>1355</v>
      </c>
      <c r="E37" s="2" t="s">
        <v>1356</v>
      </c>
      <c r="F37" s="2" t="s">
        <v>1357</v>
      </c>
      <c r="G37" s="2" t="s">
        <v>1358</v>
      </c>
      <c r="H37" s="3">
        <v>300000</v>
      </c>
      <c r="I37" s="2">
        <v>45</v>
      </c>
      <c r="J37" s="3">
        <v>4716463</v>
      </c>
      <c r="K37" s="2" t="s">
        <v>23</v>
      </c>
    </row>
    <row r="38" spans="1:11" x14ac:dyDescent="0.3">
      <c r="A38" s="5" t="s">
        <v>1359</v>
      </c>
      <c r="B38" s="5" t="s">
        <v>1360</v>
      </c>
      <c r="C38" s="5" t="s">
        <v>1178</v>
      </c>
      <c r="D38" s="5" t="s">
        <v>1361</v>
      </c>
      <c r="E38" s="5" t="s">
        <v>1362</v>
      </c>
      <c r="F38" s="5" t="s">
        <v>917</v>
      </c>
      <c r="G38" s="5" t="s">
        <v>1363</v>
      </c>
      <c r="H38" s="6">
        <v>300000</v>
      </c>
      <c r="I38" s="5">
        <v>7</v>
      </c>
      <c r="J38" s="6">
        <v>4173853</v>
      </c>
      <c r="K38" s="5" t="s">
        <v>23</v>
      </c>
    </row>
    <row r="39" spans="1:11" x14ac:dyDescent="0.3">
      <c r="A39" s="2" t="s">
        <v>1364</v>
      </c>
      <c r="B39" s="2" t="s">
        <v>1365</v>
      </c>
      <c r="C39" s="2" t="s">
        <v>1184</v>
      </c>
      <c r="D39" s="2" t="s">
        <v>1366</v>
      </c>
      <c r="E39" s="2" t="s">
        <v>1367</v>
      </c>
      <c r="F39" s="2" t="s">
        <v>1267</v>
      </c>
      <c r="G39" s="2" t="s">
        <v>1368</v>
      </c>
      <c r="H39" s="3">
        <v>200000</v>
      </c>
      <c r="I39" s="2">
        <v>30</v>
      </c>
      <c r="J39" s="3">
        <v>3916886</v>
      </c>
      <c r="K39" s="2" t="s">
        <v>23</v>
      </c>
    </row>
    <row r="40" spans="1:11" x14ac:dyDescent="0.3">
      <c r="A40" s="5" t="s">
        <v>1369</v>
      </c>
      <c r="B40" s="5" t="s">
        <v>1370</v>
      </c>
      <c r="C40" s="5" t="s">
        <v>1200</v>
      </c>
      <c r="D40" s="5" t="s">
        <v>1371</v>
      </c>
      <c r="E40" s="5" t="s">
        <v>1372</v>
      </c>
      <c r="F40" s="5" t="s">
        <v>926</v>
      </c>
      <c r="G40" s="5" t="s">
        <v>1373</v>
      </c>
      <c r="H40" s="6">
        <v>100000</v>
      </c>
      <c r="I40" s="5">
        <v>45</v>
      </c>
      <c r="J40" s="6">
        <v>590593</v>
      </c>
      <c r="K40" s="5" t="s">
        <v>23</v>
      </c>
    </row>
    <row r="41" spans="1:11" x14ac:dyDescent="0.3">
      <c r="A41" s="2" t="s">
        <v>1374</v>
      </c>
      <c r="B41" s="2" t="s">
        <v>1375</v>
      </c>
      <c r="C41" s="2" t="s">
        <v>1178</v>
      </c>
      <c r="D41" s="2" t="s">
        <v>1376</v>
      </c>
      <c r="E41" s="2" t="s">
        <v>1377</v>
      </c>
      <c r="F41" s="2" t="s">
        <v>912</v>
      </c>
      <c r="G41" s="2" t="s">
        <v>1378</v>
      </c>
      <c r="H41" s="3">
        <v>500000</v>
      </c>
      <c r="I41" s="2">
        <v>7</v>
      </c>
      <c r="J41" s="3">
        <v>4555408</v>
      </c>
      <c r="K41" s="2" t="s">
        <v>23</v>
      </c>
    </row>
    <row r="42" spans="1:11" x14ac:dyDescent="0.3">
      <c r="A42" s="5" t="s">
        <v>1379</v>
      </c>
      <c r="B42" s="5" t="s">
        <v>1380</v>
      </c>
      <c r="C42" s="5" t="s">
        <v>1184</v>
      </c>
      <c r="D42" s="5" t="s">
        <v>1381</v>
      </c>
      <c r="E42" s="5" t="s">
        <v>1382</v>
      </c>
      <c r="F42" s="5" t="s">
        <v>917</v>
      </c>
      <c r="G42" s="5" t="s">
        <v>1383</v>
      </c>
      <c r="H42" s="6">
        <v>800000</v>
      </c>
      <c r="I42" s="5">
        <v>30</v>
      </c>
      <c r="J42" s="6">
        <v>2073033</v>
      </c>
      <c r="K42" s="5" t="s">
        <v>23</v>
      </c>
    </row>
    <row r="43" spans="1:11" x14ac:dyDescent="0.3">
      <c r="A43" s="2" t="s">
        <v>1384</v>
      </c>
      <c r="B43" s="2" t="s">
        <v>1385</v>
      </c>
      <c r="C43" s="2" t="s">
        <v>1178</v>
      </c>
      <c r="D43" s="2" t="s">
        <v>1386</v>
      </c>
      <c r="E43" s="2" t="s">
        <v>1387</v>
      </c>
      <c r="F43" s="2" t="s">
        <v>1261</v>
      </c>
      <c r="G43" s="2" t="s">
        <v>1388</v>
      </c>
      <c r="H43" s="3">
        <v>800000</v>
      </c>
      <c r="I43" s="2">
        <v>7</v>
      </c>
      <c r="J43" s="3">
        <v>4996198</v>
      </c>
      <c r="K43" s="2" t="s">
        <v>23</v>
      </c>
    </row>
    <row r="44" spans="1:11" x14ac:dyDescent="0.3">
      <c r="A44" s="5" t="s">
        <v>1389</v>
      </c>
      <c r="B44" s="5" t="s">
        <v>1390</v>
      </c>
      <c r="C44" s="5" t="s">
        <v>1184</v>
      </c>
      <c r="D44" s="5" t="s">
        <v>1391</v>
      </c>
      <c r="E44" s="5" t="s">
        <v>1392</v>
      </c>
      <c r="F44" s="5" t="s">
        <v>1277</v>
      </c>
      <c r="G44" s="5" t="s">
        <v>1393</v>
      </c>
      <c r="H44" s="6">
        <v>300000</v>
      </c>
      <c r="I44" s="5">
        <v>30</v>
      </c>
      <c r="J44" s="6">
        <v>1197886</v>
      </c>
      <c r="K44" s="5" t="s">
        <v>23</v>
      </c>
    </row>
    <row r="45" spans="1:11" x14ac:dyDescent="0.3">
      <c r="A45" s="2" t="s">
        <v>1394</v>
      </c>
      <c r="B45" s="2" t="s">
        <v>1395</v>
      </c>
      <c r="C45" s="2" t="s">
        <v>1178</v>
      </c>
      <c r="D45" s="2" t="s">
        <v>1396</v>
      </c>
      <c r="E45" s="2" t="s">
        <v>1397</v>
      </c>
      <c r="F45" s="2" t="s">
        <v>912</v>
      </c>
      <c r="G45" s="2" t="s">
        <v>1398</v>
      </c>
      <c r="H45" s="3">
        <v>50000</v>
      </c>
      <c r="I45" s="2">
        <v>7</v>
      </c>
      <c r="J45" s="3">
        <v>4610004</v>
      </c>
      <c r="K45" s="2" t="s">
        <v>23</v>
      </c>
    </row>
    <row r="46" spans="1:11" x14ac:dyDescent="0.3">
      <c r="A46" s="5" t="s">
        <v>1399</v>
      </c>
      <c r="B46" s="5" t="s">
        <v>1400</v>
      </c>
      <c r="C46" s="5" t="s">
        <v>1211</v>
      </c>
      <c r="D46" s="5" t="s">
        <v>1401</v>
      </c>
      <c r="E46" s="5" t="s">
        <v>1402</v>
      </c>
      <c r="F46" s="5" t="s">
        <v>917</v>
      </c>
      <c r="G46" s="5" t="s">
        <v>1352</v>
      </c>
      <c r="H46" s="6">
        <v>200000</v>
      </c>
      <c r="I46" s="5">
        <v>45</v>
      </c>
      <c r="J46" s="6">
        <v>1423276</v>
      </c>
      <c r="K46" s="5" t="s">
        <v>23</v>
      </c>
    </row>
    <row r="47" spans="1:11" x14ac:dyDescent="0.3">
      <c r="A47" s="2" t="s">
        <v>1403</v>
      </c>
      <c r="B47" s="2" t="s">
        <v>1404</v>
      </c>
      <c r="C47" s="2" t="s">
        <v>1178</v>
      </c>
      <c r="D47" s="2" t="s">
        <v>1405</v>
      </c>
      <c r="E47" s="2" t="s">
        <v>1327</v>
      </c>
      <c r="F47" s="2" t="s">
        <v>1298</v>
      </c>
      <c r="G47" s="2" t="s">
        <v>1406</v>
      </c>
      <c r="H47" s="3">
        <v>100000</v>
      </c>
      <c r="I47" s="2">
        <v>7</v>
      </c>
      <c r="J47" s="3">
        <v>2318500</v>
      </c>
      <c r="K47" s="2" t="s">
        <v>23</v>
      </c>
    </row>
    <row r="48" spans="1:11" x14ac:dyDescent="0.3">
      <c r="A48" s="5" t="s">
        <v>1407</v>
      </c>
      <c r="B48" s="5" t="s">
        <v>1408</v>
      </c>
      <c r="C48" s="5" t="s">
        <v>1184</v>
      </c>
      <c r="D48" s="5" t="s">
        <v>1409</v>
      </c>
      <c r="E48" s="5" t="s">
        <v>1410</v>
      </c>
      <c r="F48" s="5" t="s">
        <v>1230</v>
      </c>
      <c r="G48" s="5" t="s">
        <v>1411</v>
      </c>
      <c r="H48" s="6">
        <v>800000</v>
      </c>
      <c r="I48" s="5">
        <v>30</v>
      </c>
      <c r="J48" s="6">
        <v>2976288</v>
      </c>
      <c r="K48" s="5" t="s">
        <v>23</v>
      </c>
    </row>
    <row r="49" spans="1:11" x14ac:dyDescent="0.3">
      <c r="A49" s="2" t="s">
        <v>1412</v>
      </c>
      <c r="B49" s="2" t="s">
        <v>1413</v>
      </c>
      <c r="C49" s="2" t="s">
        <v>1211</v>
      </c>
      <c r="D49" s="2" t="s">
        <v>1414</v>
      </c>
      <c r="E49" s="2" t="s">
        <v>1307</v>
      </c>
      <c r="F49" s="2" t="s">
        <v>912</v>
      </c>
      <c r="G49" s="2" t="s">
        <v>1333</v>
      </c>
      <c r="H49" s="3">
        <v>200000</v>
      </c>
      <c r="I49" s="2">
        <v>45</v>
      </c>
      <c r="J49" s="3">
        <v>469826</v>
      </c>
      <c r="K49" s="2" t="s">
        <v>23</v>
      </c>
    </row>
    <row r="50" spans="1:11" x14ac:dyDescent="0.3">
      <c r="A50" s="5" t="s">
        <v>1415</v>
      </c>
      <c r="B50" s="5" t="s">
        <v>1416</v>
      </c>
      <c r="C50" s="5" t="s">
        <v>1184</v>
      </c>
      <c r="D50" s="5" t="s">
        <v>1417</v>
      </c>
      <c r="E50" s="5" t="s">
        <v>1418</v>
      </c>
      <c r="F50" s="5" t="s">
        <v>1357</v>
      </c>
      <c r="G50" s="5" t="s">
        <v>1419</v>
      </c>
      <c r="H50" s="6">
        <v>500000</v>
      </c>
      <c r="I50" s="5">
        <v>30</v>
      </c>
      <c r="J50" s="6">
        <v>181115</v>
      </c>
      <c r="K50" s="5" t="s">
        <v>23</v>
      </c>
    </row>
    <row r="51" spans="1:11" x14ac:dyDescent="0.3">
      <c r="A51" s="2" t="s">
        <v>1420</v>
      </c>
      <c r="B51" s="2" t="s">
        <v>1421</v>
      </c>
      <c r="C51" s="2" t="s">
        <v>1178</v>
      </c>
      <c r="D51" s="2" t="s">
        <v>1422</v>
      </c>
      <c r="E51" s="2" t="s">
        <v>1337</v>
      </c>
      <c r="F51" s="2" t="s">
        <v>1277</v>
      </c>
      <c r="G51" s="2" t="s">
        <v>1423</v>
      </c>
      <c r="H51" s="3">
        <v>300000</v>
      </c>
      <c r="I51" s="2">
        <v>7</v>
      </c>
      <c r="J51" s="3">
        <v>1169090</v>
      </c>
      <c r="K51" s="2" t="s">
        <v>23</v>
      </c>
    </row>
    <row r="52" spans="1:11" x14ac:dyDescent="0.3">
      <c r="A52" s="5" t="s">
        <v>1424</v>
      </c>
      <c r="B52" s="5" t="s">
        <v>1425</v>
      </c>
      <c r="C52" s="5" t="s">
        <v>1211</v>
      </c>
      <c r="D52" s="5" t="s">
        <v>1426</v>
      </c>
      <c r="E52" s="5" t="s">
        <v>1427</v>
      </c>
      <c r="F52" s="5" t="s">
        <v>1224</v>
      </c>
      <c r="G52" s="5" t="s">
        <v>1428</v>
      </c>
      <c r="H52" s="6">
        <v>200000</v>
      </c>
      <c r="I52" s="5">
        <v>45</v>
      </c>
      <c r="J52" s="6">
        <v>4796643</v>
      </c>
      <c r="K52" s="5" t="s">
        <v>23</v>
      </c>
    </row>
    <row r="53" spans="1:11" x14ac:dyDescent="0.3">
      <c r="A53" s="2" t="s">
        <v>1429</v>
      </c>
      <c r="B53" s="2" t="s">
        <v>1430</v>
      </c>
      <c r="C53" s="2" t="s">
        <v>1184</v>
      </c>
      <c r="D53" s="2" t="s">
        <v>1431</v>
      </c>
      <c r="E53" s="2" t="s">
        <v>1432</v>
      </c>
      <c r="F53" s="2" t="s">
        <v>926</v>
      </c>
      <c r="G53" s="2" t="s">
        <v>1433</v>
      </c>
      <c r="H53" s="3">
        <v>50000</v>
      </c>
      <c r="I53" s="2">
        <v>30</v>
      </c>
      <c r="J53" s="3">
        <v>1604586</v>
      </c>
      <c r="K53" s="2" t="s">
        <v>23</v>
      </c>
    </row>
    <row r="54" spans="1:11" x14ac:dyDescent="0.3">
      <c r="A54" s="5" t="s">
        <v>1434</v>
      </c>
      <c r="B54" s="5" t="s">
        <v>1435</v>
      </c>
      <c r="C54" s="5" t="s">
        <v>1211</v>
      </c>
      <c r="D54" s="5" t="s">
        <v>1436</v>
      </c>
      <c r="E54" s="5" t="s">
        <v>1437</v>
      </c>
      <c r="F54" s="5" t="s">
        <v>926</v>
      </c>
      <c r="G54" s="5" t="s">
        <v>1438</v>
      </c>
      <c r="H54" s="6">
        <v>50000</v>
      </c>
      <c r="I54" s="5">
        <v>45</v>
      </c>
      <c r="J54" s="6">
        <v>4048434</v>
      </c>
      <c r="K54" s="5" t="s">
        <v>23</v>
      </c>
    </row>
    <row r="55" spans="1:11" x14ac:dyDescent="0.3">
      <c r="A55" s="2" t="s">
        <v>1439</v>
      </c>
      <c r="B55" s="2" t="s">
        <v>1440</v>
      </c>
      <c r="C55" s="2" t="s">
        <v>1211</v>
      </c>
      <c r="D55" s="2" t="s">
        <v>1441</v>
      </c>
      <c r="E55" s="2" t="s">
        <v>1442</v>
      </c>
      <c r="F55" s="2" t="s">
        <v>1224</v>
      </c>
      <c r="G55" s="2" t="s">
        <v>1443</v>
      </c>
      <c r="H55" s="3">
        <v>800000</v>
      </c>
      <c r="I55" s="2">
        <v>45</v>
      </c>
      <c r="J55" s="3">
        <v>1720090</v>
      </c>
      <c r="K55" s="2" t="s">
        <v>23</v>
      </c>
    </row>
    <row r="56" spans="1:11" x14ac:dyDescent="0.3">
      <c r="A56" s="5" t="s">
        <v>1444</v>
      </c>
      <c r="B56" s="5" t="s">
        <v>1445</v>
      </c>
      <c r="C56" s="5" t="s">
        <v>1211</v>
      </c>
      <c r="D56" s="5" t="s">
        <v>1446</v>
      </c>
      <c r="E56" s="5" t="s">
        <v>1447</v>
      </c>
      <c r="F56" s="5" t="s">
        <v>1277</v>
      </c>
      <c r="G56" s="5" t="s">
        <v>1448</v>
      </c>
      <c r="H56" s="6">
        <v>800000</v>
      </c>
      <c r="I56" s="5">
        <v>45</v>
      </c>
      <c r="J56" s="6">
        <v>4598103</v>
      </c>
      <c r="K56" s="5" t="s">
        <v>23</v>
      </c>
    </row>
    <row r="57" spans="1:11" x14ac:dyDescent="0.3">
      <c r="A57" s="2" t="s">
        <v>1449</v>
      </c>
      <c r="B57" s="2" t="s">
        <v>1450</v>
      </c>
      <c r="C57" s="2" t="s">
        <v>1184</v>
      </c>
      <c r="D57" s="2" t="s">
        <v>1451</v>
      </c>
      <c r="E57" s="2" t="s">
        <v>1452</v>
      </c>
      <c r="F57" s="2" t="s">
        <v>1261</v>
      </c>
      <c r="G57" s="2" t="s">
        <v>1453</v>
      </c>
      <c r="H57" s="3">
        <v>50000</v>
      </c>
      <c r="I57" s="2">
        <v>30</v>
      </c>
      <c r="J57" s="3">
        <v>3745385</v>
      </c>
      <c r="K57" s="2" t="s">
        <v>23</v>
      </c>
    </row>
    <row r="58" spans="1:11" x14ac:dyDescent="0.3">
      <c r="A58" s="5" t="s">
        <v>1454</v>
      </c>
      <c r="B58" s="5" t="s">
        <v>1455</v>
      </c>
      <c r="C58" s="5" t="s">
        <v>1178</v>
      </c>
      <c r="D58" s="5" t="s">
        <v>1456</v>
      </c>
      <c r="E58" s="5" t="s">
        <v>1437</v>
      </c>
      <c r="F58" s="5" t="s">
        <v>1267</v>
      </c>
      <c r="G58" s="5" t="s">
        <v>1457</v>
      </c>
      <c r="H58" s="6">
        <v>200000</v>
      </c>
      <c r="I58" s="5">
        <v>7</v>
      </c>
      <c r="J58" s="6">
        <v>472341</v>
      </c>
      <c r="K58" s="5" t="s">
        <v>23</v>
      </c>
    </row>
    <row r="59" spans="1:11" x14ac:dyDescent="0.3">
      <c r="A59" s="2" t="s">
        <v>1458</v>
      </c>
      <c r="B59" s="2" t="s">
        <v>1459</v>
      </c>
      <c r="C59" s="2" t="s">
        <v>1184</v>
      </c>
      <c r="D59" s="2" t="s">
        <v>1460</v>
      </c>
      <c r="E59" s="2" t="s">
        <v>1461</v>
      </c>
      <c r="F59" s="2" t="s">
        <v>1277</v>
      </c>
      <c r="G59" s="2" t="s">
        <v>1462</v>
      </c>
      <c r="H59" s="3">
        <v>800000</v>
      </c>
      <c r="I59" s="2">
        <v>30</v>
      </c>
      <c r="J59" s="3">
        <v>2869918</v>
      </c>
      <c r="K59" s="2" t="s">
        <v>23</v>
      </c>
    </row>
    <row r="60" spans="1:11" x14ac:dyDescent="0.3">
      <c r="A60" s="5" t="s">
        <v>1463</v>
      </c>
      <c r="B60" s="5" t="s">
        <v>1464</v>
      </c>
      <c r="C60" s="5" t="s">
        <v>1211</v>
      </c>
      <c r="D60" s="5" t="s">
        <v>1465</v>
      </c>
      <c r="E60" s="5" t="s">
        <v>1466</v>
      </c>
      <c r="F60" s="5" t="s">
        <v>1298</v>
      </c>
      <c r="G60" s="5" t="s">
        <v>1467</v>
      </c>
      <c r="H60" s="6">
        <v>200000</v>
      </c>
      <c r="I60" s="5">
        <v>45</v>
      </c>
      <c r="J60" s="6">
        <v>3475579</v>
      </c>
      <c r="K60" s="5" t="s">
        <v>23</v>
      </c>
    </row>
    <row r="61" spans="1:11" x14ac:dyDescent="0.3">
      <c r="A61" s="2" t="s">
        <v>1468</v>
      </c>
      <c r="B61" s="2" t="s">
        <v>1469</v>
      </c>
      <c r="C61" s="2" t="s">
        <v>1184</v>
      </c>
      <c r="D61" s="2" t="s">
        <v>1470</v>
      </c>
      <c r="E61" s="2" t="s">
        <v>1471</v>
      </c>
      <c r="F61" s="2" t="s">
        <v>1267</v>
      </c>
      <c r="G61" s="2" t="s">
        <v>1472</v>
      </c>
      <c r="H61" s="3">
        <v>500000</v>
      </c>
      <c r="I61" s="2">
        <v>30</v>
      </c>
      <c r="J61" s="3">
        <v>4874000</v>
      </c>
      <c r="K61" s="2" t="s">
        <v>23</v>
      </c>
    </row>
    <row r="62" spans="1:11" x14ac:dyDescent="0.3">
      <c r="A62" s="5" t="s">
        <v>1473</v>
      </c>
      <c r="B62" s="5" t="s">
        <v>1474</v>
      </c>
      <c r="C62" s="5" t="s">
        <v>1211</v>
      </c>
      <c r="D62" s="5" t="s">
        <v>1475</v>
      </c>
      <c r="E62" s="5" t="s">
        <v>1476</v>
      </c>
      <c r="F62" s="5" t="s">
        <v>1230</v>
      </c>
      <c r="G62" s="5" t="s">
        <v>1477</v>
      </c>
      <c r="H62" s="6">
        <v>500000</v>
      </c>
      <c r="I62" s="5">
        <v>45</v>
      </c>
      <c r="J62" s="6">
        <v>2803222</v>
      </c>
      <c r="K62" s="5" t="s">
        <v>23</v>
      </c>
    </row>
    <row r="63" spans="1:11" x14ac:dyDescent="0.3">
      <c r="A63" s="2" t="s">
        <v>1478</v>
      </c>
      <c r="B63" s="2" t="s">
        <v>1479</v>
      </c>
      <c r="C63" s="2" t="s">
        <v>1200</v>
      </c>
      <c r="D63" s="2" t="s">
        <v>1480</v>
      </c>
      <c r="E63" s="2" t="s">
        <v>1481</v>
      </c>
      <c r="F63" s="2" t="s">
        <v>926</v>
      </c>
      <c r="G63" s="2" t="s">
        <v>1482</v>
      </c>
      <c r="H63" s="3">
        <v>500000</v>
      </c>
      <c r="I63" s="2">
        <v>45</v>
      </c>
      <c r="J63" s="3">
        <v>2911762</v>
      </c>
      <c r="K63" s="2" t="s">
        <v>23</v>
      </c>
    </row>
    <row r="64" spans="1:11" x14ac:dyDescent="0.3">
      <c r="A64" s="5" t="s">
        <v>1483</v>
      </c>
      <c r="B64" s="5" t="s">
        <v>1484</v>
      </c>
      <c r="C64" s="5" t="s">
        <v>1184</v>
      </c>
      <c r="D64" s="5" t="s">
        <v>1485</v>
      </c>
      <c r="E64" s="5" t="s">
        <v>1486</v>
      </c>
      <c r="F64" s="5" t="s">
        <v>1224</v>
      </c>
      <c r="G64" s="5" t="s">
        <v>1487</v>
      </c>
      <c r="H64" s="6">
        <v>50000</v>
      </c>
      <c r="I64" s="5">
        <v>30</v>
      </c>
      <c r="J64" s="6">
        <v>2153888</v>
      </c>
      <c r="K64" s="5" t="s">
        <v>23</v>
      </c>
    </row>
    <row r="65" spans="1:11" x14ac:dyDescent="0.3">
      <c r="A65" s="2" t="s">
        <v>1488</v>
      </c>
      <c r="B65" s="2" t="s">
        <v>1489</v>
      </c>
      <c r="C65" s="2" t="s">
        <v>1200</v>
      </c>
      <c r="D65" s="2" t="s">
        <v>1490</v>
      </c>
      <c r="E65" s="2" t="s">
        <v>1491</v>
      </c>
      <c r="F65" s="2" t="s">
        <v>1261</v>
      </c>
      <c r="G65" s="2" t="s">
        <v>1492</v>
      </c>
      <c r="H65" s="3">
        <v>300000</v>
      </c>
      <c r="I65" s="2">
        <v>45</v>
      </c>
      <c r="J65" s="3">
        <v>3452531</v>
      </c>
      <c r="K65" s="2" t="s">
        <v>23</v>
      </c>
    </row>
    <row r="66" spans="1:11" x14ac:dyDescent="0.3">
      <c r="A66" s="5" t="s">
        <v>1493</v>
      </c>
      <c r="B66" s="5" t="s">
        <v>1494</v>
      </c>
      <c r="C66" s="5" t="s">
        <v>1178</v>
      </c>
      <c r="D66" s="5" t="s">
        <v>1495</v>
      </c>
      <c r="E66" s="5" t="s">
        <v>1496</v>
      </c>
      <c r="F66" s="5" t="s">
        <v>1267</v>
      </c>
      <c r="G66" s="5" t="s">
        <v>1497</v>
      </c>
      <c r="H66" s="6">
        <v>800000</v>
      </c>
      <c r="I66" s="5">
        <v>7</v>
      </c>
      <c r="J66" s="6">
        <v>4444944</v>
      </c>
      <c r="K66" s="5" t="s">
        <v>23</v>
      </c>
    </row>
    <row r="67" spans="1:11" x14ac:dyDescent="0.3">
      <c r="A67" s="2" t="s">
        <v>1498</v>
      </c>
      <c r="B67" s="2" t="s">
        <v>1499</v>
      </c>
      <c r="C67" s="2" t="s">
        <v>1178</v>
      </c>
      <c r="D67" s="2" t="s">
        <v>1500</v>
      </c>
      <c r="E67" s="2" t="s">
        <v>1382</v>
      </c>
      <c r="F67" s="2" t="s">
        <v>1357</v>
      </c>
      <c r="G67" s="2" t="s">
        <v>1501</v>
      </c>
      <c r="H67" s="3">
        <v>800000</v>
      </c>
      <c r="I67" s="2">
        <v>7</v>
      </c>
      <c r="J67" s="3">
        <v>4555457</v>
      </c>
      <c r="K67" s="2" t="s">
        <v>23</v>
      </c>
    </row>
    <row r="68" spans="1:11" x14ac:dyDescent="0.3">
      <c r="A68" s="5" t="s">
        <v>1502</v>
      </c>
      <c r="B68" s="5" t="s">
        <v>1503</v>
      </c>
      <c r="C68" s="5" t="s">
        <v>1200</v>
      </c>
      <c r="D68" s="5" t="s">
        <v>1504</v>
      </c>
      <c r="E68" s="5" t="s">
        <v>1505</v>
      </c>
      <c r="F68" s="5" t="s">
        <v>1298</v>
      </c>
      <c r="G68" s="5" t="s">
        <v>1506</v>
      </c>
      <c r="H68" s="6">
        <v>800000</v>
      </c>
      <c r="I68" s="5">
        <v>45</v>
      </c>
      <c r="J68" s="6">
        <v>4081857</v>
      </c>
      <c r="K68" s="5" t="s">
        <v>23</v>
      </c>
    </row>
    <row r="69" spans="1:11" x14ac:dyDescent="0.3">
      <c r="A69" s="2" t="s">
        <v>1507</v>
      </c>
      <c r="B69" s="2" t="s">
        <v>1508</v>
      </c>
      <c r="C69" s="2" t="s">
        <v>1200</v>
      </c>
      <c r="D69" s="2" t="s">
        <v>1509</v>
      </c>
      <c r="E69" s="2" t="s">
        <v>1510</v>
      </c>
      <c r="F69" s="2" t="s">
        <v>1224</v>
      </c>
      <c r="G69" s="2" t="s">
        <v>1511</v>
      </c>
      <c r="H69" s="3">
        <v>50000</v>
      </c>
      <c r="I69" s="2">
        <v>45</v>
      </c>
      <c r="J69" s="3">
        <v>2496861</v>
      </c>
      <c r="K69" s="2" t="s">
        <v>23</v>
      </c>
    </row>
    <row r="70" spans="1:11" x14ac:dyDescent="0.3">
      <c r="A70" s="5" t="s">
        <v>1512</v>
      </c>
      <c r="B70" s="5" t="s">
        <v>1513</v>
      </c>
      <c r="C70" s="5" t="s">
        <v>1178</v>
      </c>
      <c r="D70" s="5" t="s">
        <v>1514</v>
      </c>
      <c r="E70" s="5" t="s">
        <v>1515</v>
      </c>
      <c r="F70" s="5" t="s">
        <v>926</v>
      </c>
      <c r="G70" s="5" t="s">
        <v>1516</v>
      </c>
      <c r="H70" s="6">
        <v>300000</v>
      </c>
      <c r="I70" s="5">
        <v>7</v>
      </c>
      <c r="J70" s="6">
        <v>1381823</v>
      </c>
      <c r="K70" s="5" t="s">
        <v>23</v>
      </c>
    </row>
    <row r="71" spans="1:11" x14ac:dyDescent="0.3">
      <c r="A71" s="2" t="s">
        <v>1517</v>
      </c>
      <c r="B71" s="2" t="s">
        <v>1518</v>
      </c>
      <c r="C71" s="2" t="s">
        <v>1200</v>
      </c>
      <c r="D71" s="2" t="s">
        <v>1519</v>
      </c>
      <c r="E71" s="2" t="s">
        <v>1347</v>
      </c>
      <c r="F71" s="2" t="s">
        <v>1277</v>
      </c>
      <c r="G71" s="2" t="s">
        <v>1520</v>
      </c>
      <c r="H71" s="3">
        <v>300000</v>
      </c>
      <c r="I71" s="2">
        <v>45</v>
      </c>
      <c r="J71" s="3">
        <v>622322</v>
      </c>
      <c r="K71" s="2" t="s">
        <v>23</v>
      </c>
    </row>
    <row r="72" spans="1:11" x14ac:dyDescent="0.3">
      <c r="A72" s="5" t="s">
        <v>1521</v>
      </c>
      <c r="B72" s="5" t="s">
        <v>1522</v>
      </c>
      <c r="C72" s="5" t="s">
        <v>1178</v>
      </c>
      <c r="D72" s="5" t="s">
        <v>1523</v>
      </c>
      <c r="E72" s="5" t="s">
        <v>1524</v>
      </c>
      <c r="F72" s="5" t="s">
        <v>1261</v>
      </c>
      <c r="G72" s="5" t="s">
        <v>1525</v>
      </c>
      <c r="H72" s="6">
        <v>50000</v>
      </c>
      <c r="I72" s="5">
        <v>7</v>
      </c>
      <c r="J72" s="6">
        <v>3050766</v>
      </c>
      <c r="K72" s="5" t="s">
        <v>23</v>
      </c>
    </row>
    <row r="73" spans="1:11" x14ac:dyDescent="0.3">
      <c r="A73" s="2" t="s">
        <v>1526</v>
      </c>
      <c r="B73" s="2" t="s">
        <v>1527</v>
      </c>
      <c r="C73" s="2" t="s">
        <v>1184</v>
      </c>
      <c r="D73" s="2" t="s">
        <v>1528</v>
      </c>
      <c r="E73" s="2" t="s">
        <v>1529</v>
      </c>
      <c r="F73" s="2" t="s">
        <v>1357</v>
      </c>
      <c r="G73" s="2" t="s">
        <v>1530</v>
      </c>
      <c r="H73" s="3">
        <v>300000</v>
      </c>
      <c r="I73" s="2">
        <v>30</v>
      </c>
      <c r="J73" s="3">
        <v>4173860</v>
      </c>
      <c r="K73" s="2" t="s">
        <v>23</v>
      </c>
    </row>
    <row r="74" spans="1:11" x14ac:dyDescent="0.3">
      <c r="A74" s="5" t="s">
        <v>1531</v>
      </c>
      <c r="B74" s="5" t="s">
        <v>1532</v>
      </c>
      <c r="C74" s="5" t="s">
        <v>1184</v>
      </c>
      <c r="D74" s="5" t="s">
        <v>1533</v>
      </c>
      <c r="E74" s="5" t="s">
        <v>1534</v>
      </c>
      <c r="F74" s="5" t="s">
        <v>1357</v>
      </c>
      <c r="G74" s="5" t="s">
        <v>1535</v>
      </c>
      <c r="H74" s="6">
        <v>50000</v>
      </c>
      <c r="I74" s="5">
        <v>30</v>
      </c>
      <c r="J74" s="6">
        <v>3405281</v>
      </c>
      <c r="K74" s="5" t="s">
        <v>23</v>
      </c>
    </row>
    <row r="75" spans="1:11" x14ac:dyDescent="0.3">
      <c r="A75" s="2" t="s">
        <v>1536</v>
      </c>
      <c r="B75" s="2" t="s">
        <v>1537</v>
      </c>
      <c r="C75" s="2" t="s">
        <v>1178</v>
      </c>
      <c r="D75" s="2" t="s">
        <v>1538</v>
      </c>
      <c r="E75" s="2" t="s">
        <v>1539</v>
      </c>
      <c r="F75" s="2" t="s">
        <v>1267</v>
      </c>
      <c r="G75" s="2" t="s">
        <v>1540</v>
      </c>
      <c r="H75" s="3">
        <v>100000</v>
      </c>
      <c r="I75" s="2">
        <v>7</v>
      </c>
      <c r="J75" s="3">
        <v>521818</v>
      </c>
      <c r="K75" s="2" t="s">
        <v>23</v>
      </c>
    </row>
    <row r="76" spans="1:11" x14ac:dyDescent="0.3">
      <c r="A76" s="5" t="s">
        <v>1541</v>
      </c>
      <c r="B76" s="5" t="s">
        <v>1542</v>
      </c>
      <c r="C76" s="5" t="s">
        <v>1200</v>
      </c>
      <c r="D76" s="5" t="s">
        <v>1543</v>
      </c>
      <c r="E76" s="5" t="s">
        <v>1534</v>
      </c>
      <c r="F76" s="5" t="s">
        <v>1277</v>
      </c>
      <c r="G76" s="5" t="s">
        <v>1544</v>
      </c>
      <c r="H76" s="6">
        <v>200000</v>
      </c>
      <c r="I76" s="5">
        <v>45</v>
      </c>
      <c r="J76" s="6">
        <v>3636342</v>
      </c>
      <c r="K76" s="5" t="s">
        <v>23</v>
      </c>
    </row>
    <row r="77" spans="1:11" x14ac:dyDescent="0.3">
      <c r="A77" s="2" t="s">
        <v>1545</v>
      </c>
      <c r="B77" s="2" t="s">
        <v>1546</v>
      </c>
      <c r="C77" s="2" t="s">
        <v>1178</v>
      </c>
      <c r="D77" s="2" t="s">
        <v>1547</v>
      </c>
      <c r="E77" s="2" t="s">
        <v>1548</v>
      </c>
      <c r="F77" s="2" t="s">
        <v>1277</v>
      </c>
      <c r="G77" s="2" t="s">
        <v>1549</v>
      </c>
      <c r="H77" s="3">
        <v>800000</v>
      </c>
      <c r="I77" s="2">
        <v>7</v>
      </c>
      <c r="J77" s="3">
        <v>437709</v>
      </c>
      <c r="K77" s="2" t="s">
        <v>23</v>
      </c>
    </row>
    <row r="78" spans="1:11" x14ac:dyDescent="0.3">
      <c r="A78" s="5" t="s">
        <v>1550</v>
      </c>
      <c r="B78" s="5" t="s">
        <v>1551</v>
      </c>
      <c r="C78" s="5" t="s">
        <v>1178</v>
      </c>
      <c r="D78" s="5" t="s">
        <v>1552</v>
      </c>
      <c r="E78" s="5" t="s">
        <v>1553</v>
      </c>
      <c r="F78" s="5" t="s">
        <v>1261</v>
      </c>
      <c r="G78" s="5" t="s">
        <v>1554</v>
      </c>
      <c r="H78" s="6">
        <v>100000</v>
      </c>
      <c r="I78" s="5">
        <v>7</v>
      </c>
      <c r="J78" s="6">
        <v>4072518</v>
      </c>
      <c r="K78" s="5" t="s">
        <v>23</v>
      </c>
    </row>
    <row r="79" spans="1:11" x14ac:dyDescent="0.3">
      <c r="A79" s="2" t="s">
        <v>1555</v>
      </c>
      <c r="B79" s="2" t="s">
        <v>1385</v>
      </c>
      <c r="C79" s="2" t="s">
        <v>1200</v>
      </c>
      <c r="D79" s="2" t="s">
        <v>1556</v>
      </c>
      <c r="E79" s="2" t="s">
        <v>1387</v>
      </c>
      <c r="F79" s="2" t="s">
        <v>1230</v>
      </c>
      <c r="G79" s="2" t="s">
        <v>1557</v>
      </c>
      <c r="H79" s="3">
        <v>500000</v>
      </c>
      <c r="I79" s="2">
        <v>45</v>
      </c>
      <c r="J79" s="3">
        <v>1060771</v>
      </c>
      <c r="K79" s="2" t="s">
        <v>23</v>
      </c>
    </row>
    <row r="80" spans="1:11" x14ac:dyDescent="0.3">
      <c r="A80" s="5" t="s">
        <v>1558</v>
      </c>
      <c r="B80" s="5" t="s">
        <v>1559</v>
      </c>
      <c r="C80" s="5" t="s">
        <v>1178</v>
      </c>
      <c r="D80" s="5" t="s">
        <v>1560</v>
      </c>
      <c r="E80" s="5" t="s">
        <v>1561</v>
      </c>
      <c r="F80" s="5" t="s">
        <v>1230</v>
      </c>
      <c r="G80" s="5" t="s">
        <v>1562</v>
      </c>
      <c r="H80" s="6">
        <v>300000</v>
      </c>
      <c r="I80" s="5">
        <v>7</v>
      </c>
      <c r="J80" s="6">
        <v>1763710</v>
      </c>
      <c r="K80" s="5" t="s">
        <v>23</v>
      </c>
    </row>
    <row r="81" spans="1:11" x14ac:dyDescent="0.3">
      <c r="A81" s="2" t="s">
        <v>1563</v>
      </c>
      <c r="B81" s="2" t="s">
        <v>1564</v>
      </c>
      <c r="C81" s="2" t="s">
        <v>1178</v>
      </c>
      <c r="D81" s="2" t="s">
        <v>1565</v>
      </c>
      <c r="E81" s="2" t="s">
        <v>1566</v>
      </c>
      <c r="F81" s="2" t="s">
        <v>1230</v>
      </c>
      <c r="G81" s="2" t="s">
        <v>1567</v>
      </c>
      <c r="H81" s="3">
        <v>500000</v>
      </c>
      <c r="I81" s="2">
        <v>7</v>
      </c>
      <c r="J81" s="3">
        <v>444512</v>
      </c>
      <c r="K81" s="2" t="s">
        <v>23</v>
      </c>
    </row>
    <row r="82" spans="1:11" x14ac:dyDescent="0.3">
      <c r="A82" s="5" t="s">
        <v>1568</v>
      </c>
      <c r="B82" s="5" t="s">
        <v>1569</v>
      </c>
      <c r="C82" s="5" t="s">
        <v>1178</v>
      </c>
      <c r="D82" s="5" t="s">
        <v>1570</v>
      </c>
      <c r="E82" s="5" t="s">
        <v>1571</v>
      </c>
      <c r="F82" s="5" t="s">
        <v>1298</v>
      </c>
      <c r="G82" s="5" t="s">
        <v>1572</v>
      </c>
      <c r="H82" s="6">
        <v>300000</v>
      </c>
      <c r="I82" s="5">
        <v>7</v>
      </c>
      <c r="J82" s="6">
        <v>4212109</v>
      </c>
      <c r="K82" s="5" t="s">
        <v>23</v>
      </c>
    </row>
    <row r="83" spans="1:11" x14ac:dyDescent="0.3">
      <c r="A83" s="2" t="s">
        <v>1573</v>
      </c>
      <c r="B83" s="2" t="s">
        <v>1574</v>
      </c>
      <c r="C83" s="2" t="s">
        <v>1184</v>
      </c>
      <c r="D83" s="2" t="s">
        <v>1575</v>
      </c>
      <c r="E83" s="2" t="s">
        <v>1250</v>
      </c>
      <c r="F83" s="2" t="s">
        <v>1267</v>
      </c>
      <c r="G83" s="2" t="s">
        <v>1576</v>
      </c>
      <c r="H83" s="3">
        <v>800000</v>
      </c>
      <c r="I83" s="2">
        <v>30</v>
      </c>
      <c r="J83" s="3">
        <v>2365615</v>
      </c>
      <c r="K83" s="2" t="s">
        <v>23</v>
      </c>
    </row>
    <row r="84" spans="1:11" x14ac:dyDescent="0.3">
      <c r="A84" s="5" t="s">
        <v>1577</v>
      </c>
      <c r="B84" s="5" t="s">
        <v>1578</v>
      </c>
      <c r="C84" s="5" t="s">
        <v>1200</v>
      </c>
      <c r="D84" s="5" t="s">
        <v>1579</v>
      </c>
      <c r="E84" s="5" t="s">
        <v>1580</v>
      </c>
      <c r="F84" s="5" t="s">
        <v>1261</v>
      </c>
      <c r="G84" s="5" t="s">
        <v>1581</v>
      </c>
      <c r="H84" s="6">
        <v>100000</v>
      </c>
      <c r="I84" s="5">
        <v>45</v>
      </c>
      <c r="J84" s="6">
        <v>826981</v>
      </c>
      <c r="K84" s="5" t="s">
        <v>23</v>
      </c>
    </row>
    <row r="85" spans="1:11" x14ac:dyDescent="0.3">
      <c r="A85" s="2" t="s">
        <v>1582</v>
      </c>
      <c r="B85" s="2" t="s">
        <v>1583</v>
      </c>
      <c r="C85" s="2" t="s">
        <v>1200</v>
      </c>
      <c r="D85" s="2" t="s">
        <v>1584</v>
      </c>
      <c r="E85" s="2" t="s">
        <v>1585</v>
      </c>
      <c r="F85" s="2" t="s">
        <v>1277</v>
      </c>
      <c r="G85" s="2" t="s">
        <v>1586</v>
      </c>
      <c r="H85" s="3">
        <v>200000</v>
      </c>
      <c r="I85" s="2">
        <v>45</v>
      </c>
      <c r="J85" s="3">
        <v>1625383</v>
      </c>
      <c r="K85" s="2" t="s">
        <v>23</v>
      </c>
    </row>
    <row r="86" spans="1:11" x14ac:dyDescent="0.3">
      <c r="A86" s="5" t="s">
        <v>1587</v>
      </c>
      <c r="B86" s="5" t="s">
        <v>1588</v>
      </c>
      <c r="C86" s="5" t="s">
        <v>1211</v>
      </c>
      <c r="D86" s="5" t="s">
        <v>1589</v>
      </c>
      <c r="E86" s="5" t="s">
        <v>1590</v>
      </c>
      <c r="F86" s="5" t="s">
        <v>1230</v>
      </c>
      <c r="G86" s="5" t="s">
        <v>1591</v>
      </c>
      <c r="H86" s="6">
        <v>500000</v>
      </c>
      <c r="I86" s="5">
        <v>45</v>
      </c>
      <c r="J86" s="6">
        <v>185153</v>
      </c>
      <c r="K86" s="5" t="s">
        <v>23</v>
      </c>
    </row>
    <row r="87" spans="1:11" x14ac:dyDescent="0.3">
      <c r="A87" s="2" t="s">
        <v>1592</v>
      </c>
      <c r="B87" s="2" t="s">
        <v>1593</v>
      </c>
      <c r="C87" s="2" t="s">
        <v>1200</v>
      </c>
      <c r="D87" s="2" t="s">
        <v>1594</v>
      </c>
      <c r="E87" s="2" t="s">
        <v>1347</v>
      </c>
      <c r="F87" s="2" t="s">
        <v>1357</v>
      </c>
      <c r="G87" s="2" t="s">
        <v>1595</v>
      </c>
      <c r="H87" s="3">
        <v>800000</v>
      </c>
      <c r="I87" s="2">
        <v>45</v>
      </c>
      <c r="J87" s="3">
        <v>4093758</v>
      </c>
      <c r="K87" s="2" t="s">
        <v>23</v>
      </c>
    </row>
    <row r="88" spans="1:11" x14ac:dyDescent="0.3">
      <c r="A88" s="5" t="s">
        <v>1596</v>
      </c>
      <c r="B88" s="5" t="s">
        <v>1597</v>
      </c>
      <c r="C88" s="5" t="s">
        <v>1178</v>
      </c>
      <c r="D88" s="5" t="s">
        <v>1598</v>
      </c>
      <c r="E88" s="5" t="s">
        <v>1599</v>
      </c>
      <c r="F88" s="5" t="s">
        <v>1230</v>
      </c>
      <c r="G88" s="5" t="s">
        <v>1600</v>
      </c>
      <c r="H88" s="6">
        <v>800000</v>
      </c>
      <c r="I88" s="5">
        <v>7</v>
      </c>
      <c r="J88" s="6">
        <v>2140991</v>
      </c>
      <c r="K88" s="5" t="s">
        <v>23</v>
      </c>
    </row>
    <row r="89" spans="1:11" x14ac:dyDescent="0.3">
      <c r="A89" s="2" t="s">
        <v>1601</v>
      </c>
      <c r="B89" s="2" t="s">
        <v>1602</v>
      </c>
      <c r="C89" s="2" t="s">
        <v>1211</v>
      </c>
      <c r="D89" s="2" t="s">
        <v>1603</v>
      </c>
      <c r="E89" s="2" t="s">
        <v>1604</v>
      </c>
      <c r="F89" s="2" t="s">
        <v>1267</v>
      </c>
      <c r="G89" s="2" t="s">
        <v>1605</v>
      </c>
      <c r="H89" s="3">
        <v>200000</v>
      </c>
      <c r="I89" s="2">
        <v>45</v>
      </c>
      <c r="J89" s="3">
        <v>3906291</v>
      </c>
      <c r="K89" s="2" t="s">
        <v>23</v>
      </c>
    </row>
    <row r="90" spans="1:11" x14ac:dyDescent="0.3">
      <c r="A90" s="5" t="s">
        <v>1606</v>
      </c>
      <c r="B90" s="5" t="s">
        <v>1607</v>
      </c>
      <c r="C90" s="5" t="s">
        <v>1178</v>
      </c>
      <c r="D90" s="5" t="s">
        <v>1608</v>
      </c>
      <c r="E90" s="5" t="s">
        <v>1609</v>
      </c>
      <c r="F90" s="5" t="s">
        <v>1224</v>
      </c>
      <c r="G90" s="5" t="s">
        <v>1610</v>
      </c>
      <c r="H90" s="6">
        <v>800000</v>
      </c>
      <c r="I90" s="5">
        <v>7</v>
      </c>
      <c r="J90" s="6">
        <v>4595152</v>
      </c>
      <c r="K90" s="5" t="s">
        <v>23</v>
      </c>
    </row>
    <row r="91" spans="1:11" x14ac:dyDescent="0.3">
      <c r="A91" s="2" t="s">
        <v>1611</v>
      </c>
      <c r="B91" s="2" t="s">
        <v>1612</v>
      </c>
      <c r="C91" s="2" t="s">
        <v>1200</v>
      </c>
      <c r="D91" s="2" t="s">
        <v>1613</v>
      </c>
      <c r="E91" s="2" t="s">
        <v>1614</v>
      </c>
      <c r="F91" s="2" t="s">
        <v>1230</v>
      </c>
      <c r="G91" s="2" t="s">
        <v>1615</v>
      </c>
      <c r="H91" s="3">
        <v>500000</v>
      </c>
      <c r="I91" s="2">
        <v>45</v>
      </c>
      <c r="J91" s="3">
        <v>2473965</v>
      </c>
      <c r="K91" s="2" t="s">
        <v>23</v>
      </c>
    </row>
    <row r="92" spans="1:11" x14ac:dyDescent="0.3">
      <c r="A92" s="5" t="s">
        <v>1616</v>
      </c>
      <c r="B92" s="5" t="s">
        <v>1617</v>
      </c>
      <c r="C92" s="5" t="s">
        <v>1211</v>
      </c>
      <c r="D92" s="5" t="s">
        <v>1618</v>
      </c>
      <c r="E92" s="5" t="s">
        <v>1619</v>
      </c>
      <c r="F92" s="5" t="s">
        <v>926</v>
      </c>
      <c r="G92" s="5" t="s">
        <v>1620</v>
      </c>
      <c r="H92" s="6">
        <v>800000</v>
      </c>
      <c r="I92" s="5">
        <v>45</v>
      </c>
      <c r="J92" s="6">
        <v>4580649</v>
      </c>
      <c r="K92" s="5" t="s">
        <v>23</v>
      </c>
    </row>
    <row r="93" spans="1:11" x14ac:dyDescent="0.3">
      <c r="A93" s="2" t="s">
        <v>1621</v>
      </c>
      <c r="B93" s="2" t="s">
        <v>1622</v>
      </c>
      <c r="C93" s="2" t="s">
        <v>1211</v>
      </c>
      <c r="D93" s="2" t="s">
        <v>1623</v>
      </c>
      <c r="E93" s="2" t="s">
        <v>1624</v>
      </c>
      <c r="F93" s="2" t="s">
        <v>926</v>
      </c>
      <c r="G93" s="2" t="s">
        <v>1625</v>
      </c>
      <c r="H93" s="3">
        <v>50000</v>
      </c>
      <c r="I93" s="2">
        <v>45</v>
      </c>
      <c r="J93" s="3">
        <v>4915599</v>
      </c>
      <c r="K93" s="2" t="s">
        <v>23</v>
      </c>
    </row>
    <row r="94" spans="1:11" x14ac:dyDescent="0.3">
      <c r="A94" s="5" t="s">
        <v>1626</v>
      </c>
      <c r="B94" s="5" t="s">
        <v>1627</v>
      </c>
      <c r="C94" s="5" t="s">
        <v>1211</v>
      </c>
      <c r="D94" s="5" t="s">
        <v>1628</v>
      </c>
      <c r="E94" s="5" t="s">
        <v>1599</v>
      </c>
      <c r="F94" s="5" t="s">
        <v>926</v>
      </c>
      <c r="G94" s="5" t="s">
        <v>1629</v>
      </c>
      <c r="H94" s="6">
        <v>300000</v>
      </c>
      <c r="I94" s="5">
        <v>45</v>
      </c>
      <c r="J94" s="6">
        <v>1057032</v>
      </c>
      <c r="K94" s="5" t="s">
        <v>23</v>
      </c>
    </row>
    <row r="95" spans="1:11" x14ac:dyDescent="0.3">
      <c r="A95" s="2" t="s">
        <v>1630</v>
      </c>
      <c r="B95" s="2" t="s">
        <v>1631</v>
      </c>
      <c r="C95" s="2" t="s">
        <v>1178</v>
      </c>
      <c r="D95" s="2" t="s">
        <v>1632</v>
      </c>
      <c r="E95" s="2" t="s">
        <v>1633</v>
      </c>
      <c r="F95" s="2" t="s">
        <v>926</v>
      </c>
      <c r="G95" s="2" t="s">
        <v>1634</v>
      </c>
      <c r="H95" s="3">
        <v>50000</v>
      </c>
      <c r="I95" s="2">
        <v>7</v>
      </c>
      <c r="J95" s="3">
        <v>2181976</v>
      </c>
      <c r="K95" s="2" t="s">
        <v>23</v>
      </c>
    </row>
    <row r="96" spans="1:11" x14ac:dyDescent="0.3">
      <c r="A96" s="5" t="s">
        <v>1635</v>
      </c>
      <c r="B96" s="5" t="s">
        <v>1636</v>
      </c>
      <c r="C96" s="5" t="s">
        <v>1184</v>
      </c>
      <c r="D96" s="5" t="s">
        <v>1637</v>
      </c>
      <c r="E96" s="5" t="s">
        <v>1571</v>
      </c>
      <c r="F96" s="5" t="s">
        <v>1298</v>
      </c>
      <c r="G96" s="5" t="s">
        <v>1638</v>
      </c>
      <c r="H96" s="6">
        <v>300000</v>
      </c>
      <c r="I96" s="5">
        <v>30</v>
      </c>
      <c r="J96" s="6">
        <v>2594378</v>
      </c>
      <c r="K96" s="5" t="s">
        <v>23</v>
      </c>
    </row>
    <row r="97" spans="1:11" x14ac:dyDescent="0.3">
      <c r="A97" s="2" t="s">
        <v>1639</v>
      </c>
      <c r="B97" s="2" t="s">
        <v>1640</v>
      </c>
      <c r="C97" s="2" t="s">
        <v>1178</v>
      </c>
      <c r="D97" s="2" t="s">
        <v>1641</v>
      </c>
      <c r="E97" s="2" t="s">
        <v>1642</v>
      </c>
      <c r="F97" s="2" t="s">
        <v>1261</v>
      </c>
      <c r="G97" s="2" t="s">
        <v>1643</v>
      </c>
      <c r="H97" s="3">
        <v>800000</v>
      </c>
      <c r="I97" s="2">
        <v>7</v>
      </c>
      <c r="J97" s="3">
        <v>1870207</v>
      </c>
      <c r="K97" s="2" t="s">
        <v>23</v>
      </c>
    </row>
    <row r="98" spans="1:11" x14ac:dyDescent="0.3">
      <c r="A98" s="5" t="s">
        <v>1644</v>
      </c>
      <c r="B98" s="5" t="s">
        <v>1645</v>
      </c>
      <c r="C98" s="5" t="s">
        <v>1184</v>
      </c>
      <c r="D98" s="5" t="s">
        <v>1646</v>
      </c>
      <c r="E98" s="5" t="s">
        <v>1647</v>
      </c>
      <c r="F98" s="5" t="s">
        <v>1298</v>
      </c>
      <c r="G98" s="5" t="s">
        <v>1506</v>
      </c>
      <c r="H98" s="6">
        <v>50000</v>
      </c>
      <c r="I98" s="5">
        <v>30</v>
      </c>
      <c r="J98" s="6">
        <v>3526893</v>
      </c>
      <c r="K98" s="5" t="s">
        <v>23</v>
      </c>
    </row>
    <row r="99" spans="1:11" x14ac:dyDescent="0.3">
      <c r="A99" s="2" t="s">
        <v>1648</v>
      </c>
      <c r="B99" s="2" t="s">
        <v>1649</v>
      </c>
      <c r="C99" s="2" t="s">
        <v>1178</v>
      </c>
      <c r="D99" s="2" t="s">
        <v>1650</v>
      </c>
      <c r="E99" s="2" t="s">
        <v>1651</v>
      </c>
      <c r="F99" s="2" t="s">
        <v>1224</v>
      </c>
      <c r="G99" s="2" t="s">
        <v>1652</v>
      </c>
      <c r="H99" s="3">
        <v>800000</v>
      </c>
      <c r="I99" s="2">
        <v>7</v>
      </c>
      <c r="J99" s="3">
        <v>3908690</v>
      </c>
      <c r="K99" s="2" t="s">
        <v>23</v>
      </c>
    </row>
    <row r="100" spans="1:11" x14ac:dyDescent="0.3">
      <c r="A100" s="5" t="s">
        <v>1653</v>
      </c>
      <c r="B100" s="5" t="s">
        <v>1654</v>
      </c>
      <c r="C100" s="5" t="s">
        <v>1184</v>
      </c>
      <c r="D100" s="5" t="s">
        <v>1655</v>
      </c>
      <c r="E100" s="5" t="s">
        <v>1656</v>
      </c>
      <c r="F100" s="5" t="s">
        <v>1267</v>
      </c>
      <c r="G100" s="5" t="s">
        <v>1605</v>
      </c>
      <c r="H100" s="6">
        <v>800000</v>
      </c>
      <c r="I100" s="5">
        <v>30</v>
      </c>
      <c r="J100" s="6">
        <v>1349813</v>
      </c>
      <c r="K100" s="5" t="s">
        <v>23</v>
      </c>
    </row>
    <row r="101" spans="1:11" x14ac:dyDescent="0.3">
      <c r="A101" s="2" t="s">
        <v>1657</v>
      </c>
      <c r="B101" s="2" t="s">
        <v>1658</v>
      </c>
      <c r="C101" s="2" t="s">
        <v>1184</v>
      </c>
      <c r="D101" s="2" t="s">
        <v>1659</v>
      </c>
      <c r="E101" s="2" t="s">
        <v>1660</v>
      </c>
      <c r="F101" s="2" t="s">
        <v>1230</v>
      </c>
      <c r="G101" s="2" t="s">
        <v>1477</v>
      </c>
      <c r="H101" s="3">
        <v>300000</v>
      </c>
      <c r="I101" s="2">
        <v>30</v>
      </c>
      <c r="J101" s="3">
        <v>1143154</v>
      </c>
      <c r="K101" s="2" t="s">
        <v>23</v>
      </c>
    </row>
    <row r="102" spans="1:11" x14ac:dyDescent="0.3">
      <c r="A102" s="5" t="s">
        <v>1661</v>
      </c>
      <c r="B102" s="5" t="s">
        <v>1662</v>
      </c>
      <c r="C102" s="5" t="s">
        <v>1211</v>
      </c>
      <c r="D102" s="5" t="s">
        <v>1663</v>
      </c>
      <c r="E102" s="5" t="s">
        <v>1664</v>
      </c>
      <c r="F102" s="5" t="s">
        <v>1298</v>
      </c>
      <c r="G102" s="5" t="s">
        <v>1665</v>
      </c>
      <c r="H102" s="6">
        <v>300000</v>
      </c>
      <c r="I102" s="5">
        <v>45</v>
      </c>
      <c r="J102" s="6">
        <v>774795</v>
      </c>
      <c r="K102" s="5" t="s">
        <v>23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2"/>
  <sheetViews>
    <sheetView zoomScaleNormal="100" workbookViewId="0">
      <pane ySplit="2" topLeftCell="A3" activePane="bottomLeft" state="frozen"/>
      <selection pane="bottomLeft" sqref="A1:M1"/>
    </sheetView>
  </sheetViews>
  <sheetFormatPr defaultColWidth="8.6640625" defaultRowHeight="14.4" x14ac:dyDescent="0.3"/>
  <cols>
    <col min="1" max="1" width="14" customWidth="1"/>
    <col min="2" max="3" width="12" customWidth="1"/>
    <col min="4" max="4" width="28" customWidth="1"/>
    <col min="5" max="5" width="12" customWidth="1"/>
    <col min="6" max="6" width="34" customWidth="1"/>
    <col min="7" max="7" width="26" customWidth="1"/>
    <col min="8" max="8" width="10" customWidth="1"/>
    <col min="9" max="10" width="18" customWidth="1"/>
    <col min="11" max="11" width="20" customWidth="1"/>
    <col min="12" max="13" width="18" customWidth="1"/>
  </cols>
  <sheetData>
    <row r="1" spans="1:13" ht="30" customHeight="1" x14ac:dyDescent="0.3">
      <c r="A1" s="14" t="s">
        <v>2036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7.6" x14ac:dyDescent="0.3">
      <c r="A2" s="1" t="s">
        <v>2037</v>
      </c>
      <c r="B2" s="1" t="s">
        <v>1668</v>
      </c>
      <c r="C2" s="1" t="s">
        <v>1171</v>
      </c>
      <c r="D2" s="1" t="s">
        <v>1172</v>
      </c>
      <c r="E2" s="1" t="s">
        <v>1</v>
      </c>
      <c r="F2" s="1" t="s">
        <v>4</v>
      </c>
      <c r="G2" s="1" t="s">
        <v>2</v>
      </c>
      <c r="H2" s="1" t="s">
        <v>2038</v>
      </c>
      <c r="I2" s="1" t="s">
        <v>9</v>
      </c>
      <c r="J2" s="1" t="s">
        <v>10</v>
      </c>
      <c r="K2" s="1" t="s">
        <v>2039</v>
      </c>
      <c r="L2" s="1" t="s">
        <v>1671</v>
      </c>
      <c r="M2" s="1" t="s">
        <v>2040</v>
      </c>
    </row>
    <row r="3" spans="1:13" x14ac:dyDescent="0.3">
      <c r="A3" s="2" t="s">
        <v>2041</v>
      </c>
      <c r="B3" s="2" t="s">
        <v>1691</v>
      </c>
      <c r="C3" s="2" t="s">
        <v>1657</v>
      </c>
      <c r="D3" s="2" t="s">
        <v>1658</v>
      </c>
      <c r="E3" s="2" t="s">
        <v>849</v>
      </c>
      <c r="F3" s="2" t="s">
        <v>848</v>
      </c>
      <c r="G3" s="2" t="s">
        <v>816</v>
      </c>
      <c r="H3" s="2">
        <v>10</v>
      </c>
      <c r="I3" s="3">
        <v>320</v>
      </c>
      <c r="J3" s="3">
        <v>480</v>
      </c>
      <c r="K3" s="3">
        <f t="shared" ref="K3:K66" si="0">H3*J3</f>
        <v>4800</v>
      </c>
      <c r="L3" s="3">
        <f t="shared" ref="L3:L66" si="1">H3*I3</f>
        <v>3200</v>
      </c>
      <c r="M3" s="3">
        <f t="shared" ref="M3:M66" si="2">K3-L3</f>
        <v>1600</v>
      </c>
    </row>
    <row r="4" spans="1:13" x14ac:dyDescent="0.3">
      <c r="A4" s="5" t="s">
        <v>2042</v>
      </c>
      <c r="B4" s="5" t="s">
        <v>2043</v>
      </c>
      <c r="C4" s="5" t="s">
        <v>1577</v>
      </c>
      <c r="D4" s="5" t="s">
        <v>1578</v>
      </c>
      <c r="E4" s="5" t="s">
        <v>739</v>
      </c>
      <c r="F4" s="5" t="s">
        <v>738</v>
      </c>
      <c r="G4" s="5" t="s">
        <v>731</v>
      </c>
      <c r="H4" s="5">
        <v>7</v>
      </c>
      <c r="I4" s="6">
        <v>180</v>
      </c>
      <c r="J4" s="6">
        <v>270</v>
      </c>
      <c r="K4" s="6">
        <f t="shared" si="0"/>
        <v>1890</v>
      </c>
      <c r="L4" s="6">
        <f t="shared" si="1"/>
        <v>1260</v>
      </c>
      <c r="M4" s="6">
        <f t="shared" si="2"/>
        <v>630</v>
      </c>
    </row>
    <row r="5" spans="1:13" x14ac:dyDescent="0.3">
      <c r="A5" s="2" t="s">
        <v>2044</v>
      </c>
      <c r="B5" s="2" t="s">
        <v>2045</v>
      </c>
      <c r="C5" s="2" t="s">
        <v>1289</v>
      </c>
      <c r="D5" s="2" t="s">
        <v>1290</v>
      </c>
      <c r="E5" s="2" t="s">
        <v>625</v>
      </c>
      <c r="F5" s="2" t="s">
        <v>624</v>
      </c>
      <c r="G5" s="2" t="s">
        <v>609</v>
      </c>
      <c r="H5" s="2">
        <v>2</v>
      </c>
      <c r="I5" s="3">
        <v>45</v>
      </c>
      <c r="J5" s="3">
        <v>70</v>
      </c>
      <c r="K5" s="3">
        <f t="shared" si="0"/>
        <v>140</v>
      </c>
      <c r="L5" s="3">
        <f t="shared" si="1"/>
        <v>90</v>
      </c>
      <c r="M5" s="3">
        <f t="shared" si="2"/>
        <v>50</v>
      </c>
    </row>
    <row r="6" spans="1:13" x14ac:dyDescent="0.3">
      <c r="A6" s="5" t="s">
        <v>2046</v>
      </c>
      <c r="B6" s="5" t="s">
        <v>2047</v>
      </c>
      <c r="C6" s="5" t="s">
        <v>1226</v>
      </c>
      <c r="D6" s="5" t="s">
        <v>1227</v>
      </c>
      <c r="E6" s="5" t="s">
        <v>451</v>
      </c>
      <c r="F6" s="5" t="s">
        <v>450</v>
      </c>
      <c r="G6" s="5" t="s">
        <v>330</v>
      </c>
      <c r="H6" s="5">
        <v>7</v>
      </c>
      <c r="I6" s="6">
        <v>200</v>
      </c>
      <c r="J6" s="6">
        <v>310</v>
      </c>
      <c r="K6" s="6">
        <f t="shared" si="0"/>
        <v>2170</v>
      </c>
      <c r="L6" s="6">
        <f t="shared" si="1"/>
        <v>1400</v>
      </c>
      <c r="M6" s="6">
        <f t="shared" si="2"/>
        <v>770</v>
      </c>
    </row>
    <row r="7" spans="1:13" x14ac:dyDescent="0.3">
      <c r="A7" s="2" t="s">
        <v>2048</v>
      </c>
      <c r="B7" s="2" t="s">
        <v>1882</v>
      </c>
      <c r="C7" s="2" t="s">
        <v>1478</v>
      </c>
      <c r="D7" s="2" t="s">
        <v>1479</v>
      </c>
      <c r="E7" s="2" t="s">
        <v>362</v>
      </c>
      <c r="F7" s="2" t="s">
        <v>361</v>
      </c>
      <c r="G7" s="2" t="s">
        <v>330</v>
      </c>
      <c r="H7" s="2">
        <v>38</v>
      </c>
      <c r="I7" s="3">
        <v>1600</v>
      </c>
      <c r="J7" s="3">
        <v>2400</v>
      </c>
      <c r="K7" s="3">
        <f t="shared" si="0"/>
        <v>91200</v>
      </c>
      <c r="L7" s="3">
        <f t="shared" si="1"/>
        <v>60800</v>
      </c>
      <c r="M7" s="3">
        <f t="shared" si="2"/>
        <v>30400</v>
      </c>
    </row>
    <row r="8" spans="1:13" x14ac:dyDescent="0.3">
      <c r="A8" s="5" t="s">
        <v>2049</v>
      </c>
      <c r="B8" s="5" t="s">
        <v>2050</v>
      </c>
      <c r="C8" s="5" t="s">
        <v>1314</v>
      </c>
      <c r="D8" s="5" t="s">
        <v>1315</v>
      </c>
      <c r="E8" s="5" t="s">
        <v>454</v>
      </c>
      <c r="F8" s="5" t="s">
        <v>453</v>
      </c>
      <c r="G8" s="5" t="s">
        <v>330</v>
      </c>
      <c r="H8" s="5">
        <v>13</v>
      </c>
      <c r="I8" s="6">
        <v>700</v>
      </c>
      <c r="J8" s="6">
        <v>1050</v>
      </c>
      <c r="K8" s="6">
        <f t="shared" si="0"/>
        <v>13650</v>
      </c>
      <c r="L8" s="6">
        <f t="shared" si="1"/>
        <v>9100</v>
      </c>
      <c r="M8" s="6">
        <f t="shared" si="2"/>
        <v>4550</v>
      </c>
    </row>
    <row r="9" spans="1:13" x14ac:dyDescent="0.3">
      <c r="A9" s="2" t="s">
        <v>2051</v>
      </c>
      <c r="B9" s="2" t="s">
        <v>2052</v>
      </c>
      <c r="C9" s="2" t="s">
        <v>1606</v>
      </c>
      <c r="D9" s="2" t="s">
        <v>1607</v>
      </c>
      <c r="E9" s="2" t="s">
        <v>684</v>
      </c>
      <c r="F9" s="2" t="s">
        <v>683</v>
      </c>
      <c r="G9" s="2" t="s">
        <v>609</v>
      </c>
      <c r="H9" s="2">
        <v>22</v>
      </c>
      <c r="I9" s="3">
        <v>3500</v>
      </c>
      <c r="J9" s="3">
        <v>5200</v>
      </c>
      <c r="K9" s="3">
        <f t="shared" si="0"/>
        <v>114400</v>
      </c>
      <c r="L9" s="3">
        <f t="shared" si="1"/>
        <v>77000</v>
      </c>
      <c r="M9" s="3">
        <f t="shared" si="2"/>
        <v>37400</v>
      </c>
    </row>
    <row r="10" spans="1:13" x14ac:dyDescent="0.3">
      <c r="A10" s="5" t="s">
        <v>2053</v>
      </c>
      <c r="B10" s="5" t="s">
        <v>2054</v>
      </c>
      <c r="C10" s="5" t="s">
        <v>1237</v>
      </c>
      <c r="D10" s="5" t="s">
        <v>1238</v>
      </c>
      <c r="E10" s="5" t="s">
        <v>467</v>
      </c>
      <c r="F10" s="5" t="s">
        <v>466</v>
      </c>
      <c r="G10" s="5" t="s">
        <v>330</v>
      </c>
      <c r="H10" s="5">
        <v>41</v>
      </c>
      <c r="I10" s="6">
        <v>550</v>
      </c>
      <c r="J10" s="6">
        <v>900</v>
      </c>
      <c r="K10" s="6">
        <f t="shared" si="0"/>
        <v>36900</v>
      </c>
      <c r="L10" s="6">
        <f t="shared" si="1"/>
        <v>22550</v>
      </c>
      <c r="M10" s="6">
        <f t="shared" si="2"/>
        <v>14350</v>
      </c>
    </row>
    <row r="11" spans="1:13" x14ac:dyDescent="0.3">
      <c r="A11" s="2" t="s">
        <v>2055</v>
      </c>
      <c r="B11" s="2" t="s">
        <v>2056</v>
      </c>
      <c r="C11" s="2" t="s">
        <v>1488</v>
      </c>
      <c r="D11" s="2" t="s">
        <v>1489</v>
      </c>
      <c r="E11" s="2" t="s">
        <v>871</v>
      </c>
      <c r="F11" s="2" t="s">
        <v>870</v>
      </c>
      <c r="G11" s="2" t="s">
        <v>816</v>
      </c>
      <c r="H11" s="2">
        <v>26</v>
      </c>
      <c r="I11" s="3">
        <v>10500</v>
      </c>
      <c r="J11" s="3">
        <v>14000</v>
      </c>
      <c r="K11" s="3">
        <f t="shared" si="0"/>
        <v>364000</v>
      </c>
      <c r="L11" s="3">
        <f t="shared" si="1"/>
        <v>273000</v>
      </c>
      <c r="M11" s="3">
        <f t="shared" si="2"/>
        <v>91000</v>
      </c>
    </row>
    <row r="12" spans="1:13" x14ac:dyDescent="0.3">
      <c r="A12" s="5" t="s">
        <v>2057</v>
      </c>
      <c r="B12" s="5" t="s">
        <v>1705</v>
      </c>
      <c r="C12" s="5" t="s">
        <v>1541</v>
      </c>
      <c r="D12" s="5" t="s">
        <v>1542</v>
      </c>
      <c r="E12" s="5" t="s">
        <v>236</v>
      </c>
      <c r="F12" s="5" t="s">
        <v>235</v>
      </c>
      <c r="G12" s="5" t="s">
        <v>169</v>
      </c>
      <c r="H12" s="5">
        <v>16</v>
      </c>
      <c r="I12" s="6">
        <v>75</v>
      </c>
      <c r="J12" s="6">
        <v>105</v>
      </c>
      <c r="K12" s="6">
        <f t="shared" si="0"/>
        <v>1680</v>
      </c>
      <c r="L12" s="6">
        <f t="shared" si="1"/>
        <v>1200</v>
      </c>
      <c r="M12" s="6">
        <f t="shared" si="2"/>
        <v>480</v>
      </c>
    </row>
    <row r="13" spans="1:13" x14ac:dyDescent="0.3">
      <c r="A13" s="2" t="s">
        <v>2058</v>
      </c>
      <c r="B13" s="2" t="s">
        <v>1842</v>
      </c>
      <c r="C13" s="2" t="s">
        <v>1242</v>
      </c>
      <c r="D13" s="2" t="s">
        <v>1243</v>
      </c>
      <c r="E13" s="2" t="s">
        <v>233</v>
      </c>
      <c r="F13" s="2" t="s">
        <v>232</v>
      </c>
      <c r="G13" s="2" t="s">
        <v>169</v>
      </c>
      <c r="H13" s="2">
        <v>6</v>
      </c>
      <c r="I13" s="3">
        <v>65</v>
      </c>
      <c r="J13" s="3">
        <v>90</v>
      </c>
      <c r="K13" s="3">
        <f t="shared" si="0"/>
        <v>540</v>
      </c>
      <c r="L13" s="3">
        <f t="shared" si="1"/>
        <v>390</v>
      </c>
      <c r="M13" s="3">
        <f t="shared" si="2"/>
        <v>150</v>
      </c>
    </row>
    <row r="14" spans="1:13" x14ac:dyDescent="0.3">
      <c r="A14" s="5" t="s">
        <v>2059</v>
      </c>
      <c r="B14" s="5" t="s">
        <v>1939</v>
      </c>
      <c r="C14" s="5" t="s">
        <v>1611</v>
      </c>
      <c r="D14" s="5" t="s">
        <v>1612</v>
      </c>
      <c r="E14" s="5" t="s">
        <v>287</v>
      </c>
      <c r="F14" s="5" t="s">
        <v>286</v>
      </c>
      <c r="G14" s="5" t="s">
        <v>169</v>
      </c>
      <c r="H14" s="5">
        <v>49</v>
      </c>
      <c r="I14" s="6">
        <v>180</v>
      </c>
      <c r="J14" s="6">
        <v>240</v>
      </c>
      <c r="K14" s="6">
        <f t="shared" si="0"/>
        <v>11760</v>
      </c>
      <c r="L14" s="6">
        <f t="shared" si="1"/>
        <v>8820</v>
      </c>
      <c r="M14" s="6">
        <f t="shared" si="2"/>
        <v>2940</v>
      </c>
    </row>
    <row r="15" spans="1:13" x14ac:dyDescent="0.3">
      <c r="A15" s="2" t="s">
        <v>2060</v>
      </c>
      <c r="B15" s="2" t="s">
        <v>1900</v>
      </c>
      <c r="C15" s="2" t="s">
        <v>1611</v>
      </c>
      <c r="D15" s="2" t="s">
        <v>1612</v>
      </c>
      <c r="E15" s="2" t="s">
        <v>350</v>
      </c>
      <c r="F15" s="2" t="s">
        <v>349</v>
      </c>
      <c r="G15" s="2" t="s">
        <v>330</v>
      </c>
      <c r="H15" s="2">
        <v>17</v>
      </c>
      <c r="I15" s="3">
        <v>2200</v>
      </c>
      <c r="J15" s="3">
        <v>3200</v>
      </c>
      <c r="K15" s="3">
        <f t="shared" si="0"/>
        <v>54400</v>
      </c>
      <c r="L15" s="3">
        <f t="shared" si="1"/>
        <v>37400</v>
      </c>
      <c r="M15" s="3">
        <f t="shared" si="2"/>
        <v>17000</v>
      </c>
    </row>
    <row r="16" spans="1:13" x14ac:dyDescent="0.3">
      <c r="A16" s="5" t="s">
        <v>2061</v>
      </c>
      <c r="B16" s="5" t="s">
        <v>2062</v>
      </c>
      <c r="C16" s="5" t="s">
        <v>1257</v>
      </c>
      <c r="D16" s="5" t="s">
        <v>1258</v>
      </c>
      <c r="E16" s="5" t="s">
        <v>681</v>
      </c>
      <c r="F16" s="5" t="s">
        <v>680</v>
      </c>
      <c r="G16" s="5" t="s">
        <v>609</v>
      </c>
      <c r="H16" s="5">
        <v>2</v>
      </c>
      <c r="I16" s="6">
        <v>650</v>
      </c>
      <c r="J16" s="6">
        <v>1000</v>
      </c>
      <c r="K16" s="6">
        <f t="shared" si="0"/>
        <v>2000</v>
      </c>
      <c r="L16" s="6">
        <f t="shared" si="1"/>
        <v>1300</v>
      </c>
      <c r="M16" s="6">
        <f t="shared" si="2"/>
        <v>700</v>
      </c>
    </row>
    <row r="17" spans="1:13" x14ac:dyDescent="0.3">
      <c r="A17" s="2" t="s">
        <v>2063</v>
      </c>
      <c r="B17" s="2" t="s">
        <v>1713</v>
      </c>
      <c r="C17" s="2" t="s">
        <v>1329</v>
      </c>
      <c r="D17" s="2" t="s">
        <v>1330</v>
      </c>
      <c r="E17" s="2" t="s">
        <v>768</v>
      </c>
      <c r="F17" s="2" t="s">
        <v>767</v>
      </c>
      <c r="G17" s="2" t="s">
        <v>731</v>
      </c>
      <c r="H17" s="2">
        <v>15</v>
      </c>
      <c r="I17" s="3">
        <v>1500</v>
      </c>
      <c r="J17" s="3">
        <v>2400</v>
      </c>
      <c r="K17" s="3">
        <f t="shared" si="0"/>
        <v>36000</v>
      </c>
      <c r="L17" s="3">
        <f t="shared" si="1"/>
        <v>22500</v>
      </c>
      <c r="M17" s="3">
        <f t="shared" si="2"/>
        <v>13500</v>
      </c>
    </row>
    <row r="18" spans="1:13" x14ac:dyDescent="0.3">
      <c r="A18" s="5" t="s">
        <v>2064</v>
      </c>
      <c r="B18" s="5" t="s">
        <v>2011</v>
      </c>
      <c r="C18" s="5" t="s">
        <v>1215</v>
      </c>
      <c r="D18" s="5" t="s">
        <v>1216</v>
      </c>
      <c r="E18" s="5" t="s">
        <v>269</v>
      </c>
      <c r="F18" s="5" t="s">
        <v>268</v>
      </c>
      <c r="G18" s="5" t="s">
        <v>169</v>
      </c>
      <c r="H18" s="5">
        <v>1</v>
      </c>
      <c r="I18" s="6">
        <v>480</v>
      </c>
      <c r="J18" s="6">
        <v>630</v>
      </c>
      <c r="K18" s="6">
        <f t="shared" si="0"/>
        <v>630</v>
      </c>
      <c r="L18" s="6">
        <f t="shared" si="1"/>
        <v>480</v>
      </c>
      <c r="M18" s="6">
        <f t="shared" si="2"/>
        <v>150</v>
      </c>
    </row>
    <row r="19" spans="1:13" x14ac:dyDescent="0.3">
      <c r="A19" s="2" t="s">
        <v>2065</v>
      </c>
      <c r="B19" s="2" t="s">
        <v>2066</v>
      </c>
      <c r="C19" s="2" t="s">
        <v>1374</v>
      </c>
      <c r="D19" s="2" t="s">
        <v>1375</v>
      </c>
      <c r="E19" s="2" t="s">
        <v>677</v>
      </c>
      <c r="F19" s="2" t="s">
        <v>676</v>
      </c>
      <c r="G19" s="2" t="s">
        <v>609</v>
      </c>
      <c r="H19" s="2">
        <v>18</v>
      </c>
      <c r="I19" s="3">
        <v>2800</v>
      </c>
      <c r="J19" s="3">
        <v>4200</v>
      </c>
      <c r="K19" s="3">
        <f t="shared" si="0"/>
        <v>75600</v>
      </c>
      <c r="L19" s="3">
        <f t="shared" si="1"/>
        <v>50400</v>
      </c>
      <c r="M19" s="3">
        <f t="shared" si="2"/>
        <v>25200</v>
      </c>
    </row>
    <row r="20" spans="1:13" x14ac:dyDescent="0.3">
      <c r="A20" s="5" t="s">
        <v>2067</v>
      </c>
      <c r="B20" s="5" t="s">
        <v>2068</v>
      </c>
      <c r="C20" s="5" t="s">
        <v>1582</v>
      </c>
      <c r="D20" s="5" t="s">
        <v>1583</v>
      </c>
      <c r="E20" s="5" t="s">
        <v>756</v>
      </c>
      <c r="F20" s="5" t="s">
        <v>755</v>
      </c>
      <c r="G20" s="5" t="s">
        <v>731</v>
      </c>
      <c r="H20" s="5">
        <v>22</v>
      </c>
      <c r="I20" s="6">
        <v>320</v>
      </c>
      <c r="J20" s="6">
        <v>480</v>
      </c>
      <c r="K20" s="6">
        <f t="shared" si="0"/>
        <v>10560</v>
      </c>
      <c r="L20" s="6">
        <f t="shared" si="1"/>
        <v>7040</v>
      </c>
      <c r="M20" s="6">
        <f t="shared" si="2"/>
        <v>3520</v>
      </c>
    </row>
    <row r="21" spans="1:13" x14ac:dyDescent="0.3">
      <c r="A21" s="2" t="s">
        <v>2069</v>
      </c>
      <c r="B21" s="2" t="s">
        <v>2070</v>
      </c>
      <c r="C21" s="2" t="s">
        <v>1463</v>
      </c>
      <c r="D21" s="2" t="s">
        <v>1464</v>
      </c>
      <c r="E21" s="2" t="s">
        <v>783</v>
      </c>
      <c r="F21" s="2" t="s">
        <v>782</v>
      </c>
      <c r="G21" s="2" t="s">
        <v>731</v>
      </c>
      <c r="H21" s="2">
        <v>10</v>
      </c>
      <c r="I21" s="3">
        <v>50</v>
      </c>
      <c r="J21" s="3">
        <v>80</v>
      </c>
      <c r="K21" s="3">
        <f t="shared" si="0"/>
        <v>800</v>
      </c>
      <c r="L21" s="3">
        <f t="shared" si="1"/>
        <v>500</v>
      </c>
      <c r="M21" s="3">
        <f t="shared" si="2"/>
        <v>300</v>
      </c>
    </row>
    <row r="22" spans="1:13" x14ac:dyDescent="0.3">
      <c r="A22" s="5" t="s">
        <v>2071</v>
      </c>
      <c r="B22" s="5" t="s">
        <v>2072</v>
      </c>
      <c r="C22" s="5" t="s">
        <v>1531</v>
      </c>
      <c r="D22" s="5" t="s">
        <v>1532</v>
      </c>
      <c r="E22" s="5" t="s">
        <v>314</v>
      </c>
      <c r="F22" s="5" t="s">
        <v>313</v>
      </c>
      <c r="G22" s="5" t="s">
        <v>169</v>
      </c>
      <c r="H22" s="5">
        <v>28</v>
      </c>
      <c r="I22" s="6">
        <v>350</v>
      </c>
      <c r="J22" s="6">
        <v>480</v>
      </c>
      <c r="K22" s="6">
        <f t="shared" si="0"/>
        <v>13440</v>
      </c>
      <c r="L22" s="6">
        <f t="shared" si="1"/>
        <v>9800</v>
      </c>
      <c r="M22" s="6">
        <f t="shared" si="2"/>
        <v>3640</v>
      </c>
    </row>
    <row r="23" spans="1:13" x14ac:dyDescent="0.3">
      <c r="A23" s="2" t="s">
        <v>2073</v>
      </c>
      <c r="B23" s="2" t="s">
        <v>1701</v>
      </c>
      <c r="C23" s="2" t="s">
        <v>1434</v>
      </c>
      <c r="D23" s="2" t="s">
        <v>1435</v>
      </c>
      <c r="E23" s="2" t="s">
        <v>195</v>
      </c>
      <c r="F23" s="2" t="s">
        <v>194</v>
      </c>
      <c r="G23" s="2" t="s">
        <v>169</v>
      </c>
      <c r="H23" s="2">
        <v>46</v>
      </c>
      <c r="I23" s="3">
        <v>2000</v>
      </c>
      <c r="J23" s="3">
        <v>2550</v>
      </c>
      <c r="K23" s="3">
        <f t="shared" si="0"/>
        <v>117300</v>
      </c>
      <c r="L23" s="3">
        <f t="shared" si="1"/>
        <v>92000</v>
      </c>
      <c r="M23" s="3">
        <f t="shared" si="2"/>
        <v>25300</v>
      </c>
    </row>
    <row r="24" spans="1:13" x14ac:dyDescent="0.3">
      <c r="A24" s="5" t="s">
        <v>2074</v>
      </c>
      <c r="B24" s="5" t="s">
        <v>1850</v>
      </c>
      <c r="C24" s="5" t="s">
        <v>1263</v>
      </c>
      <c r="D24" s="5" t="s">
        <v>1264</v>
      </c>
      <c r="E24" s="5" t="s">
        <v>753</v>
      </c>
      <c r="F24" s="5" t="s">
        <v>752</v>
      </c>
      <c r="G24" s="5" t="s">
        <v>731</v>
      </c>
      <c r="H24" s="5">
        <v>50</v>
      </c>
      <c r="I24" s="6">
        <v>120</v>
      </c>
      <c r="J24" s="6">
        <v>185</v>
      </c>
      <c r="K24" s="6">
        <f t="shared" si="0"/>
        <v>9250</v>
      </c>
      <c r="L24" s="6">
        <f t="shared" si="1"/>
        <v>6000</v>
      </c>
      <c r="M24" s="6">
        <f t="shared" si="2"/>
        <v>3250</v>
      </c>
    </row>
    <row r="25" spans="1:13" x14ac:dyDescent="0.3">
      <c r="A25" s="2" t="s">
        <v>2075</v>
      </c>
      <c r="B25" s="2" t="s">
        <v>2076</v>
      </c>
      <c r="C25" s="2" t="s">
        <v>1403</v>
      </c>
      <c r="D25" s="2" t="s">
        <v>1404</v>
      </c>
      <c r="E25" s="2" t="s">
        <v>467</v>
      </c>
      <c r="F25" s="2" t="s">
        <v>466</v>
      </c>
      <c r="G25" s="2" t="s">
        <v>330</v>
      </c>
      <c r="H25" s="2">
        <v>15</v>
      </c>
      <c r="I25" s="3">
        <v>550</v>
      </c>
      <c r="J25" s="3">
        <v>900</v>
      </c>
      <c r="K25" s="3">
        <f t="shared" si="0"/>
        <v>13500</v>
      </c>
      <c r="L25" s="3">
        <f t="shared" si="1"/>
        <v>8250</v>
      </c>
      <c r="M25" s="3">
        <f t="shared" si="2"/>
        <v>5250</v>
      </c>
    </row>
    <row r="26" spans="1:13" x14ac:dyDescent="0.3">
      <c r="A26" s="5" t="s">
        <v>2077</v>
      </c>
      <c r="B26" s="5" t="s">
        <v>1741</v>
      </c>
      <c r="C26" s="5" t="s">
        <v>1209</v>
      </c>
      <c r="D26" s="5" t="s">
        <v>1210</v>
      </c>
      <c r="E26" s="5" t="s">
        <v>665</v>
      </c>
      <c r="F26" s="5" t="s">
        <v>664</v>
      </c>
      <c r="G26" s="5" t="s">
        <v>609</v>
      </c>
      <c r="H26" s="5">
        <v>34</v>
      </c>
      <c r="I26" s="6">
        <v>85</v>
      </c>
      <c r="J26" s="6">
        <v>130</v>
      </c>
      <c r="K26" s="6">
        <f t="shared" si="0"/>
        <v>4420</v>
      </c>
      <c r="L26" s="6">
        <f t="shared" si="1"/>
        <v>2890</v>
      </c>
      <c r="M26" s="6">
        <f t="shared" si="2"/>
        <v>1530</v>
      </c>
    </row>
    <row r="27" spans="1:13" x14ac:dyDescent="0.3">
      <c r="A27" s="2" t="s">
        <v>2078</v>
      </c>
      <c r="B27" s="2" t="s">
        <v>1795</v>
      </c>
      <c r="C27" s="2" t="s">
        <v>1294</v>
      </c>
      <c r="D27" s="2" t="s">
        <v>1295</v>
      </c>
      <c r="E27" s="2" t="s">
        <v>477</v>
      </c>
      <c r="F27" s="2" t="s">
        <v>476</v>
      </c>
      <c r="G27" s="2" t="s">
        <v>469</v>
      </c>
      <c r="H27" s="2">
        <v>12</v>
      </c>
      <c r="I27" s="3">
        <v>840</v>
      </c>
      <c r="J27" s="3">
        <v>1040</v>
      </c>
      <c r="K27" s="3">
        <f t="shared" si="0"/>
        <v>12480</v>
      </c>
      <c r="L27" s="3">
        <f t="shared" si="1"/>
        <v>10080</v>
      </c>
      <c r="M27" s="3">
        <f t="shared" si="2"/>
        <v>2400</v>
      </c>
    </row>
    <row r="28" spans="1:13" x14ac:dyDescent="0.3">
      <c r="A28" s="5" t="s">
        <v>2079</v>
      </c>
      <c r="B28" s="5" t="s">
        <v>1705</v>
      </c>
      <c r="C28" s="5" t="s">
        <v>1369</v>
      </c>
      <c r="D28" s="5" t="s">
        <v>1370</v>
      </c>
      <c r="E28" s="5" t="s">
        <v>144</v>
      </c>
      <c r="F28" s="5" t="s">
        <v>143</v>
      </c>
      <c r="G28" s="5" t="s">
        <v>17</v>
      </c>
      <c r="H28" s="5">
        <v>1</v>
      </c>
      <c r="I28" s="6">
        <v>65000</v>
      </c>
      <c r="J28" s="6">
        <v>80000</v>
      </c>
      <c r="K28" s="6">
        <f t="shared" si="0"/>
        <v>80000</v>
      </c>
      <c r="L28" s="6">
        <f t="shared" si="1"/>
        <v>65000</v>
      </c>
      <c r="M28" s="6">
        <f t="shared" si="2"/>
        <v>15000</v>
      </c>
    </row>
    <row r="29" spans="1:13" x14ac:dyDescent="0.3">
      <c r="A29" s="2" t="s">
        <v>2080</v>
      </c>
      <c r="B29" s="2" t="s">
        <v>2081</v>
      </c>
      <c r="C29" s="2" t="s">
        <v>1384</v>
      </c>
      <c r="D29" s="2" t="s">
        <v>1385</v>
      </c>
      <c r="E29" s="2" t="s">
        <v>862</v>
      </c>
      <c r="F29" s="2" t="s">
        <v>861</v>
      </c>
      <c r="G29" s="2" t="s">
        <v>816</v>
      </c>
      <c r="H29" s="2">
        <v>44</v>
      </c>
      <c r="I29" s="3">
        <v>14000</v>
      </c>
      <c r="J29" s="3">
        <v>18500</v>
      </c>
      <c r="K29" s="3">
        <f t="shared" si="0"/>
        <v>814000</v>
      </c>
      <c r="L29" s="3">
        <f t="shared" si="1"/>
        <v>616000</v>
      </c>
      <c r="M29" s="3">
        <f t="shared" si="2"/>
        <v>198000</v>
      </c>
    </row>
    <row r="30" spans="1:13" x14ac:dyDescent="0.3">
      <c r="A30" s="5" t="s">
        <v>2082</v>
      </c>
      <c r="B30" s="5" t="s">
        <v>2083</v>
      </c>
      <c r="C30" s="5" t="s">
        <v>1512</v>
      </c>
      <c r="D30" s="5" t="s">
        <v>1513</v>
      </c>
      <c r="E30" s="5" t="s">
        <v>502</v>
      </c>
      <c r="F30" s="5" t="s">
        <v>501</v>
      </c>
      <c r="G30" s="5" t="s">
        <v>469</v>
      </c>
      <c r="H30" s="5">
        <v>49</v>
      </c>
      <c r="I30" s="6">
        <v>260</v>
      </c>
      <c r="J30" s="6">
        <v>320</v>
      </c>
      <c r="K30" s="6">
        <f t="shared" si="0"/>
        <v>15680</v>
      </c>
      <c r="L30" s="6">
        <f t="shared" si="1"/>
        <v>12740</v>
      </c>
      <c r="M30" s="6">
        <f t="shared" si="2"/>
        <v>2940</v>
      </c>
    </row>
    <row r="31" spans="1:13" x14ac:dyDescent="0.3">
      <c r="A31" s="2" t="s">
        <v>2084</v>
      </c>
      <c r="B31" s="2" t="s">
        <v>1978</v>
      </c>
      <c r="C31" s="2" t="s">
        <v>1596</v>
      </c>
      <c r="D31" s="2" t="s">
        <v>1597</v>
      </c>
      <c r="E31" s="2" t="s">
        <v>897</v>
      </c>
      <c r="F31" s="2" t="s">
        <v>896</v>
      </c>
      <c r="G31" s="2" t="s">
        <v>816</v>
      </c>
      <c r="H31" s="2">
        <v>11</v>
      </c>
      <c r="I31" s="3">
        <v>5500</v>
      </c>
      <c r="J31" s="3">
        <v>8000</v>
      </c>
      <c r="K31" s="3">
        <f t="shared" si="0"/>
        <v>88000</v>
      </c>
      <c r="L31" s="3">
        <f t="shared" si="1"/>
        <v>60500</v>
      </c>
      <c r="M31" s="3">
        <f t="shared" si="2"/>
        <v>27500</v>
      </c>
    </row>
    <row r="32" spans="1:13" x14ac:dyDescent="0.3">
      <c r="A32" s="5" t="s">
        <v>2085</v>
      </c>
      <c r="B32" s="5" t="s">
        <v>1813</v>
      </c>
      <c r="C32" s="5" t="s">
        <v>1531</v>
      </c>
      <c r="D32" s="5" t="s">
        <v>1532</v>
      </c>
      <c r="E32" s="5" t="s">
        <v>499</v>
      </c>
      <c r="F32" s="5" t="s">
        <v>498</v>
      </c>
      <c r="G32" s="5" t="s">
        <v>469</v>
      </c>
      <c r="H32" s="5">
        <v>22</v>
      </c>
      <c r="I32" s="6">
        <v>200</v>
      </c>
      <c r="J32" s="6">
        <v>280</v>
      </c>
      <c r="K32" s="6">
        <f t="shared" si="0"/>
        <v>6160</v>
      </c>
      <c r="L32" s="6">
        <f t="shared" si="1"/>
        <v>4400</v>
      </c>
      <c r="M32" s="6">
        <f t="shared" si="2"/>
        <v>1760</v>
      </c>
    </row>
    <row r="33" spans="1:13" x14ac:dyDescent="0.3">
      <c r="A33" s="2" t="s">
        <v>2086</v>
      </c>
      <c r="B33" s="2" t="s">
        <v>2087</v>
      </c>
      <c r="C33" s="2" t="s">
        <v>1541</v>
      </c>
      <c r="D33" s="2" t="s">
        <v>1542</v>
      </c>
      <c r="E33" s="2" t="s">
        <v>99</v>
      </c>
      <c r="F33" s="2" t="s">
        <v>98</v>
      </c>
      <c r="G33" s="2" t="s">
        <v>17</v>
      </c>
      <c r="H33" s="2">
        <v>48</v>
      </c>
      <c r="I33" s="3">
        <v>78000</v>
      </c>
      <c r="J33" s="3">
        <v>98000</v>
      </c>
      <c r="K33" s="3">
        <f t="shared" si="0"/>
        <v>4704000</v>
      </c>
      <c r="L33" s="3">
        <f t="shared" si="1"/>
        <v>3744000</v>
      </c>
      <c r="M33" s="3">
        <f t="shared" si="2"/>
        <v>960000</v>
      </c>
    </row>
    <row r="34" spans="1:13" x14ac:dyDescent="0.3">
      <c r="A34" s="5" t="s">
        <v>2088</v>
      </c>
      <c r="B34" s="5" t="s">
        <v>1964</v>
      </c>
      <c r="C34" s="5" t="s">
        <v>1394</v>
      </c>
      <c r="D34" s="5" t="s">
        <v>1395</v>
      </c>
      <c r="E34" s="5" t="s">
        <v>118</v>
      </c>
      <c r="F34" s="5" t="s">
        <v>117</v>
      </c>
      <c r="G34" s="5" t="s">
        <v>17</v>
      </c>
      <c r="H34" s="5">
        <v>17</v>
      </c>
      <c r="I34" s="6">
        <v>55000</v>
      </c>
      <c r="J34" s="6">
        <v>68000</v>
      </c>
      <c r="K34" s="6">
        <f t="shared" si="0"/>
        <v>1156000</v>
      </c>
      <c r="L34" s="6">
        <f t="shared" si="1"/>
        <v>935000</v>
      </c>
      <c r="M34" s="6">
        <f t="shared" si="2"/>
        <v>221000</v>
      </c>
    </row>
    <row r="35" spans="1:13" x14ac:dyDescent="0.3">
      <c r="A35" s="2" t="s">
        <v>2089</v>
      </c>
      <c r="B35" s="2" t="s">
        <v>2090</v>
      </c>
      <c r="C35" s="2" t="s">
        <v>1592</v>
      </c>
      <c r="D35" s="2" t="s">
        <v>1593</v>
      </c>
      <c r="E35" s="2" t="s">
        <v>110</v>
      </c>
      <c r="F35" s="2" t="s">
        <v>109</v>
      </c>
      <c r="G35" s="2" t="s">
        <v>17</v>
      </c>
      <c r="H35" s="2">
        <v>50</v>
      </c>
      <c r="I35" s="3">
        <v>68000</v>
      </c>
      <c r="J35" s="3">
        <v>85000</v>
      </c>
      <c r="K35" s="3">
        <f t="shared" si="0"/>
        <v>4250000</v>
      </c>
      <c r="L35" s="3">
        <f t="shared" si="1"/>
        <v>3400000</v>
      </c>
      <c r="M35" s="3">
        <f t="shared" si="2"/>
        <v>850000</v>
      </c>
    </row>
    <row r="36" spans="1:13" x14ac:dyDescent="0.3">
      <c r="A36" s="5" t="s">
        <v>2091</v>
      </c>
      <c r="B36" s="5" t="s">
        <v>2092</v>
      </c>
      <c r="C36" s="5" t="s">
        <v>1204</v>
      </c>
      <c r="D36" s="5" t="s">
        <v>1205</v>
      </c>
      <c r="E36" s="5" t="s">
        <v>724</v>
      </c>
      <c r="F36" s="5" t="s">
        <v>723</v>
      </c>
      <c r="G36" s="5" t="s">
        <v>609</v>
      </c>
      <c r="H36" s="5">
        <v>2</v>
      </c>
      <c r="I36" s="6">
        <v>320</v>
      </c>
      <c r="J36" s="6">
        <v>470</v>
      </c>
      <c r="K36" s="6">
        <f t="shared" si="0"/>
        <v>940</v>
      </c>
      <c r="L36" s="6">
        <f t="shared" si="1"/>
        <v>640</v>
      </c>
      <c r="M36" s="6">
        <f t="shared" si="2"/>
        <v>300</v>
      </c>
    </row>
    <row r="37" spans="1:13" x14ac:dyDescent="0.3">
      <c r="A37" s="2" t="s">
        <v>2093</v>
      </c>
      <c r="B37" s="2" t="s">
        <v>1795</v>
      </c>
      <c r="C37" s="2" t="s">
        <v>1502</v>
      </c>
      <c r="D37" s="2" t="s">
        <v>1503</v>
      </c>
      <c r="E37" s="2" t="s">
        <v>249</v>
      </c>
      <c r="F37" s="2" t="s">
        <v>248</v>
      </c>
      <c r="G37" s="2" t="s">
        <v>169</v>
      </c>
      <c r="H37" s="2">
        <v>33</v>
      </c>
      <c r="I37" s="3">
        <v>1350</v>
      </c>
      <c r="J37" s="3">
        <v>1750</v>
      </c>
      <c r="K37" s="3">
        <f t="shared" si="0"/>
        <v>57750</v>
      </c>
      <c r="L37" s="3">
        <f t="shared" si="1"/>
        <v>44550</v>
      </c>
      <c r="M37" s="3">
        <f t="shared" si="2"/>
        <v>13200</v>
      </c>
    </row>
    <row r="38" spans="1:13" x14ac:dyDescent="0.3">
      <c r="A38" s="5" t="s">
        <v>2094</v>
      </c>
      <c r="B38" s="5" t="s">
        <v>1966</v>
      </c>
      <c r="C38" s="5" t="s">
        <v>1284</v>
      </c>
      <c r="D38" s="5" t="s">
        <v>1285</v>
      </c>
      <c r="E38" s="5" t="s">
        <v>34</v>
      </c>
      <c r="F38" s="5" t="s">
        <v>33</v>
      </c>
      <c r="G38" s="5" t="s">
        <v>17</v>
      </c>
      <c r="H38" s="5">
        <v>2</v>
      </c>
      <c r="I38" s="6">
        <v>185000</v>
      </c>
      <c r="J38" s="6">
        <v>215000</v>
      </c>
      <c r="K38" s="6">
        <f t="shared" si="0"/>
        <v>430000</v>
      </c>
      <c r="L38" s="6">
        <f t="shared" si="1"/>
        <v>370000</v>
      </c>
      <c r="M38" s="6">
        <f t="shared" si="2"/>
        <v>60000</v>
      </c>
    </row>
    <row r="39" spans="1:13" x14ac:dyDescent="0.3">
      <c r="A39" s="2" t="s">
        <v>2095</v>
      </c>
      <c r="B39" s="2" t="s">
        <v>2096</v>
      </c>
      <c r="C39" s="2" t="s">
        <v>1512</v>
      </c>
      <c r="D39" s="2" t="s">
        <v>1513</v>
      </c>
      <c r="E39" s="2" t="s">
        <v>804</v>
      </c>
      <c r="F39" s="2" t="s">
        <v>803</v>
      </c>
      <c r="G39" s="2" t="s">
        <v>731</v>
      </c>
      <c r="H39" s="2">
        <v>9</v>
      </c>
      <c r="I39" s="3">
        <v>85</v>
      </c>
      <c r="J39" s="3">
        <v>135</v>
      </c>
      <c r="K39" s="3">
        <f t="shared" si="0"/>
        <v>1215</v>
      </c>
      <c r="L39" s="3">
        <f t="shared" si="1"/>
        <v>765</v>
      </c>
      <c r="M39" s="3">
        <f t="shared" si="2"/>
        <v>450</v>
      </c>
    </row>
    <row r="40" spans="1:13" x14ac:dyDescent="0.3">
      <c r="A40" s="5" t="s">
        <v>2097</v>
      </c>
      <c r="B40" s="5" t="s">
        <v>1801</v>
      </c>
      <c r="C40" s="5" t="s">
        <v>1444</v>
      </c>
      <c r="D40" s="5" t="s">
        <v>1445</v>
      </c>
      <c r="E40" s="5" t="s">
        <v>155</v>
      </c>
      <c r="F40" s="5" t="s">
        <v>154</v>
      </c>
      <c r="G40" s="5" t="s">
        <v>17</v>
      </c>
      <c r="H40" s="5">
        <v>18</v>
      </c>
      <c r="I40" s="6">
        <v>45000</v>
      </c>
      <c r="J40" s="6">
        <v>56000</v>
      </c>
      <c r="K40" s="6">
        <f t="shared" si="0"/>
        <v>1008000</v>
      </c>
      <c r="L40" s="6">
        <f t="shared" si="1"/>
        <v>810000</v>
      </c>
      <c r="M40" s="6">
        <f t="shared" si="2"/>
        <v>198000</v>
      </c>
    </row>
    <row r="41" spans="1:13" x14ac:dyDescent="0.3">
      <c r="A41" s="2" t="s">
        <v>2098</v>
      </c>
      <c r="B41" s="2" t="s">
        <v>1964</v>
      </c>
      <c r="C41" s="2" t="s">
        <v>1242</v>
      </c>
      <c r="D41" s="2" t="s">
        <v>1243</v>
      </c>
      <c r="E41" s="2" t="s">
        <v>431</v>
      </c>
      <c r="F41" s="2" t="s">
        <v>430</v>
      </c>
      <c r="G41" s="2" t="s">
        <v>330</v>
      </c>
      <c r="H41" s="2">
        <v>14</v>
      </c>
      <c r="I41" s="3">
        <v>2200</v>
      </c>
      <c r="J41" s="3">
        <v>3400</v>
      </c>
      <c r="K41" s="3">
        <f t="shared" si="0"/>
        <v>47600</v>
      </c>
      <c r="L41" s="3">
        <f t="shared" si="1"/>
        <v>30800</v>
      </c>
      <c r="M41" s="3">
        <f t="shared" si="2"/>
        <v>16800</v>
      </c>
    </row>
    <row r="42" spans="1:13" x14ac:dyDescent="0.3">
      <c r="A42" s="5" t="s">
        <v>2099</v>
      </c>
      <c r="B42" s="5" t="s">
        <v>1693</v>
      </c>
      <c r="C42" s="5" t="s">
        <v>1324</v>
      </c>
      <c r="D42" s="5" t="s">
        <v>1325</v>
      </c>
      <c r="E42" s="5" t="s">
        <v>230</v>
      </c>
      <c r="F42" s="5" t="s">
        <v>229</v>
      </c>
      <c r="G42" s="5" t="s">
        <v>169</v>
      </c>
      <c r="H42" s="5">
        <v>7</v>
      </c>
      <c r="I42" s="6">
        <v>55</v>
      </c>
      <c r="J42" s="6">
        <v>80</v>
      </c>
      <c r="K42" s="6">
        <f t="shared" si="0"/>
        <v>560</v>
      </c>
      <c r="L42" s="6">
        <f t="shared" si="1"/>
        <v>385</v>
      </c>
      <c r="M42" s="6">
        <f t="shared" si="2"/>
        <v>175</v>
      </c>
    </row>
    <row r="43" spans="1:13" x14ac:dyDescent="0.3">
      <c r="A43" s="2" t="s">
        <v>2100</v>
      </c>
      <c r="B43" s="2" t="s">
        <v>2092</v>
      </c>
      <c r="C43" s="2" t="s">
        <v>1531</v>
      </c>
      <c r="D43" s="2" t="s">
        <v>1532</v>
      </c>
      <c r="E43" s="2" t="s">
        <v>155</v>
      </c>
      <c r="F43" s="2" t="s">
        <v>154</v>
      </c>
      <c r="G43" s="2" t="s">
        <v>17</v>
      </c>
      <c r="H43" s="2">
        <v>25</v>
      </c>
      <c r="I43" s="3">
        <v>45000</v>
      </c>
      <c r="J43" s="3">
        <v>56000</v>
      </c>
      <c r="K43" s="3">
        <f t="shared" si="0"/>
        <v>1400000</v>
      </c>
      <c r="L43" s="3">
        <f t="shared" si="1"/>
        <v>1125000</v>
      </c>
      <c r="M43" s="3">
        <f t="shared" si="2"/>
        <v>275000</v>
      </c>
    </row>
    <row r="44" spans="1:13" x14ac:dyDescent="0.3">
      <c r="A44" s="5" t="s">
        <v>2101</v>
      </c>
      <c r="B44" s="5" t="s">
        <v>1733</v>
      </c>
      <c r="C44" s="5" t="s">
        <v>1232</v>
      </c>
      <c r="D44" s="5" t="s">
        <v>1233</v>
      </c>
      <c r="E44" s="5" t="s">
        <v>707</v>
      </c>
      <c r="F44" s="5" t="s">
        <v>706</v>
      </c>
      <c r="G44" s="5" t="s">
        <v>609</v>
      </c>
      <c r="H44" s="5">
        <v>29</v>
      </c>
      <c r="I44" s="6">
        <v>220</v>
      </c>
      <c r="J44" s="6">
        <v>310</v>
      </c>
      <c r="K44" s="6">
        <f t="shared" si="0"/>
        <v>8990</v>
      </c>
      <c r="L44" s="6">
        <f t="shared" si="1"/>
        <v>6380</v>
      </c>
      <c r="M44" s="6">
        <f t="shared" si="2"/>
        <v>2610</v>
      </c>
    </row>
    <row r="45" spans="1:13" x14ac:dyDescent="0.3">
      <c r="A45" s="2" t="s">
        <v>2102</v>
      </c>
      <c r="B45" s="2" t="s">
        <v>2103</v>
      </c>
      <c r="C45" s="2" t="s">
        <v>1294</v>
      </c>
      <c r="D45" s="2" t="s">
        <v>1295</v>
      </c>
      <c r="E45" s="2" t="s">
        <v>20</v>
      </c>
      <c r="F45" s="2" t="s">
        <v>19</v>
      </c>
      <c r="G45" s="2" t="s">
        <v>17</v>
      </c>
      <c r="H45" s="2">
        <v>13</v>
      </c>
      <c r="I45" s="3">
        <v>75000</v>
      </c>
      <c r="J45" s="3">
        <v>95000</v>
      </c>
      <c r="K45" s="3">
        <f t="shared" si="0"/>
        <v>1235000</v>
      </c>
      <c r="L45" s="3">
        <f t="shared" si="1"/>
        <v>975000</v>
      </c>
      <c r="M45" s="3">
        <f t="shared" si="2"/>
        <v>260000</v>
      </c>
    </row>
    <row r="46" spans="1:13" x14ac:dyDescent="0.3">
      <c r="A46" s="5" t="s">
        <v>2104</v>
      </c>
      <c r="B46" s="5" t="s">
        <v>2105</v>
      </c>
      <c r="C46" s="5" t="s">
        <v>1434</v>
      </c>
      <c r="D46" s="5" t="s">
        <v>1435</v>
      </c>
      <c r="E46" s="5" t="s">
        <v>355</v>
      </c>
      <c r="F46" s="5" t="s">
        <v>354</v>
      </c>
      <c r="G46" s="5" t="s">
        <v>330</v>
      </c>
      <c r="H46" s="5">
        <v>7</v>
      </c>
      <c r="I46" s="6">
        <v>1400</v>
      </c>
      <c r="J46" s="6">
        <v>2100</v>
      </c>
      <c r="K46" s="6">
        <f t="shared" si="0"/>
        <v>14700</v>
      </c>
      <c r="L46" s="6">
        <f t="shared" si="1"/>
        <v>9800</v>
      </c>
      <c r="M46" s="6">
        <f t="shared" si="2"/>
        <v>4900</v>
      </c>
    </row>
    <row r="47" spans="1:13" x14ac:dyDescent="0.3">
      <c r="A47" s="2" t="s">
        <v>2106</v>
      </c>
      <c r="B47" s="2" t="s">
        <v>2107</v>
      </c>
      <c r="C47" s="2" t="s">
        <v>1412</v>
      </c>
      <c r="D47" s="2" t="s">
        <v>1413</v>
      </c>
      <c r="E47" s="2" t="s">
        <v>236</v>
      </c>
      <c r="F47" s="2" t="s">
        <v>235</v>
      </c>
      <c r="G47" s="2" t="s">
        <v>169</v>
      </c>
      <c r="H47" s="2">
        <v>40</v>
      </c>
      <c r="I47" s="3">
        <v>75</v>
      </c>
      <c r="J47" s="3">
        <v>105</v>
      </c>
      <c r="K47" s="3">
        <f t="shared" si="0"/>
        <v>4200</v>
      </c>
      <c r="L47" s="3">
        <f t="shared" si="1"/>
        <v>3000</v>
      </c>
      <c r="M47" s="3">
        <f t="shared" si="2"/>
        <v>1200</v>
      </c>
    </row>
    <row r="48" spans="1:13" x14ac:dyDescent="0.3">
      <c r="A48" s="5" t="s">
        <v>2108</v>
      </c>
      <c r="B48" s="5" t="s">
        <v>2109</v>
      </c>
      <c r="C48" s="5" t="s">
        <v>1601</v>
      </c>
      <c r="D48" s="5" t="s">
        <v>1602</v>
      </c>
      <c r="E48" s="5" t="s">
        <v>172</v>
      </c>
      <c r="F48" s="5" t="s">
        <v>171</v>
      </c>
      <c r="G48" s="5" t="s">
        <v>169</v>
      </c>
      <c r="H48" s="5">
        <v>47</v>
      </c>
      <c r="I48" s="6">
        <v>3800</v>
      </c>
      <c r="J48" s="6">
        <v>4800</v>
      </c>
      <c r="K48" s="6">
        <f t="shared" si="0"/>
        <v>225600</v>
      </c>
      <c r="L48" s="6">
        <f t="shared" si="1"/>
        <v>178600</v>
      </c>
      <c r="M48" s="6">
        <f t="shared" si="2"/>
        <v>47000</v>
      </c>
    </row>
    <row r="49" spans="1:13" x14ac:dyDescent="0.3">
      <c r="A49" s="2" t="s">
        <v>2110</v>
      </c>
      <c r="B49" s="2" t="s">
        <v>2111</v>
      </c>
      <c r="C49" s="2" t="s">
        <v>1359</v>
      </c>
      <c r="D49" s="2" t="s">
        <v>1360</v>
      </c>
      <c r="E49" s="2" t="s">
        <v>26</v>
      </c>
      <c r="F49" s="2" t="s">
        <v>25</v>
      </c>
      <c r="G49" s="2" t="s">
        <v>17</v>
      </c>
      <c r="H49" s="2">
        <v>4</v>
      </c>
      <c r="I49" s="3">
        <v>55000</v>
      </c>
      <c r="J49" s="3">
        <v>68000</v>
      </c>
      <c r="K49" s="3">
        <f t="shared" si="0"/>
        <v>272000</v>
      </c>
      <c r="L49" s="3">
        <f t="shared" si="1"/>
        <v>220000</v>
      </c>
      <c r="M49" s="3">
        <f t="shared" si="2"/>
        <v>52000</v>
      </c>
    </row>
    <row r="50" spans="1:13" x14ac:dyDescent="0.3">
      <c r="A50" s="5" t="s">
        <v>2112</v>
      </c>
      <c r="B50" s="5" t="s">
        <v>2113</v>
      </c>
      <c r="C50" s="5" t="s">
        <v>1639</v>
      </c>
      <c r="D50" s="5" t="s">
        <v>1640</v>
      </c>
      <c r="E50" s="5" t="s">
        <v>416</v>
      </c>
      <c r="F50" s="5" t="s">
        <v>415</v>
      </c>
      <c r="G50" s="5" t="s">
        <v>330</v>
      </c>
      <c r="H50" s="5">
        <v>19</v>
      </c>
      <c r="I50" s="6">
        <v>2800</v>
      </c>
      <c r="J50" s="6">
        <v>4200</v>
      </c>
      <c r="K50" s="6">
        <f t="shared" si="0"/>
        <v>79800</v>
      </c>
      <c r="L50" s="6">
        <f t="shared" si="1"/>
        <v>53200</v>
      </c>
      <c r="M50" s="6">
        <f t="shared" si="2"/>
        <v>26600</v>
      </c>
    </row>
    <row r="51" spans="1:13" x14ac:dyDescent="0.3">
      <c r="A51" s="2" t="s">
        <v>2114</v>
      </c>
      <c r="B51" s="2" t="s">
        <v>1805</v>
      </c>
      <c r="C51" s="2" t="s">
        <v>1242</v>
      </c>
      <c r="D51" s="2" t="s">
        <v>1243</v>
      </c>
      <c r="E51" s="2" t="s">
        <v>508</v>
      </c>
      <c r="F51" s="2" t="s">
        <v>507</v>
      </c>
      <c r="G51" s="2" t="s">
        <v>469</v>
      </c>
      <c r="H51" s="2">
        <v>5</v>
      </c>
      <c r="I51" s="3">
        <v>3800</v>
      </c>
      <c r="J51" s="3">
        <v>5000</v>
      </c>
      <c r="K51" s="3">
        <f t="shared" si="0"/>
        <v>25000</v>
      </c>
      <c r="L51" s="3">
        <f t="shared" si="1"/>
        <v>19000</v>
      </c>
      <c r="M51" s="3">
        <f t="shared" si="2"/>
        <v>6000</v>
      </c>
    </row>
    <row r="52" spans="1:13" x14ac:dyDescent="0.3">
      <c r="A52" s="5" t="s">
        <v>2115</v>
      </c>
      <c r="B52" s="5" t="s">
        <v>1789</v>
      </c>
      <c r="C52" s="5" t="s">
        <v>1319</v>
      </c>
      <c r="D52" s="5" t="s">
        <v>1320</v>
      </c>
      <c r="E52" s="5" t="s">
        <v>516</v>
      </c>
      <c r="F52" s="5" t="s">
        <v>515</v>
      </c>
      <c r="G52" s="5" t="s">
        <v>469</v>
      </c>
      <c r="H52" s="5">
        <v>1</v>
      </c>
      <c r="I52" s="6">
        <v>3600</v>
      </c>
      <c r="J52" s="6">
        <v>4800</v>
      </c>
      <c r="K52" s="6">
        <f t="shared" si="0"/>
        <v>4800</v>
      </c>
      <c r="L52" s="6">
        <f t="shared" si="1"/>
        <v>3600</v>
      </c>
      <c r="M52" s="6">
        <f t="shared" si="2"/>
        <v>1200</v>
      </c>
    </row>
    <row r="53" spans="1:13" x14ac:dyDescent="0.3">
      <c r="A53" s="2" t="s">
        <v>2116</v>
      </c>
      <c r="B53" s="2" t="s">
        <v>1966</v>
      </c>
      <c r="C53" s="2" t="s">
        <v>1512</v>
      </c>
      <c r="D53" s="2" t="s">
        <v>1513</v>
      </c>
      <c r="E53" s="2" t="s">
        <v>794</v>
      </c>
      <c r="F53" s="2" t="s">
        <v>793</v>
      </c>
      <c r="G53" s="2" t="s">
        <v>731</v>
      </c>
      <c r="H53" s="2">
        <v>5</v>
      </c>
      <c r="I53" s="3">
        <v>550</v>
      </c>
      <c r="J53" s="3">
        <v>830</v>
      </c>
      <c r="K53" s="3">
        <f t="shared" si="0"/>
        <v>4150</v>
      </c>
      <c r="L53" s="3">
        <f t="shared" si="1"/>
        <v>2750</v>
      </c>
      <c r="M53" s="3">
        <f t="shared" si="2"/>
        <v>1400</v>
      </c>
    </row>
    <row r="54" spans="1:13" x14ac:dyDescent="0.3">
      <c r="A54" s="5" t="s">
        <v>2117</v>
      </c>
      <c r="B54" s="5" t="s">
        <v>2118</v>
      </c>
      <c r="C54" s="5" t="s">
        <v>1399</v>
      </c>
      <c r="D54" s="5" t="s">
        <v>1400</v>
      </c>
      <c r="E54" s="5" t="s">
        <v>681</v>
      </c>
      <c r="F54" s="5" t="s">
        <v>680</v>
      </c>
      <c r="G54" s="5" t="s">
        <v>609</v>
      </c>
      <c r="H54" s="5">
        <v>46</v>
      </c>
      <c r="I54" s="6">
        <v>650</v>
      </c>
      <c r="J54" s="6">
        <v>1000</v>
      </c>
      <c r="K54" s="6">
        <f t="shared" si="0"/>
        <v>46000</v>
      </c>
      <c r="L54" s="6">
        <f t="shared" si="1"/>
        <v>29900</v>
      </c>
      <c r="M54" s="6">
        <f t="shared" si="2"/>
        <v>16100</v>
      </c>
    </row>
    <row r="55" spans="1:13" x14ac:dyDescent="0.3">
      <c r="A55" s="2" t="s">
        <v>2119</v>
      </c>
      <c r="B55" s="2" t="s">
        <v>1837</v>
      </c>
      <c r="C55" s="2" t="s">
        <v>1359</v>
      </c>
      <c r="D55" s="2" t="s">
        <v>1360</v>
      </c>
      <c r="E55" s="2" t="s">
        <v>208</v>
      </c>
      <c r="F55" s="2" t="s">
        <v>207</v>
      </c>
      <c r="G55" s="2" t="s">
        <v>169</v>
      </c>
      <c r="H55" s="2">
        <v>19</v>
      </c>
      <c r="I55" s="3">
        <v>1100</v>
      </c>
      <c r="J55" s="3">
        <v>1450</v>
      </c>
      <c r="K55" s="3">
        <f t="shared" si="0"/>
        <v>27550</v>
      </c>
      <c r="L55" s="3">
        <f t="shared" si="1"/>
        <v>20900</v>
      </c>
      <c r="M55" s="3">
        <f t="shared" si="2"/>
        <v>6650</v>
      </c>
    </row>
    <row r="56" spans="1:13" x14ac:dyDescent="0.3">
      <c r="A56" s="5" t="s">
        <v>2120</v>
      </c>
      <c r="B56" s="5" t="s">
        <v>2121</v>
      </c>
      <c r="C56" s="5" t="s">
        <v>1176</v>
      </c>
      <c r="D56" s="5" t="s">
        <v>1177</v>
      </c>
      <c r="E56" s="5" t="s">
        <v>126</v>
      </c>
      <c r="F56" s="5" t="s">
        <v>125</v>
      </c>
      <c r="G56" s="5" t="s">
        <v>17</v>
      </c>
      <c r="H56" s="5">
        <v>3</v>
      </c>
      <c r="I56" s="6">
        <v>125000</v>
      </c>
      <c r="J56" s="6">
        <v>155000</v>
      </c>
      <c r="K56" s="6">
        <f t="shared" si="0"/>
        <v>465000</v>
      </c>
      <c r="L56" s="6">
        <f t="shared" si="1"/>
        <v>375000</v>
      </c>
      <c r="M56" s="6">
        <f t="shared" si="2"/>
        <v>90000</v>
      </c>
    </row>
    <row r="57" spans="1:13" x14ac:dyDescent="0.3">
      <c r="A57" s="2" t="s">
        <v>2122</v>
      </c>
      <c r="B57" s="2" t="s">
        <v>2123</v>
      </c>
      <c r="C57" s="2" t="s">
        <v>1314</v>
      </c>
      <c r="D57" s="2" t="s">
        <v>1315</v>
      </c>
      <c r="E57" s="2" t="s">
        <v>807</v>
      </c>
      <c r="F57" s="2" t="s">
        <v>806</v>
      </c>
      <c r="G57" s="2" t="s">
        <v>731</v>
      </c>
      <c r="H57" s="2">
        <v>40</v>
      </c>
      <c r="I57" s="3">
        <v>120</v>
      </c>
      <c r="J57" s="3">
        <v>185</v>
      </c>
      <c r="K57" s="3">
        <f t="shared" si="0"/>
        <v>7400</v>
      </c>
      <c r="L57" s="3">
        <f t="shared" si="1"/>
        <v>4800</v>
      </c>
      <c r="M57" s="3">
        <f t="shared" si="2"/>
        <v>2600</v>
      </c>
    </row>
    <row r="58" spans="1:13" x14ac:dyDescent="0.3">
      <c r="A58" s="5" t="s">
        <v>2124</v>
      </c>
      <c r="B58" s="5" t="s">
        <v>2125</v>
      </c>
      <c r="C58" s="5" t="s">
        <v>1555</v>
      </c>
      <c r="D58" s="5" t="s">
        <v>1385</v>
      </c>
      <c r="E58" s="5" t="s">
        <v>753</v>
      </c>
      <c r="F58" s="5" t="s">
        <v>752</v>
      </c>
      <c r="G58" s="5" t="s">
        <v>731</v>
      </c>
      <c r="H58" s="5">
        <v>6</v>
      </c>
      <c r="I58" s="6">
        <v>120</v>
      </c>
      <c r="J58" s="6">
        <v>185</v>
      </c>
      <c r="K58" s="6">
        <f t="shared" si="0"/>
        <v>1110</v>
      </c>
      <c r="L58" s="6">
        <f t="shared" si="1"/>
        <v>720</v>
      </c>
      <c r="M58" s="6">
        <f t="shared" si="2"/>
        <v>390</v>
      </c>
    </row>
    <row r="59" spans="1:13" x14ac:dyDescent="0.3">
      <c r="A59" s="2" t="s">
        <v>2126</v>
      </c>
      <c r="B59" s="2" t="s">
        <v>2022</v>
      </c>
      <c r="C59" s="2" t="s">
        <v>1364</v>
      </c>
      <c r="D59" s="2" t="s">
        <v>1365</v>
      </c>
      <c r="E59" s="2" t="s">
        <v>403</v>
      </c>
      <c r="F59" s="2" t="s">
        <v>402</v>
      </c>
      <c r="G59" s="2" t="s">
        <v>330</v>
      </c>
      <c r="H59" s="2">
        <v>29</v>
      </c>
      <c r="I59" s="3">
        <v>1800</v>
      </c>
      <c r="J59" s="3">
        <v>2700</v>
      </c>
      <c r="K59" s="3">
        <f t="shared" si="0"/>
        <v>78300</v>
      </c>
      <c r="L59" s="3">
        <f t="shared" si="1"/>
        <v>52200</v>
      </c>
      <c r="M59" s="3">
        <f t="shared" si="2"/>
        <v>26100</v>
      </c>
    </row>
    <row r="60" spans="1:13" x14ac:dyDescent="0.3">
      <c r="A60" s="5" t="s">
        <v>2127</v>
      </c>
      <c r="B60" s="5" t="s">
        <v>2128</v>
      </c>
      <c r="C60" s="5" t="s">
        <v>1587</v>
      </c>
      <c r="D60" s="5" t="s">
        <v>1588</v>
      </c>
      <c r="E60" s="5" t="s">
        <v>877</v>
      </c>
      <c r="F60" s="5" t="s">
        <v>876</v>
      </c>
      <c r="G60" s="5" t="s">
        <v>816</v>
      </c>
      <c r="H60" s="5">
        <v>9</v>
      </c>
      <c r="I60" s="6">
        <v>1800</v>
      </c>
      <c r="J60" s="6">
        <v>2700</v>
      </c>
      <c r="K60" s="6">
        <f t="shared" si="0"/>
        <v>24300</v>
      </c>
      <c r="L60" s="6">
        <f t="shared" si="1"/>
        <v>16200</v>
      </c>
      <c r="M60" s="6">
        <f t="shared" si="2"/>
        <v>8100</v>
      </c>
    </row>
    <row r="61" spans="1:13" x14ac:dyDescent="0.3">
      <c r="A61" s="2" t="s">
        <v>2129</v>
      </c>
      <c r="B61" s="2" t="s">
        <v>2130</v>
      </c>
      <c r="C61" s="2" t="s">
        <v>1531</v>
      </c>
      <c r="D61" s="2" t="s">
        <v>1532</v>
      </c>
      <c r="E61" s="2" t="s">
        <v>419</v>
      </c>
      <c r="F61" s="2" t="s">
        <v>418</v>
      </c>
      <c r="G61" s="2" t="s">
        <v>330</v>
      </c>
      <c r="H61" s="2">
        <v>26</v>
      </c>
      <c r="I61" s="3">
        <v>1200</v>
      </c>
      <c r="J61" s="3">
        <v>1900</v>
      </c>
      <c r="K61" s="3">
        <f t="shared" si="0"/>
        <v>49400</v>
      </c>
      <c r="L61" s="3">
        <f t="shared" si="1"/>
        <v>31200</v>
      </c>
      <c r="M61" s="3">
        <f t="shared" si="2"/>
        <v>18200</v>
      </c>
    </row>
    <row r="62" spans="1:13" x14ac:dyDescent="0.3">
      <c r="A62" s="5" t="s">
        <v>2131</v>
      </c>
      <c r="B62" s="5" t="s">
        <v>1957</v>
      </c>
      <c r="C62" s="5" t="s">
        <v>1176</v>
      </c>
      <c r="D62" s="5" t="s">
        <v>1177</v>
      </c>
      <c r="E62" s="5" t="s">
        <v>292</v>
      </c>
      <c r="F62" s="5" t="s">
        <v>291</v>
      </c>
      <c r="G62" s="5" t="s">
        <v>169</v>
      </c>
      <c r="H62" s="5">
        <v>50</v>
      </c>
      <c r="I62" s="6">
        <v>250</v>
      </c>
      <c r="J62" s="6">
        <v>340</v>
      </c>
      <c r="K62" s="6">
        <f t="shared" si="0"/>
        <v>17000</v>
      </c>
      <c r="L62" s="6">
        <f t="shared" si="1"/>
        <v>12500</v>
      </c>
      <c r="M62" s="6">
        <f t="shared" si="2"/>
        <v>4500</v>
      </c>
    </row>
    <row r="63" spans="1:13" x14ac:dyDescent="0.3">
      <c r="A63" s="2" t="s">
        <v>2132</v>
      </c>
      <c r="B63" s="2" t="s">
        <v>1874</v>
      </c>
      <c r="C63" s="2" t="s">
        <v>1545</v>
      </c>
      <c r="D63" s="2" t="s">
        <v>1546</v>
      </c>
      <c r="E63" s="2" t="s">
        <v>118</v>
      </c>
      <c r="F63" s="2" t="s">
        <v>117</v>
      </c>
      <c r="G63" s="2" t="s">
        <v>17</v>
      </c>
      <c r="H63" s="2">
        <v>32</v>
      </c>
      <c r="I63" s="3">
        <v>55000</v>
      </c>
      <c r="J63" s="3">
        <v>68000</v>
      </c>
      <c r="K63" s="3">
        <f t="shared" si="0"/>
        <v>2176000</v>
      </c>
      <c r="L63" s="3">
        <f t="shared" si="1"/>
        <v>1760000</v>
      </c>
      <c r="M63" s="3">
        <f t="shared" si="2"/>
        <v>416000</v>
      </c>
    </row>
    <row r="64" spans="1:13" x14ac:dyDescent="0.3">
      <c r="A64" s="5" t="s">
        <v>2133</v>
      </c>
      <c r="B64" s="5" t="s">
        <v>2134</v>
      </c>
      <c r="C64" s="5" t="s">
        <v>1661</v>
      </c>
      <c r="D64" s="5" t="s">
        <v>1662</v>
      </c>
      <c r="E64" s="5" t="s">
        <v>259</v>
      </c>
      <c r="F64" s="5" t="s">
        <v>258</v>
      </c>
      <c r="G64" s="5" t="s">
        <v>169</v>
      </c>
      <c r="H64" s="5">
        <v>13</v>
      </c>
      <c r="I64" s="6">
        <v>650</v>
      </c>
      <c r="J64" s="6">
        <v>870</v>
      </c>
      <c r="K64" s="6">
        <f t="shared" si="0"/>
        <v>11310</v>
      </c>
      <c r="L64" s="6">
        <f t="shared" si="1"/>
        <v>8450</v>
      </c>
      <c r="M64" s="6">
        <f t="shared" si="2"/>
        <v>2860</v>
      </c>
    </row>
    <row r="65" spans="1:13" x14ac:dyDescent="0.3">
      <c r="A65" s="2" t="s">
        <v>2135</v>
      </c>
      <c r="B65" s="2" t="s">
        <v>2136</v>
      </c>
      <c r="C65" s="2" t="s">
        <v>1399</v>
      </c>
      <c r="D65" s="2" t="s">
        <v>1400</v>
      </c>
      <c r="E65" s="2" t="s">
        <v>495</v>
      </c>
      <c r="F65" s="2" t="s">
        <v>494</v>
      </c>
      <c r="G65" s="2" t="s">
        <v>469</v>
      </c>
      <c r="H65" s="2">
        <v>25</v>
      </c>
      <c r="I65" s="3">
        <v>180</v>
      </c>
      <c r="J65" s="3">
        <v>250</v>
      </c>
      <c r="K65" s="3">
        <f t="shared" si="0"/>
        <v>6250</v>
      </c>
      <c r="L65" s="3">
        <f t="shared" si="1"/>
        <v>4500</v>
      </c>
      <c r="M65" s="3">
        <f t="shared" si="2"/>
        <v>1750</v>
      </c>
    </row>
    <row r="66" spans="1:13" x14ac:dyDescent="0.3">
      <c r="A66" s="5" t="s">
        <v>2137</v>
      </c>
      <c r="B66" s="5" t="s">
        <v>2138</v>
      </c>
      <c r="C66" s="5" t="s">
        <v>1209</v>
      </c>
      <c r="D66" s="5" t="s">
        <v>1210</v>
      </c>
      <c r="E66" s="5" t="s">
        <v>681</v>
      </c>
      <c r="F66" s="5" t="s">
        <v>680</v>
      </c>
      <c r="G66" s="5" t="s">
        <v>609</v>
      </c>
      <c r="H66" s="5">
        <v>23</v>
      </c>
      <c r="I66" s="6">
        <v>650</v>
      </c>
      <c r="J66" s="6">
        <v>1000</v>
      </c>
      <c r="K66" s="6">
        <f t="shared" si="0"/>
        <v>23000</v>
      </c>
      <c r="L66" s="6">
        <f t="shared" si="1"/>
        <v>14950</v>
      </c>
      <c r="M66" s="6">
        <f t="shared" si="2"/>
        <v>8050</v>
      </c>
    </row>
    <row r="67" spans="1:13" x14ac:dyDescent="0.3">
      <c r="A67" s="2" t="s">
        <v>2139</v>
      </c>
      <c r="B67" s="2" t="s">
        <v>2140</v>
      </c>
      <c r="C67" s="2" t="s">
        <v>1644</v>
      </c>
      <c r="D67" s="2" t="s">
        <v>1645</v>
      </c>
      <c r="E67" s="2" t="s">
        <v>118</v>
      </c>
      <c r="F67" s="2" t="s">
        <v>117</v>
      </c>
      <c r="G67" s="2" t="s">
        <v>17</v>
      </c>
      <c r="H67" s="2">
        <v>24</v>
      </c>
      <c r="I67" s="3">
        <v>55000</v>
      </c>
      <c r="J67" s="3">
        <v>68000</v>
      </c>
      <c r="K67" s="3">
        <f t="shared" ref="K67:K130" si="3">H67*J67</f>
        <v>1632000</v>
      </c>
      <c r="L67" s="3">
        <f t="shared" ref="L67:L130" si="4">H67*I67</f>
        <v>1320000</v>
      </c>
      <c r="M67" s="3">
        <f t="shared" ref="M67:M130" si="5">K67-L67</f>
        <v>312000</v>
      </c>
    </row>
    <row r="68" spans="1:13" x14ac:dyDescent="0.3">
      <c r="A68" s="5" t="s">
        <v>2141</v>
      </c>
      <c r="B68" s="5" t="s">
        <v>2142</v>
      </c>
      <c r="C68" s="5" t="s">
        <v>1257</v>
      </c>
      <c r="D68" s="5" t="s">
        <v>1258</v>
      </c>
      <c r="E68" s="5" t="s">
        <v>819</v>
      </c>
      <c r="F68" s="5" t="s">
        <v>818</v>
      </c>
      <c r="G68" s="5" t="s">
        <v>816</v>
      </c>
      <c r="H68" s="5">
        <v>31</v>
      </c>
      <c r="I68" s="6">
        <v>3500</v>
      </c>
      <c r="J68" s="6">
        <v>4800</v>
      </c>
      <c r="K68" s="6">
        <f t="shared" si="3"/>
        <v>148800</v>
      </c>
      <c r="L68" s="6">
        <f t="shared" si="4"/>
        <v>108500</v>
      </c>
      <c r="M68" s="6">
        <f t="shared" si="5"/>
        <v>40300</v>
      </c>
    </row>
    <row r="69" spans="1:13" x14ac:dyDescent="0.3">
      <c r="A69" s="2" t="s">
        <v>2143</v>
      </c>
      <c r="B69" s="2" t="s">
        <v>1693</v>
      </c>
      <c r="C69" s="2" t="s">
        <v>1273</v>
      </c>
      <c r="D69" s="2" t="s">
        <v>1274</v>
      </c>
      <c r="E69" s="2" t="s">
        <v>593</v>
      </c>
      <c r="F69" s="2" t="s">
        <v>592</v>
      </c>
      <c r="G69" s="2" t="s">
        <v>469</v>
      </c>
      <c r="H69" s="2">
        <v>19</v>
      </c>
      <c r="I69" s="3">
        <v>450</v>
      </c>
      <c r="J69" s="3">
        <v>680</v>
      </c>
      <c r="K69" s="3">
        <f t="shared" si="3"/>
        <v>12920</v>
      </c>
      <c r="L69" s="3">
        <f t="shared" si="4"/>
        <v>8550</v>
      </c>
      <c r="M69" s="3">
        <f t="shared" si="5"/>
        <v>4370</v>
      </c>
    </row>
    <row r="70" spans="1:13" x14ac:dyDescent="0.3">
      <c r="A70" s="5" t="s">
        <v>2144</v>
      </c>
      <c r="B70" s="5" t="s">
        <v>2145</v>
      </c>
      <c r="C70" s="5" t="s">
        <v>1606</v>
      </c>
      <c r="D70" s="5" t="s">
        <v>1607</v>
      </c>
      <c r="E70" s="5" t="s">
        <v>165</v>
      </c>
      <c r="F70" s="5" t="s">
        <v>164</v>
      </c>
      <c r="G70" s="5" t="s">
        <v>17</v>
      </c>
      <c r="H70" s="5">
        <v>24</v>
      </c>
      <c r="I70" s="6">
        <v>3500</v>
      </c>
      <c r="J70" s="6">
        <v>5000</v>
      </c>
      <c r="K70" s="6">
        <f t="shared" si="3"/>
        <v>120000</v>
      </c>
      <c r="L70" s="6">
        <f t="shared" si="4"/>
        <v>84000</v>
      </c>
      <c r="M70" s="6">
        <f t="shared" si="5"/>
        <v>36000</v>
      </c>
    </row>
    <row r="71" spans="1:13" x14ac:dyDescent="0.3">
      <c r="A71" s="2" t="s">
        <v>2146</v>
      </c>
      <c r="B71" s="2" t="s">
        <v>1731</v>
      </c>
      <c r="C71" s="2" t="s">
        <v>1273</v>
      </c>
      <c r="D71" s="2" t="s">
        <v>1274</v>
      </c>
      <c r="E71" s="2" t="s">
        <v>580</v>
      </c>
      <c r="F71" s="2" t="s">
        <v>579</v>
      </c>
      <c r="G71" s="2" t="s">
        <v>469</v>
      </c>
      <c r="H71" s="2">
        <v>2</v>
      </c>
      <c r="I71" s="3">
        <v>850</v>
      </c>
      <c r="J71" s="3">
        <v>1200</v>
      </c>
      <c r="K71" s="3">
        <f t="shared" si="3"/>
        <v>2400</v>
      </c>
      <c r="L71" s="3">
        <f t="shared" si="4"/>
        <v>1700</v>
      </c>
      <c r="M71" s="3">
        <f t="shared" si="5"/>
        <v>700</v>
      </c>
    </row>
    <row r="72" spans="1:13" x14ac:dyDescent="0.3">
      <c r="A72" s="5" t="s">
        <v>2147</v>
      </c>
      <c r="B72" s="5" t="s">
        <v>2004</v>
      </c>
      <c r="C72" s="5" t="s">
        <v>1512</v>
      </c>
      <c r="D72" s="5" t="s">
        <v>1513</v>
      </c>
      <c r="E72" s="5" t="s">
        <v>472</v>
      </c>
      <c r="F72" s="5" t="s">
        <v>471</v>
      </c>
      <c r="G72" s="5" t="s">
        <v>469</v>
      </c>
      <c r="H72" s="5">
        <v>29</v>
      </c>
      <c r="I72" s="6">
        <v>850</v>
      </c>
      <c r="J72" s="6">
        <v>1050</v>
      </c>
      <c r="K72" s="6">
        <f t="shared" si="3"/>
        <v>30450</v>
      </c>
      <c r="L72" s="6">
        <f t="shared" si="4"/>
        <v>24650</v>
      </c>
      <c r="M72" s="6">
        <f t="shared" si="5"/>
        <v>5800</v>
      </c>
    </row>
    <row r="73" spans="1:13" x14ac:dyDescent="0.3">
      <c r="A73" s="2" t="s">
        <v>2148</v>
      </c>
      <c r="B73" s="2" t="s">
        <v>1832</v>
      </c>
      <c r="C73" s="2" t="s">
        <v>1424</v>
      </c>
      <c r="D73" s="2" t="s">
        <v>1425</v>
      </c>
      <c r="E73" s="2" t="s">
        <v>435</v>
      </c>
      <c r="F73" s="2" t="s">
        <v>434</v>
      </c>
      <c r="G73" s="2" t="s">
        <v>330</v>
      </c>
      <c r="H73" s="2">
        <v>45</v>
      </c>
      <c r="I73" s="3">
        <v>1800</v>
      </c>
      <c r="J73" s="3">
        <v>2800</v>
      </c>
      <c r="K73" s="3">
        <f t="shared" si="3"/>
        <v>126000</v>
      </c>
      <c r="L73" s="3">
        <f t="shared" si="4"/>
        <v>81000</v>
      </c>
      <c r="M73" s="3">
        <f t="shared" si="5"/>
        <v>45000</v>
      </c>
    </row>
    <row r="74" spans="1:13" x14ac:dyDescent="0.3">
      <c r="A74" s="5" t="s">
        <v>2149</v>
      </c>
      <c r="B74" s="5" t="s">
        <v>1787</v>
      </c>
      <c r="C74" s="5" t="s">
        <v>1369</v>
      </c>
      <c r="D74" s="5" t="s">
        <v>1370</v>
      </c>
      <c r="E74" s="5" t="s">
        <v>764</v>
      </c>
      <c r="F74" s="5" t="s">
        <v>763</v>
      </c>
      <c r="G74" s="5" t="s">
        <v>731</v>
      </c>
      <c r="H74" s="5">
        <v>33</v>
      </c>
      <c r="I74" s="6">
        <v>45</v>
      </c>
      <c r="J74" s="6">
        <v>72</v>
      </c>
      <c r="K74" s="6">
        <f t="shared" si="3"/>
        <v>2376</v>
      </c>
      <c r="L74" s="6">
        <f t="shared" si="4"/>
        <v>1485</v>
      </c>
      <c r="M74" s="6">
        <f t="shared" si="5"/>
        <v>891</v>
      </c>
    </row>
    <row r="75" spans="1:13" x14ac:dyDescent="0.3">
      <c r="A75" s="2" t="s">
        <v>2150</v>
      </c>
      <c r="B75" s="2" t="s">
        <v>2121</v>
      </c>
      <c r="C75" s="2" t="s">
        <v>1626</v>
      </c>
      <c r="D75" s="2" t="s">
        <v>1627</v>
      </c>
      <c r="E75" s="2" t="s">
        <v>712</v>
      </c>
      <c r="F75" s="2" t="s">
        <v>711</v>
      </c>
      <c r="G75" s="2" t="s">
        <v>609</v>
      </c>
      <c r="H75" s="2">
        <v>19</v>
      </c>
      <c r="I75" s="3">
        <v>200</v>
      </c>
      <c r="J75" s="3">
        <v>290</v>
      </c>
      <c r="K75" s="3">
        <f t="shared" si="3"/>
        <v>5510</v>
      </c>
      <c r="L75" s="3">
        <f t="shared" si="4"/>
        <v>3800</v>
      </c>
      <c r="M75" s="3">
        <f t="shared" si="5"/>
        <v>1710</v>
      </c>
    </row>
    <row r="76" spans="1:13" x14ac:dyDescent="0.3">
      <c r="A76" s="5" t="s">
        <v>2151</v>
      </c>
      <c r="B76" s="5" t="s">
        <v>1817</v>
      </c>
      <c r="C76" s="5" t="s">
        <v>1657</v>
      </c>
      <c r="D76" s="5" t="s">
        <v>1658</v>
      </c>
      <c r="E76" s="5" t="s">
        <v>824</v>
      </c>
      <c r="F76" s="5" t="s">
        <v>823</v>
      </c>
      <c r="G76" s="5" t="s">
        <v>816</v>
      </c>
      <c r="H76" s="5">
        <v>6</v>
      </c>
      <c r="I76" s="6">
        <v>3200</v>
      </c>
      <c r="J76" s="6">
        <v>4500</v>
      </c>
      <c r="K76" s="6">
        <f t="shared" si="3"/>
        <v>27000</v>
      </c>
      <c r="L76" s="6">
        <f t="shared" si="4"/>
        <v>19200</v>
      </c>
      <c r="M76" s="6">
        <f t="shared" si="5"/>
        <v>7800</v>
      </c>
    </row>
    <row r="77" spans="1:13" x14ac:dyDescent="0.3">
      <c r="A77" s="2" t="s">
        <v>2152</v>
      </c>
      <c r="B77" s="2" t="s">
        <v>2153</v>
      </c>
      <c r="C77" s="2" t="s">
        <v>1353</v>
      </c>
      <c r="D77" s="2" t="s">
        <v>1354</v>
      </c>
      <c r="E77" s="2" t="s">
        <v>544</v>
      </c>
      <c r="F77" s="2" t="s">
        <v>543</v>
      </c>
      <c r="G77" s="2" t="s">
        <v>469</v>
      </c>
      <c r="H77" s="2">
        <v>23</v>
      </c>
      <c r="I77" s="3">
        <v>250</v>
      </c>
      <c r="J77" s="3">
        <v>340</v>
      </c>
      <c r="K77" s="3">
        <f t="shared" si="3"/>
        <v>7820</v>
      </c>
      <c r="L77" s="3">
        <f t="shared" si="4"/>
        <v>5750</v>
      </c>
      <c r="M77" s="3">
        <f t="shared" si="5"/>
        <v>2070</v>
      </c>
    </row>
    <row r="78" spans="1:13" x14ac:dyDescent="0.3">
      <c r="A78" s="5" t="s">
        <v>2154</v>
      </c>
      <c r="B78" s="5" t="s">
        <v>1882</v>
      </c>
      <c r="C78" s="5" t="s">
        <v>1592</v>
      </c>
      <c r="D78" s="5" t="s">
        <v>1593</v>
      </c>
      <c r="E78" s="5" t="s">
        <v>513</v>
      </c>
      <c r="F78" s="5" t="s">
        <v>512</v>
      </c>
      <c r="G78" s="5" t="s">
        <v>469</v>
      </c>
      <c r="H78" s="5">
        <v>48</v>
      </c>
      <c r="I78" s="6">
        <v>2800</v>
      </c>
      <c r="J78" s="6">
        <v>3800</v>
      </c>
      <c r="K78" s="6">
        <f t="shared" si="3"/>
        <v>182400</v>
      </c>
      <c r="L78" s="6">
        <f t="shared" si="4"/>
        <v>134400</v>
      </c>
      <c r="M78" s="6">
        <f t="shared" si="5"/>
        <v>48000</v>
      </c>
    </row>
    <row r="79" spans="1:13" x14ac:dyDescent="0.3">
      <c r="A79" s="2" t="s">
        <v>2155</v>
      </c>
      <c r="B79" s="2" t="s">
        <v>2008</v>
      </c>
      <c r="C79" s="2" t="s">
        <v>1263</v>
      </c>
      <c r="D79" s="2" t="s">
        <v>1264</v>
      </c>
      <c r="E79" s="2" t="s">
        <v>535</v>
      </c>
      <c r="F79" s="2" t="s">
        <v>534</v>
      </c>
      <c r="G79" s="2" t="s">
        <v>469</v>
      </c>
      <c r="H79" s="2">
        <v>23</v>
      </c>
      <c r="I79" s="3">
        <v>750</v>
      </c>
      <c r="J79" s="3">
        <v>1050</v>
      </c>
      <c r="K79" s="3">
        <f t="shared" si="3"/>
        <v>24150</v>
      </c>
      <c r="L79" s="3">
        <f t="shared" si="4"/>
        <v>17250</v>
      </c>
      <c r="M79" s="3">
        <f t="shared" si="5"/>
        <v>6900</v>
      </c>
    </row>
    <row r="80" spans="1:13" x14ac:dyDescent="0.3">
      <c r="A80" s="5" t="s">
        <v>2156</v>
      </c>
      <c r="B80" s="5" t="s">
        <v>2045</v>
      </c>
      <c r="C80" s="5" t="s">
        <v>1531</v>
      </c>
      <c r="D80" s="5" t="s">
        <v>1532</v>
      </c>
      <c r="E80" s="5" t="s">
        <v>684</v>
      </c>
      <c r="F80" s="5" t="s">
        <v>683</v>
      </c>
      <c r="G80" s="5" t="s">
        <v>609</v>
      </c>
      <c r="H80" s="5">
        <v>10</v>
      </c>
      <c r="I80" s="6">
        <v>3500</v>
      </c>
      <c r="J80" s="6">
        <v>5200</v>
      </c>
      <c r="K80" s="6">
        <f t="shared" si="3"/>
        <v>52000</v>
      </c>
      <c r="L80" s="6">
        <f t="shared" si="4"/>
        <v>35000</v>
      </c>
      <c r="M80" s="6">
        <f t="shared" si="5"/>
        <v>17000</v>
      </c>
    </row>
    <row r="81" spans="1:13" x14ac:dyDescent="0.3">
      <c r="A81" s="2" t="s">
        <v>2157</v>
      </c>
      <c r="B81" s="2" t="s">
        <v>2158</v>
      </c>
      <c r="C81" s="2" t="s">
        <v>1616</v>
      </c>
      <c r="D81" s="2" t="s">
        <v>1617</v>
      </c>
      <c r="E81" s="2" t="s">
        <v>804</v>
      </c>
      <c r="F81" s="2" t="s">
        <v>803</v>
      </c>
      <c r="G81" s="2" t="s">
        <v>731</v>
      </c>
      <c r="H81" s="2">
        <v>47</v>
      </c>
      <c r="I81" s="3">
        <v>85</v>
      </c>
      <c r="J81" s="3">
        <v>135</v>
      </c>
      <c r="K81" s="3">
        <f t="shared" si="3"/>
        <v>6345</v>
      </c>
      <c r="L81" s="3">
        <f t="shared" si="4"/>
        <v>3995</v>
      </c>
      <c r="M81" s="3">
        <f t="shared" si="5"/>
        <v>2350</v>
      </c>
    </row>
    <row r="82" spans="1:13" x14ac:dyDescent="0.3">
      <c r="A82" s="5" t="s">
        <v>2159</v>
      </c>
      <c r="B82" s="5" t="s">
        <v>2160</v>
      </c>
      <c r="C82" s="5" t="s">
        <v>1517</v>
      </c>
      <c r="D82" s="5" t="s">
        <v>1518</v>
      </c>
      <c r="E82" s="5" t="s">
        <v>750</v>
      </c>
      <c r="F82" s="5" t="s">
        <v>749</v>
      </c>
      <c r="G82" s="5" t="s">
        <v>731</v>
      </c>
      <c r="H82" s="5">
        <v>49</v>
      </c>
      <c r="I82" s="6">
        <v>380</v>
      </c>
      <c r="J82" s="6">
        <v>550</v>
      </c>
      <c r="K82" s="6">
        <f t="shared" si="3"/>
        <v>26950</v>
      </c>
      <c r="L82" s="6">
        <f t="shared" si="4"/>
        <v>18620</v>
      </c>
      <c r="M82" s="6">
        <f t="shared" si="5"/>
        <v>8330</v>
      </c>
    </row>
    <row r="83" spans="1:13" x14ac:dyDescent="0.3">
      <c r="A83" s="2" t="s">
        <v>2161</v>
      </c>
      <c r="B83" s="2" t="s">
        <v>2162</v>
      </c>
      <c r="C83" s="2" t="s">
        <v>1353</v>
      </c>
      <c r="D83" s="2" t="s">
        <v>1354</v>
      </c>
      <c r="E83" s="2" t="s">
        <v>807</v>
      </c>
      <c r="F83" s="2" t="s">
        <v>806</v>
      </c>
      <c r="G83" s="2" t="s">
        <v>731</v>
      </c>
      <c r="H83" s="2">
        <v>42</v>
      </c>
      <c r="I83" s="3">
        <v>120</v>
      </c>
      <c r="J83" s="3">
        <v>185</v>
      </c>
      <c r="K83" s="3">
        <f t="shared" si="3"/>
        <v>7770</v>
      </c>
      <c r="L83" s="3">
        <f t="shared" si="4"/>
        <v>5040</v>
      </c>
      <c r="M83" s="3">
        <f t="shared" si="5"/>
        <v>2730</v>
      </c>
    </row>
    <row r="84" spans="1:13" x14ac:dyDescent="0.3">
      <c r="A84" s="5" t="s">
        <v>2163</v>
      </c>
      <c r="B84" s="5" t="s">
        <v>1809</v>
      </c>
      <c r="C84" s="5" t="s">
        <v>1304</v>
      </c>
      <c r="D84" s="5" t="s">
        <v>1305</v>
      </c>
      <c r="E84" s="5" t="s">
        <v>580</v>
      </c>
      <c r="F84" s="5" t="s">
        <v>579</v>
      </c>
      <c r="G84" s="5" t="s">
        <v>469</v>
      </c>
      <c r="H84" s="5">
        <v>24</v>
      </c>
      <c r="I84" s="6">
        <v>850</v>
      </c>
      <c r="J84" s="6">
        <v>1200</v>
      </c>
      <c r="K84" s="6">
        <f t="shared" si="3"/>
        <v>28800</v>
      </c>
      <c r="L84" s="6">
        <f t="shared" si="4"/>
        <v>20400</v>
      </c>
      <c r="M84" s="6">
        <f t="shared" si="5"/>
        <v>8400</v>
      </c>
    </row>
    <row r="85" spans="1:13" x14ac:dyDescent="0.3">
      <c r="A85" s="2" t="s">
        <v>2164</v>
      </c>
      <c r="B85" s="2" t="s">
        <v>2165</v>
      </c>
      <c r="C85" s="2" t="s">
        <v>1521</v>
      </c>
      <c r="D85" s="2" t="s">
        <v>1522</v>
      </c>
      <c r="E85" s="2" t="s">
        <v>242</v>
      </c>
      <c r="F85" s="2" t="s">
        <v>241</v>
      </c>
      <c r="G85" s="2" t="s">
        <v>169</v>
      </c>
      <c r="H85" s="2">
        <v>33</v>
      </c>
      <c r="I85" s="3">
        <v>70</v>
      </c>
      <c r="J85" s="3">
        <v>100</v>
      </c>
      <c r="K85" s="3">
        <f t="shared" si="3"/>
        <v>3300</v>
      </c>
      <c r="L85" s="3">
        <f t="shared" si="4"/>
        <v>2310</v>
      </c>
      <c r="M85" s="3">
        <f t="shared" si="5"/>
        <v>990</v>
      </c>
    </row>
    <row r="86" spans="1:13" x14ac:dyDescent="0.3">
      <c r="A86" s="5" t="s">
        <v>2166</v>
      </c>
      <c r="B86" s="5" t="s">
        <v>1917</v>
      </c>
      <c r="C86" s="5" t="s">
        <v>1478</v>
      </c>
      <c r="D86" s="5" t="s">
        <v>1479</v>
      </c>
      <c r="E86" s="5" t="s">
        <v>350</v>
      </c>
      <c r="F86" s="5" t="s">
        <v>349</v>
      </c>
      <c r="G86" s="5" t="s">
        <v>330</v>
      </c>
      <c r="H86" s="5">
        <v>41</v>
      </c>
      <c r="I86" s="6">
        <v>2200</v>
      </c>
      <c r="J86" s="6">
        <v>3200</v>
      </c>
      <c r="K86" s="6">
        <f t="shared" si="3"/>
        <v>131200</v>
      </c>
      <c r="L86" s="6">
        <f t="shared" si="4"/>
        <v>90200</v>
      </c>
      <c r="M86" s="6">
        <f t="shared" si="5"/>
        <v>41000</v>
      </c>
    </row>
    <row r="87" spans="1:13" x14ac:dyDescent="0.3">
      <c r="A87" s="2" t="s">
        <v>2167</v>
      </c>
      <c r="B87" s="2" t="s">
        <v>2168</v>
      </c>
      <c r="C87" s="2" t="s">
        <v>1263</v>
      </c>
      <c r="D87" s="2" t="s">
        <v>1264</v>
      </c>
      <c r="E87" s="2" t="s">
        <v>161</v>
      </c>
      <c r="F87" s="2" t="s">
        <v>160</v>
      </c>
      <c r="G87" s="2" t="s">
        <v>17</v>
      </c>
      <c r="H87" s="2">
        <v>18</v>
      </c>
      <c r="I87" s="3">
        <v>22000</v>
      </c>
      <c r="J87" s="3">
        <v>28000</v>
      </c>
      <c r="K87" s="3">
        <f t="shared" si="3"/>
        <v>504000</v>
      </c>
      <c r="L87" s="3">
        <f t="shared" si="4"/>
        <v>396000</v>
      </c>
      <c r="M87" s="3">
        <f t="shared" si="5"/>
        <v>108000</v>
      </c>
    </row>
    <row r="88" spans="1:13" x14ac:dyDescent="0.3">
      <c r="A88" s="5" t="s">
        <v>2169</v>
      </c>
      <c r="B88" s="5" t="s">
        <v>2170</v>
      </c>
      <c r="C88" s="5" t="s">
        <v>1596</v>
      </c>
      <c r="D88" s="5" t="s">
        <v>1597</v>
      </c>
      <c r="E88" s="5" t="s">
        <v>620</v>
      </c>
      <c r="F88" s="5" t="s">
        <v>619</v>
      </c>
      <c r="G88" s="5" t="s">
        <v>609</v>
      </c>
      <c r="H88" s="5">
        <v>5</v>
      </c>
      <c r="I88" s="6">
        <v>95</v>
      </c>
      <c r="J88" s="6">
        <v>135</v>
      </c>
      <c r="K88" s="6">
        <f t="shared" si="3"/>
        <v>675</v>
      </c>
      <c r="L88" s="6">
        <f t="shared" si="4"/>
        <v>475</v>
      </c>
      <c r="M88" s="6">
        <f t="shared" si="5"/>
        <v>200</v>
      </c>
    </row>
    <row r="89" spans="1:13" x14ac:dyDescent="0.3">
      <c r="A89" s="2" t="s">
        <v>2171</v>
      </c>
      <c r="B89" s="2" t="s">
        <v>1892</v>
      </c>
      <c r="C89" s="2" t="s">
        <v>1359</v>
      </c>
      <c r="D89" s="2" t="s">
        <v>1360</v>
      </c>
      <c r="E89" s="2" t="s">
        <v>380</v>
      </c>
      <c r="F89" s="2" t="s">
        <v>379</v>
      </c>
      <c r="G89" s="2" t="s">
        <v>330</v>
      </c>
      <c r="H89" s="2">
        <v>16</v>
      </c>
      <c r="I89" s="3">
        <v>2200</v>
      </c>
      <c r="J89" s="3">
        <v>3400</v>
      </c>
      <c r="K89" s="3">
        <f t="shared" si="3"/>
        <v>54400</v>
      </c>
      <c r="L89" s="3">
        <f t="shared" si="4"/>
        <v>35200</v>
      </c>
      <c r="M89" s="3">
        <f t="shared" si="5"/>
        <v>19200</v>
      </c>
    </row>
    <row r="90" spans="1:13" x14ac:dyDescent="0.3">
      <c r="A90" s="5" t="s">
        <v>2172</v>
      </c>
      <c r="B90" s="5" t="s">
        <v>2173</v>
      </c>
      <c r="C90" s="5" t="s">
        <v>1232</v>
      </c>
      <c r="D90" s="5" t="s">
        <v>1233</v>
      </c>
      <c r="E90" s="5" t="s">
        <v>362</v>
      </c>
      <c r="F90" s="5" t="s">
        <v>361</v>
      </c>
      <c r="G90" s="5" t="s">
        <v>330</v>
      </c>
      <c r="H90" s="5">
        <v>10</v>
      </c>
      <c r="I90" s="6">
        <v>1600</v>
      </c>
      <c r="J90" s="6">
        <v>2400</v>
      </c>
      <c r="K90" s="6">
        <f t="shared" si="3"/>
        <v>24000</v>
      </c>
      <c r="L90" s="6">
        <f t="shared" si="4"/>
        <v>16000</v>
      </c>
      <c r="M90" s="6">
        <f t="shared" si="5"/>
        <v>8000</v>
      </c>
    </row>
    <row r="91" spans="1:13" x14ac:dyDescent="0.3">
      <c r="A91" s="2" t="s">
        <v>2174</v>
      </c>
      <c r="B91" s="2" t="s">
        <v>2175</v>
      </c>
      <c r="C91" s="2" t="s">
        <v>1242</v>
      </c>
      <c r="D91" s="2" t="s">
        <v>1243</v>
      </c>
      <c r="E91" s="2" t="s">
        <v>298</v>
      </c>
      <c r="F91" s="2" t="s">
        <v>297</v>
      </c>
      <c r="G91" s="2" t="s">
        <v>169</v>
      </c>
      <c r="H91" s="2">
        <v>9</v>
      </c>
      <c r="I91" s="3">
        <v>185</v>
      </c>
      <c r="J91" s="3">
        <v>245</v>
      </c>
      <c r="K91" s="3">
        <f t="shared" si="3"/>
        <v>2205</v>
      </c>
      <c r="L91" s="3">
        <f t="shared" si="4"/>
        <v>1665</v>
      </c>
      <c r="M91" s="3">
        <f t="shared" si="5"/>
        <v>540</v>
      </c>
    </row>
    <row r="92" spans="1:13" x14ac:dyDescent="0.3">
      <c r="A92" s="5" t="s">
        <v>2176</v>
      </c>
      <c r="B92" s="5" t="s">
        <v>2177</v>
      </c>
      <c r="C92" s="5" t="s">
        <v>1493</v>
      </c>
      <c r="D92" s="5" t="s">
        <v>1494</v>
      </c>
      <c r="E92" s="5" t="s">
        <v>102</v>
      </c>
      <c r="F92" s="5" t="s">
        <v>101</v>
      </c>
      <c r="G92" s="5" t="s">
        <v>17</v>
      </c>
      <c r="H92" s="5">
        <v>3</v>
      </c>
      <c r="I92" s="6">
        <v>150000</v>
      </c>
      <c r="J92" s="6">
        <v>185000</v>
      </c>
      <c r="K92" s="6">
        <f t="shared" si="3"/>
        <v>555000</v>
      </c>
      <c r="L92" s="6">
        <f t="shared" si="4"/>
        <v>450000</v>
      </c>
      <c r="M92" s="6">
        <f t="shared" si="5"/>
        <v>105000</v>
      </c>
    </row>
    <row r="93" spans="1:13" x14ac:dyDescent="0.3">
      <c r="A93" s="2" t="s">
        <v>2178</v>
      </c>
      <c r="B93" s="2" t="s">
        <v>2179</v>
      </c>
      <c r="C93" s="2" t="s">
        <v>1478</v>
      </c>
      <c r="D93" s="2" t="s">
        <v>1479</v>
      </c>
      <c r="E93" s="2" t="s">
        <v>69</v>
      </c>
      <c r="F93" s="2" t="s">
        <v>68</v>
      </c>
      <c r="G93" s="2" t="s">
        <v>17</v>
      </c>
      <c r="H93" s="2">
        <v>31</v>
      </c>
      <c r="I93" s="3">
        <v>108000</v>
      </c>
      <c r="J93" s="3">
        <v>130000</v>
      </c>
      <c r="K93" s="3">
        <f t="shared" si="3"/>
        <v>4030000</v>
      </c>
      <c r="L93" s="3">
        <f t="shared" si="4"/>
        <v>3348000</v>
      </c>
      <c r="M93" s="3">
        <f t="shared" si="5"/>
        <v>682000</v>
      </c>
    </row>
    <row r="94" spans="1:13" x14ac:dyDescent="0.3">
      <c r="A94" s="5" t="s">
        <v>2180</v>
      </c>
      <c r="B94" s="5" t="s">
        <v>2165</v>
      </c>
      <c r="C94" s="5" t="s">
        <v>1502</v>
      </c>
      <c r="D94" s="5" t="s">
        <v>1503</v>
      </c>
      <c r="E94" s="5" t="s">
        <v>775</v>
      </c>
      <c r="F94" s="5" t="s">
        <v>774</v>
      </c>
      <c r="G94" s="5" t="s">
        <v>731</v>
      </c>
      <c r="H94" s="5">
        <v>48</v>
      </c>
      <c r="I94" s="6">
        <v>280</v>
      </c>
      <c r="J94" s="6">
        <v>430</v>
      </c>
      <c r="K94" s="6">
        <f t="shared" si="3"/>
        <v>20640</v>
      </c>
      <c r="L94" s="6">
        <f t="shared" si="4"/>
        <v>13440</v>
      </c>
      <c r="M94" s="6">
        <f t="shared" si="5"/>
        <v>7200</v>
      </c>
    </row>
    <row r="95" spans="1:13" x14ac:dyDescent="0.3">
      <c r="A95" s="2" t="s">
        <v>2181</v>
      </c>
      <c r="B95" s="2" t="s">
        <v>1745</v>
      </c>
      <c r="C95" s="2" t="s">
        <v>1587</v>
      </c>
      <c r="D95" s="2" t="s">
        <v>1588</v>
      </c>
      <c r="E95" s="2" t="s">
        <v>121</v>
      </c>
      <c r="F95" s="2" t="s">
        <v>120</v>
      </c>
      <c r="G95" s="2" t="s">
        <v>17</v>
      </c>
      <c r="H95" s="2">
        <v>9</v>
      </c>
      <c r="I95" s="3">
        <v>195000</v>
      </c>
      <c r="J95" s="3">
        <v>239000</v>
      </c>
      <c r="K95" s="3">
        <f t="shared" si="3"/>
        <v>2151000</v>
      </c>
      <c r="L95" s="3">
        <f t="shared" si="4"/>
        <v>1755000</v>
      </c>
      <c r="M95" s="3">
        <f t="shared" si="5"/>
        <v>396000</v>
      </c>
    </row>
    <row r="96" spans="1:13" x14ac:dyDescent="0.3">
      <c r="A96" s="5" t="s">
        <v>2182</v>
      </c>
      <c r="B96" s="5" t="s">
        <v>1917</v>
      </c>
      <c r="C96" s="5" t="s">
        <v>1498</v>
      </c>
      <c r="D96" s="5" t="s">
        <v>1499</v>
      </c>
      <c r="E96" s="5" t="s">
        <v>355</v>
      </c>
      <c r="F96" s="5" t="s">
        <v>354</v>
      </c>
      <c r="G96" s="5" t="s">
        <v>330</v>
      </c>
      <c r="H96" s="5">
        <v>36</v>
      </c>
      <c r="I96" s="6">
        <v>1400</v>
      </c>
      <c r="J96" s="6">
        <v>2100</v>
      </c>
      <c r="K96" s="6">
        <f t="shared" si="3"/>
        <v>75600</v>
      </c>
      <c r="L96" s="6">
        <f t="shared" si="4"/>
        <v>50400</v>
      </c>
      <c r="M96" s="6">
        <f t="shared" si="5"/>
        <v>25200</v>
      </c>
    </row>
    <row r="97" spans="1:13" x14ac:dyDescent="0.3">
      <c r="A97" s="2" t="s">
        <v>2183</v>
      </c>
      <c r="B97" s="2" t="s">
        <v>2184</v>
      </c>
      <c r="C97" s="2" t="s">
        <v>1468</v>
      </c>
      <c r="D97" s="2" t="s">
        <v>1469</v>
      </c>
      <c r="E97" s="2" t="s">
        <v>200</v>
      </c>
      <c r="F97" s="2" t="s">
        <v>199</v>
      </c>
      <c r="G97" s="2" t="s">
        <v>169</v>
      </c>
      <c r="H97" s="2">
        <v>29</v>
      </c>
      <c r="I97" s="3">
        <v>430</v>
      </c>
      <c r="J97" s="3">
        <v>560</v>
      </c>
      <c r="K97" s="3">
        <f t="shared" si="3"/>
        <v>16240</v>
      </c>
      <c r="L97" s="3">
        <f t="shared" si="4"/>
        <v>12470</v>
      </c>
      <c r="M97" s="3">
        <f t="shared" si="5"/>
        <v>3770</v>
      </c>
    </row>
    <row r="98" spans="1:13" x14ac:dyDescent="0.3">
      <c r="A98" s="5" t="s">
        <v>2185</v>
      </c>
      <c r="B98" s="5" t="s">
        <v>1955</v>
      </c>
      <c r="C98" s="5" t="s">
        <v>1507</v>
      </c>
      <c r="D98" s="5" t="s">
        <v>1508</v>
      </c>
      <c r="E98" s="5" t="s">
        <v>842</v>
      </c>
      <c r="F98" s="5" t="s">
        <v>841</v>
      </c>
      <c r="G98" s="5" t="s">
        <v>816</v>
      </c>
      <c r="H98" s="5">
        <v>31</v>
      </c>
      <c r="I98" s="6">
        <v>650</v>
      </c>
      <c r="J98" s="6">
        <v>950</v>
      </c>
      <c r="K98" s="6">
        <f t="shared" si="3"/>
        <v>29450</v>
      </c>
      <c r="L98" s="6">
        <f t="shared" si="4"/>
        <v>20150</v>
      </c>
      <c r="M98" s="6">
        <f t="shared" si="5"/>
        <v>9300</v>
      </c>
    </row>
    <row r="99" spans="1:13" x14ac:dyDescent="0.3">
      <c r="A99" s="2" t="s">
        <v>2186</v>
      </c>
      <c r="B99" s="2" t="s">
        <v>2187</v>
      </c>
      <c r="C99" s="2" t="s">
        <v>1304</v>
      </c>
      <c r="D99" s="2" t="s">
        <v>1305</v>
      </c>
      <c r="E99" s="2" t="s">
        <v>208</v>
      </c>
      <c r="F99" s="2" t="s">
        <v>207</v>
      </c>
      <c r="G99" s="2" t="s">
        <v>169</v>
      </c>
      <c r="H99" s="2">
        <v>13</v>
      </c>
      <c r="I99" s="3">
        <v>1100</v>
      </c>
      <c r="J99" s="3">
        <v>1450</v>
      </c>
      <c r="K99" s="3">
        <f t="shared" si="3"/>
        <v>18850</v>
      </c>
      <c r="L99" s="3">
        <f t="shared" si="4"/>
        <v>14300</v>
      </c>
      <c r="M99" s="3">
        <f t="shared" si="5"/>
        <v>4550</v>
      </c>
    </row>
    <row r="100" spans="1:13" x14ac:dyDescent="0.3">
      <c r="A100" s="5" t="s">
        <v>2188</v>
      </c>
      <c r="B100" s="5" t="s">
        <v>1815</v>
      </c>
      <c r="C100" s="5" t="s">
        <v>1304</v>
      </c>
      <c r="D100" s="5" t="s">
        <v>1305</v>
      </c>
      <c r="E100" s="5" t="s">
        <v>147</v>
      </c>
      <c r="F100" s="5" t="s">
        <v>146</v>
      </c>
      <c r="G100" s="5" t="s">
        <v>17</v>
      </c>
      <c r="H100" s="5">
        <v>29</v>
      </c>
      <c r="I100" s="6">
        <v>72000</v>
      </c>
      <c r="J100" s="6">
        <v>90000</v>
      </c>
      <c r="K100" s="6">
        <f t="shared" si="3"/>
        <v>2610000</v>
      </c>
      <c r="L100" s="6">
        <f t="shared" si="4"/>
        <v>2088000</v>
      </c>
      <c r="M100" s="6">
        <f t="shared" si="5"/>
        <v>522000</v>
      </c>
    </row>
    <row r="101" spans="1:13" x14ac:dyDescent="0.3">
      <c r="A101" s="2" t="s">
        <v>2189</v>
      </c>
      <c r="B101" s="2" t="s">
        <v>2083</v>
      </c>
      <c r="C101" s="2" t="s">
        <v>1220</v>
      </c>
      <c r="D101" s="2" t="s">
        <v>1221</v>
      </c>
      <c r="E101" s="2" t="s">
        <v>513</v>
      </c>
      <c r="F101" s="2" t="s">
        <v>512</v>
      </c>
      <c r="G101" s="2" t="s">
        <v>469</v>
      </c>
      <c r="H101" s="2">
        <v>50</v>
      </c>
      <c r="I101" s="3">
        <v>2800</v>
      </c>
      <c r="J101" s="3">
        <v>3800</v>
      </c>
      <c r="K101" s="3">
        <f t="shared" si="3"/>
        <v>190000</v>
      </c>
      <c r="L101" s="3">
        <f t="shared" si="4"/>
        <v>140000</v>
      </c>
      <c r="M101" s="3">
        <f t="shared" si="5"/>
        <v>50000</v>
      </c>
    </row>
    <row r="102" spans="1:13" x14ac:dyDescent="0.3">
      <c r="A102" s="5" t="s">
        <v>2190</v>
      </c>
      <c r="B102" s="5" t="s">
        <v>1770</v>
      </c>
      <c r="C102" s="5" t="s">
        <v>1517</v>
      </c>
      <c r="D102" s="5" t="s">
        <v>1518</v>
      </c>
      <c r="E102" s="5" t="s">
        <v>695</v>
      </c>
      <c r="F102" s="5" t="s">
        <v>694</v>
      </c>
      <c r="G102" s="5" t="s">
        <v>609</v>
      </c>
      <c r="H102" s="5">
        <v>8</v>
      </c>
      <c r="I102" s="6">
        <v>680</v>
      </c>
      <c r="J102" s="6">
        <v>950</v>
      </c>
      <c r="K102" s="6">
        <f t="shared" si="3"/>
        <v>7600</v>
      </c>
      <c r="L102" s="6">
        <f t="shared" si="4"/>
        <v>5440</v>
      </c>
      <c r="M102" s="6">
        <f t="shared" si="5"/>
        <v>2160</v>
      </c>
    </row>
    <row r="103" spans="1:13" x14ac:dyDescent="0.3">
      <c r="A103" s="2" t="s">
        <v>2191</v>
      </c>
      <c r="B103" s="2" t="s">
        <v>1822</v>
      </c>
      <c r="C103" s="2" t="s">
        <v>1314</v>
      </c>
      <c r="D103" s="2" t="s">
        <v>1315</v>
      </c>
      <c r="E103" s="2" t="s">
        <v>783</v>
      </c>
      <c r="F103" s="2" t="s">
        <v>782</v>
      </c>
      <c r="G103" s="2" t="s">
        <v>731</v>
      </c>
      <c r="H103" s="2">
        <v>47</v>
      </c>
      <c r="I103" s="3">
        <v>50</v>
      </c>
      <c r="J103" s="3">
        <v>80</v>
      </c>
      <c r="K103" s="3">
        <f t="shared" si="3"/>
        <v>3760</v>
      </c>
      <c r="L103" s="3">
        <f t="shared" si="4"/>
        <v>2350</v>
      </c>
      <c r="M103" s="3">
        <f t="shared" si="5"/>
        <v>1410</v>
      </c>
    </row>
    <row r="104" spans="1:13" x14ac:dyDescent="0.3">
      <c r="A104" s="5" t="s">
        <v>2192</v>
      </c>
      <c r="B104" s="5" t="s">
        <v>1770</v>
      </c>
      <c r="C104" s="5" t="s">
        <v>1498</v>
      </c>
      <c r="D104" s="5" t="s">
        <v>1499</v>
      </c>
      <c r="E104" s="5" t="s">
        <v>239</v>
      </c>
      <c r="F104" s="5" t="s">
        <v>238</v>
      </c>
      <c r="G104" s="5" t="s">
        <v>169</v>
      </c>
      <c r="H104" s="5">
        <v>19</v>
      </c>
      <c r="I104" s="6">
        <v>50</v>
      </c>
      <c r="J104" s="6">
        <v>72</v>
      </c>
      <c r="K104" s="6">
        <f t="shared" si="3"/>
        <v>1368</v>
      </c>
      <c r="L104" s="6">
        <f t="shared" si="4"/>
        <v>950</v>
      </c>
      <c r="M104" s="6">
        <f t="shared" si="5"/>
        <v>418</v>
      </c>
    </row>
    <row r="105" spans="1:13" x14ac:dyDescent="0.3">
      <c r="A105" s="2" t="s">
        <v>2193</v>
      </c>
      <c r="B105" s="2" t="s">
        <v>1937</v>
      </c>
      <c r="C105" s="2" t="s">
        <v>1242</v>
      </c>
      <c r="D105" s="2" t="s">
        <v>1243</v>
      </c>
      <c r="E105" s="2" t="s">
        <v>521</v>
      </c>
      <c r="F105" s="2" t="s">
        <v>520</v>
      </c>
      <c r="G105" s="2" t="s">
        <v>469</v>
      </c>
      <c r="H105" s="2">
        <v>24</v>
      </c>
      <c r="I105" s="3">
        <v>3200</v>
      </c>
      <c r="J105" s="3">
        <v>4400</v>
      </c>
      <c r="K105" s="3">
        <f t="shared" si="3"/>
        <v>105600</v>
      </c>
      <c r="L105" s="3">
        <f t="shared" si="4"/>
        <v>76800</v>
      </c>
      <c r="M105" s="3">
        <f t="shared" si="5"/>
        <v>28800</v>
      </c>
    </row>
    <row r="106" spans="1:13" x14ac:dyDescent="0.3">
      <c r="A106" s="5" t="s">
        <v>2194</v>
      </c>
      <c r="B106" s="5" t="s">
        <v>2056</v>
      </c>
      <c r="C106" s="5" t="s">
        <v>1644</v>
      </c>
      <c r="D106" s="5" t="s">
        <v>1645</v>
      </c>
      <c r="E106" s="5" t="s">
        <v>278</v>
      </c>
      <c r="F106" s="5" t="s">
        <v>277</v>
      </c>
      <c r="G106" s="5" t="s">
        <v>169</v>
      </c>
      <c r="H106" s="5">
        <v>12</v>
      </c>
      <c r="I106" s="6">
        <v>120</v>
      </c>
      <c r="J106" s="6">
        <v>165</v>
      </c>
      <c r="K106" s="6">
        <f t="shared" si="3"/>
        <v>1980</v>
      </c>
      <c r="L106" s="6">
        <f t="shared" si="4"/>
        <v>1440</v>
      </c>
      <c r="M106" s="6">
        <f t="shared" si="5"/>
        <v>540</v>
      </c>
    </row>
    <row r="107" spans="1:13" x14ac:dyDescent="0.3">
      <c r="A107" s="2" t="s">
        <v>2195</v>
      </c>
      <c r="B107" s="2" t="s">
        <v>1799</v>
      </c>
      <c r="C107" s="2" t="s">
        <v>1415</v>
      </c>
      <c r="D107" s="2" t="s">
        <v>1416</v>
      </c>
      <c r="E107" s="2" t="s">
        <v>625</v>
      </c>
      <c r="F107" s="2" t="s">
        <v>624</v>
      </c>
      <c r="G107" s="2" t="s">
        <v>609</v>
      </c>
      <c r="H107" s="2">
        <v>19</v>
      </c>
      <c r="I107" s="3">
        <v>45</v>
      </c>
      <c r="J107" s="3">
        <v>70</v>
      </c>
      <c r="K107" s="3">
        <f t="shared" si="3"/>
        <v>1330</v>
      </c>
      <c r="L107" s="3">
        <f t="shared" si="4"/>
        <v>855</v>
      </c>
      <c r="M107" s="3">
        <f t="shared" si="5"/>
        <v>475</v>
      </c>
    </row>
    <row r="108" spans="1:13" x14ac:dyDescent="0.3">
      <c r="A108" s="5" t="s">
        <v>2196</v>
      </c>
      <c r="B108" s="5" t="s">
        <v>2197</v>
      </c>
      <c r="C108" s="5" t="s">
        <v>1394</v>
      </c>
      <c r="D108" s="5" t="s">
        <v>1395</v>
      </c>
      <c r="E108" s="5" t="s">
        <v>29</v>
      </c>
      <c r="F108" s="5" t="s">
        <v>28</v>
      </c>
      <c r="G108" s="5" t="s">
        <v>17</v>
      </c>
      <c r="H108" s="5">
        <v>25</v>
      </c>
      <c r="I108" s="6">
        <v>240000</v>
      </c>
      <c r="J108" s="6">
        <v>279000</v>
      </c>
      <c r="K108" s="6">
        <f t="shared" si="3"/>
        <v>6975000</v>
      </c>
      <c r="L108" s="6">
        <f t="shared" si="4"/>
        <v>6000000</v>
      </c>
      <c r="M108" s="6">
        <f t="shared" si="5"/>
        <v>975000</v>
      </c>
    </row>
    <row r="109" spans="1:13" x14ac:dyDescent="0.3">
      <c r="A109" s="2" t="s">
        <v>2198</v>
      </c>
      <c r="B109" s="2" t="s">
        <v>1858</v>
      </c>
      <c r="C109" s="2" t="s">
        <v>1502</v>
      </c>
      <c r="D109" s="2" t="s">
        <v>1503</v>
      </c>
      <c r="E109" s="2" t="s">
        <v>324</v>
      </c>
      <c r="F109" s="2" t="s">
        <v>323</v>
      </c>
      <c r="G109" s="2" t="s">
        <v>169</v>
      </c>
      <c r="H109" s="2">
        <v>47</v>
      </c>
      <c r="I109" s="3">
        <v>750</v>
      </c>
      <c r="J109" s="3">
        <v>980</v>
      </c>
      <c r="K109" s="3">
        <f t="shared" si="3"/>
        <v>46060</v>
      </c>
      <c r="L109" s="3">
        <f t="shared" si="4"/>
        <v>35250</v>
      </c>
      <c r="M109" s="3">
        <f t="shared" si="5"/>
        <v>10810</v>
      </c>
    </row>
    <row r="110" spans="1:13" x14ac:dyDescent="0.3">
      <c r="A110" s="5" t="s">
        <v>2199</v>
      </c>
      <c r="B110" s="5" t="s">
        <v>2200</v>
      </c>
      <c r="C110" s="5" t="s">
        <v>1220</v>
      </c>
      <c r="D110" s="5" t="s">
        <v>1221</v>
      </c>
      <c r="E110" s="5" t="s">
        <v>560</v>
      </c>
      <c r="F110" s="5" t="s">
        <v>559</v>
      </c>
      <c r="G110" s="5" t="s">
        <v>469</v>
      </c>
      <c r="H110" s="5">
        <v>12</v>
      </c>
      <c r="I110" s="6">
        <v>65</v>
      </c>
      <c r="J110" s="6">
        <v>95</v>
      </c>
      <c r="K110" s="6">
        <f t="shared" si="3"/>
        <v>1140</v>
      </c>
      <c r="L110" s="6">
        <f t="shared" si="4"/>
        <v>780</v>
      </c>
      <c r="M110" s="6">
        <f t="shared" si="5"/>
        <v>360</v>
      </c>
    </row>
    <row r="111" spans="1:13" x14ac:dyDescent="0.3">
      <c r="A111" s="2" t="s">
        <v>2201</v>
      </c>
      <c r="B111" s="2" t="s">
        <v>2202</v>
      </c>
      <c r="C111" s="2" t="s">
        <v>1498</v>
      </c>
      <c r="D111" s="2" t="s">
        <v>1499</v>
      </c>
      <c r="E111" s="2" t="s">
        <v>887</v>
      </c>
      <c r="F111" s="2" t="s">
        <v>886</v>
      </c>
      <c r="G111" s="2" t="s">
        <v>816</v>
      </c>
      <c r="H111" s="2">
        <v>34</v>
      </c>
      <c r="I111" s="3">
        <v>180</v>
      </c>
      <c r="J111" s="3">
        <v>290</v>
      </c>
      <c r="K111" s="3">
        <f t="shared" si="3"/>
        <v>9860</v>
      </c>
      <c r="L111" s="3">
        <f t="shared" si="4"/>
        <v>6120</v>
      </c>
      <c r="M111" s="3">
        <f t="shared" si="5"/>
        <v>3740</v>
      </c>
    </row>
    <row r="112" spans="1:13" x14ac:dyDescent="0.3">
      <c r="A112" s="5" t="s">
        <v>2203</v>
      </c>
      <c r="B112" s="5" t="s">
        <v>1729</v>
      </c>
      <c r="C112" s="5" t="s">
        <v>1359</v>
      </c>
      <c r="D112" s="5" t="s">
        <v>1360</v>
      </c>
      <c r="E112" s="5" t="s">
        <v>144</v>
      </c>
      <c r="F112" s="5" t="s">
        <v>143</v>
      </c>
      <c r="G112" s="5" t="s">
        <v>17</v>
      </c>
      <c r="H112" s="5">
        <v>27</v>
      </c>
      <c r="I112" s="6">
        <v>65000</v>
      </c>
      <c r="J112" s="6">
        <v>80000</v>
      </c>
      <c r="K112" s="6">
        <f t="shared" si="3"/>
        <v>2160000</v>
      </c>
      <c r="L112" s="6">
        <f t="shared" si="4"/>
        <v>1755000</v>
      </c>
      <c r="M112" s="6">
        <f t="shared" si="5"/>
        <v>405000</v>
      </c>
    </row>
    <row r="113" spans="1:13" x14ac:dyDescent="0.3">
      <c r="A113" s="2" t="s">
        <v>2204</v>
      </c>
      <c r="B113" s="2" t="s">
        <v>2205</v>
      </c>
      <c r="C113" s="2" t="s">
        <v>1517</v>
      </c>
      <c r="D113" s="2" t="s">
        <v>1518</v>
      </c>
      <c r="E113" s="2" t="s">
        <v>113</v>
      </c>
      <c r="F113" s="2" t="s">
        <v>112</v>
      </c>
      <c r="G113" s="2" t="s">
        <v>17</v>
      </c>
      <c r="H113" s="2">
        <v>13</v>
      </c>
      <c r="I113" s="3">
        <v>28000</v>
      </c>
      <c r="J113" s="3">
        <v>36000</v>
      </c>
      <c r="K113" s="3">
        <f t="shared" si="3"/>
        <v>468000</v>
      </c>
      <c r="L113" s="3">
        <f t="shared" si="4"/>
        <v>364000</v>
      </c>
      <c r="M113" s="3">
        <f t="shared" si="5"/>
        <v>104000</v>
      </c>
    </row>
    <row r="114" spans="1:13" x14ac:dyDescent="0.3">
      <c r="A114" s="5" t="s">
        <v>2206</v>
      </c>
      <c r="B114" s="5" t="s">
        <v>1768</v>
      </c>
      <c r="C114" s="5" t="s">
        <v>1458</v>
      </c>
      <c r="D114" s="5" t="s">
        <v>1459</v>
      </c>
      <c r="E114" s="5" t="s">
        <v>750</v>
      </c>
      <c r="F114" s="5" t="s">
        <v>749</v>
      </c>
      <c r="G114" s="5" t="s">
        <v>731</v>
      </c>
      <c r="H114" s="5">
        <v>29</v>
      </c>
      <c r="I114" s="6">
        <v>380</v>
      </c>
      <c r="J114" s="6">
        <v>550</v>
      </c>
      <c r="K114" s="6">
        <f t="shared" si="3"/>
        <v>15950</v>
      </c>
      <c r="L114" s="6">
        <f t="shared" si="4"/>
        <v>11020</v>
      </c>
      <c r="M114" s="6">
        <f t="shared" si="5"/>
        <v>4930</v>
      </c>
    </row>
    <row r="115" spans="1:13" x14ac:dyDescent="0.3">
      <c r="A115" s="2" t="s">
        <v>2207</v>
      </c>
      <c r="B115" s="2" t="s">
        <v>2208</v>
      </c>
      <c r="C115" s="2" t="s">
        <v>1204</v>
      </c>
      <c r="D115" s="2" t="s">
        <v>1205</v>
      </c>
      <c r="E115" s="2" t="s">
        <v>779</v>
      </c>
      <c r="F115" s="2" t="s">
        <v>778</v>
      </c>
      <c r="G115" s="2" t="s">
        <v>731</v>
      </c>
      <c r="H115" s="2">
        <v>46</v>
      </c>
      <c r="I115" s="3">
        <v>180</v>
      </c>
      <c r="J115" s="3">
        <v>280</v>
      </c>
      <c r="K115" s="3">
        <f t="shared" si="3"/>
        <v>12880</v>
      </c>
      <c r="L115" s="3">
        <f t="shared" si="4"/>
        <v>8280</v>
      </c>
      <c r="M115" s="3">
        <f t="shared" si="5"/>
        <v>4600</v>
      </c>
    </row>
    <row r="116" spans="1:13" x14ac:dyDescent="0.3">
      <c r="A116" s="5" t="s">
        <v>2209</v>
      </c>
      <c r="B116" s="5" t="s">
        <v>1955</v>
      </c>
      <c r="C116" s="5" t="s">
        <v>1294</v>
      </c>
      <c r="D116" s="5" t="s">
        <v>1295</v>
      </c>
      <c r="E116" s="5" t="s">
        <v>203</v>
      </c>
      <c r="F116" s="5" t="s">
        <v>202</v>
      </c>
      <c r="G116" s="5" t="s">
        <v>169</v>
      </c>
      <c r="H116" s="5">
        <v>7</v>
      </c>
      <c r="I116" s="6">
        <v>1900</v>
      </c>
      <c r="J116" s="6">
        <v>2450</v>
      </c>
      <c r="K116" s="6">
        <f t="shared" si="3"/>
        <v>17150</v>
      </c>
      <c r="L116" s="6">
        <f t="shared" si="4"/>
        <v>13300</v>
      </c>
      <c r="M116" s="6">
        <f t="shared" si="5"/>
        <v>3850</v>
      </c>
    </row>
    <row r="117" spans="1:13" x14ac:dyDescent="0.3">
      <c r="A117" s="2" t="s">
        <v>2210</v>
      </c>
      <c r="B117" s="2" t="s">
        <v>1703</v>
      </c>
      <c r="C117" s="2" t="s">
        <v>1555</v>
      </c>
      <c r="D117" s="2" t="s">
        <v>1385</v>
      </c>
      <c r="E117" s="2" t="s">
        <v>768</v>
      </c>
      <c r="F117" s="2" t="s">
        <v>767</v>
      </c>
      <c r="G117" s="2" t="s">
        <v>731</v>
      </c>
      <c r="H117" s="2">
        <v>37</v>
      </c>
      <c r="I117" s="3">
        <v>1500</v>
      </c>
      <c r="J117" s="3">
        <v>2400</v>
      </c>
      <c r="K117" s="3">
        <f t="shared" si="3"/>
        <v>88800</v>
      </c>
      <c r="L117" s="3">
        <f t="shared" si="4"/>
        <v>55500</v>
      </c>
      <c r="M117" s="3">
        <f t="shared" si="5"/>
        <v>33300</v>
      </c>
    </row>
    <row r="118" spans="1:13" x14ac:dyDescent="0.3">
      <c r="A118" s="5" t="s">
        <v>2211</v>
      </c>
      <c r="B118" s="5" t="s">
        <v>1754</v>
      </c>
      <c r="C118" s="5" t="s">
        <v>1284</v>
      </c>
      <c r="D118" s="5" t="s">
        <v>1285</v>
      </c>
      <c r="E118" s="5" t="s">
        <v>341</v>
      </c>
      <c r="F118" s="5" t="s">
        <v>340</v>
      </c>
      <c r="G118" s="5" t="s">
        <v>330</v>
      </c>
      <c r="H118" s="5">
        <v>16</v>
      </c>
      <c r="I118" s="6">
        <v>2500</v>
      </c>
      <c r="J118" s="6">
        <v>3800</v>
      </c>
      <c r="K118" s="6">
        <f t="shared" si="3"/>
        <v>60800</v>
      </c>
      <c r="L118" s="6">
        <f t="shared" si="4"/>
        <v>40000</v>
      </c>
      <c r="M118" s="6">
        <f t="shared" si="5"/>
        <v>20800</v>
      </c>
    </row>
    <row r="119" spans="1:13" x14ac:dyDescent="0.3">
      <c r="A119" s="2" t="s">
        <v>2212</v>
      </c>
      <c r="B119" s="2" t="s">
        <v>1711</v>
      </c>
      <c r="C119" s="2" t="s">
        <v>1257</v>
      </c>
      <c r="D119" s="2" t="s">
        <v>1258</v>
      </c>
      <c r="E119" s="2" t="s">
        <v>264</v>
      </c>
      <c r="F119" s="2" t="s">
        <v>263</v>
      </c>
      <c r="G119" s="2" t="s">
        <v>169</v>
      </c>
      <c r="H119" s="2">
        <v>7</v>
      </c>
      <c r="I119" s="3">
        <v>350</v>
      </c>
      <c r="J119" s="3">
        <v>480</v>
      </c>
      <c r="K119" s="3">
        <f t="shared" si="3"/>
        <v>3360</v>
      </c>
      <c r="L119" s="3">
        <f t="shared" si="4"/>
        <v>2450</v>
      </c>
      <c r="M119" s="3">
        <f t="shared" si="5"/>
        <v>910</v>
      </c>
    </row>
    <row r="120" spans="1:13" x14ac:dyDescent="0.3">
      <c r="A120" s="5" t="s">
        <v>2213</v>
      </c>
      <c r="B120" s="5" t="s">
        <v>2214</v>
      </c>
      <c r="C120" s="5" t="s">
        <v>1517</v>
      </c>
      <c r="D120" s="5" t="s">
        <v>1518</v>
      </c>
      <c r="E120" s="5" t="s">
        <v>756</v>
      </c>
      <c r="F120" s="5" t="s">
        <v>755</v>
      </c>
      <c r="G120" s="5" t="s">
        <v>731</v>
      </c>
      <c r="H120" s="5">
        <v>38</v>
      </c>
      <c r="I120" s="6">
        <v>320</v>
      </c>
      <c r="J120" s="6">
        <v>480</v>
      </c>
      <c r="K120" s="6">
        <f t="shared" si="3"/>
        <v>18240</v>
      </c>
      <c r="L120" s="6">
        <f t="shared" si="4"/>
        <v>12160</v>
      </c>
      <c r="M120" s="6">
        <f t="shared" si="5"/>
        <v>6080</v>
      </c>
    </row>
    <row r="121" spans="1:13" x14ac:dyDescent="0.3">
      <c r="A121" s="2" t="s">
        <v>2215</v>
      </c>
      <c r="B121" s="2" t="s">
        <v>1764</v>
      </c>
      <c r="C121" s="2" t="s">
        <v>1394</v>
      </c>
      <c r="D121" s="2" t="s">
        <v>1395</v>
      </c>
      <c r="E121" s="2" t="s">
        <v>472</v>
      </c>
      <c r="F121" s="2" t="s">
        <v>471</v>
      </c>
      <c r="G121" s="2" t="s">
        <v>469</v>
      </c>
      <c r="H121" s="2">
        <v>16</v>
      </c>
      <c r="I121" s="3">
        <v>850</v>
      </c>
      <c r="J121" s="3">
        <v>1050</v>
      </c>
      <c r="K121" s="3">
        <f t="shared" si="3"/>
        <v>16800</v>
      </c>
      <c r="L121" s="3">
        <f t="shared" si="4"/>
        <v>13600</v>
      </c>
      <c r="M121" s="3">
        <f t="shared" si="5"/>
        <v>3200</v>
      </c>
    </row>
    <row r="122" spans="1:13" x14ac:dyDescent="0.3">
      <c r="A122" s="5" t="s">
        <v>2216</v>
      </c>
      <c r="B122" s="5" t="s">
        <v>1996</v>
      </c>
      <c r="C122" s="5" t="s">
        <v>1289</v>
      </c>
      <c r="D122" s="5" t="s">
        <v>1290</v>
      </c>
      <c r="E122" s="5" t="s">
        <v>791</v>
      </c>
      <c r="F122" s="5" t="s">
        <v>790</v>
      </c>
      <c r="G122" s="5" t="s">
        <v>731</v>
      </c>
      <c r="H122" s="5">
        <v>33</v>
      </c>
      <c r="I122" s="6">
        <v>120</v>
      </c>
      <c r="J122" s="6">
        <v>190</v>
      </c>
      <c r="K122" s="6">
        <f t="shared" si="3"/>
        <v>6270</v>
      </c>
      <c r="L122" s="6">
        <f t="shared" si="4"/>
        <v>3960</v>
      </c>
      <c r="M122" s="6">
        <f t="shared" si="5"/>
        <v>2310</v>
      </c>
    </row>
    <row r="123" spans="1:13" x14ac:dyDescent="0.3">
      <c r="A123" s="2" t="s">
        <v>2217</v>
      </c>
      <c r="B123" s="2" t="s">
        <v>1935</v>
      </c>
      <c r="C123" s="2" t="s">
        <v>1237</v>
      </c>
      <c r="D123" s="2" t="s">
        <v>1238</v>
      </c>
      <c r="E123" s="2" t="s">
        <v>495</v>
      </c>
      <c r="F123" s="2" t="s">
        <v>494</v>
      </c>
      <c r="G123" s="2" t="s">
        <v>469</v>
      </c>
      <c r="H123" s="2">
        <v>33</v>
      </c>
      <c r="I123" s="3">
        <v>180</v>
      </c>
      <c r="J123" s="3">
        <v>250</v>
      </c>
      <c r="K123" s="3">
        <f t="shared" si="3"/>
        <v>8250</v>
      </c>
      <c r="L123" s="3">
        <f t="shared" si="4"/>
        <v>5940</v>
      </c>
      <c r="M123" s="3">
        <f t="shared" si="5"/>
        <v>2310</v>
      </c>
    </row>
    <row r="124" spans="1:13" x14ac:dyDescent="0.3">
      <c r="A124" s="5" t="s">
        <v>2218</v>
      </c>
      <c r="B124" s="5" t="s">
        <v>2170</v>
      </c>
      <c r="C124" s="5" t="s">
        <v>1193</v>
      </c>
      <c r="D124" s="5" t="s">
        <v>1194</v>
      </c>
      <c r="E124" s="5" t="s">
        <v>327</v>
      </c>
      <c r="F124" s="5" t="s">
        <v>326</v>
      </c>
      <c r="G124" s="5" t="s">
        <v>169</v>
      </c>
      <c r="H124" s="5">
        <v>17</v>
      </c>
      <c r="I124" s="6">
        <v>280</v>
      </c>
      <c r="J124" s="6">
        <v>380</v>
      </c>
      <c r="K124" s="6">
        <f t="shared" si="3"/>
        <v>6460</v>
      </c>
      <c r="L124" s="6">
        <f t="shared" si="4"/>
        <v>4760</v>
      </c>
      <c r="M124" s="6">
        <f t="shared" si="5"/>
        <v>1700</v>
      </c>
    </row>
    <row r="125" spans="1:13" x14ac:dyDescent="0.3">
      <c r="A125" s="2" t="s">
        <v>2219</v>
      </c>
      <c r="B125" s="2" t="s">
        <v>2220</v>
      </c>
      <c r="C125" s="2" t="s">
        <v>1379</v>
      </c>
      <c r="D125" s="2" t="s">
        <v>1380</v>
      </c>
      <c r="E125" s="2" t="s">
        <v>301</v>
      </c>
      <c r="F125" s="2" t="s">
        <v>300</v>
      </c>
      <c r="G125" s="2" t="s">
        <v>169</v>
      </c>
      <c r="H125" s="2">
        <v>35</v>
      </c>
      <c r="I125" s="3">
        <v>1200</v>
      </c>
      <c r="J125" s="3">
        <v>1550</v>
      </c>
      <c r="K125" s="3">
        <f t="shared" si="3"/>
        <v>54250</v>
      </c>
      <c r="L125" s="3">
        <f t="shared" si="4"/>
        <v>42000</v>
      </c>
      <c r="M125" s="3">
        <f t="shared" si="5"/>
        <v>12250</v>
      </c>
    </row>
    <row r="126" spans="1:13" x14ac:dyDescent="0.3">
      <c r="A126" s="5" t="s">
        <v>2221</v>
      </c>
      <c r="B126" s="5" t="s">
        <v>2083</v>
      </c>
      <c r="C126" s="5" t="s">
        <v>1601</v>
      </c>
      <c r="D126" s="5" t="s">
        <v>1602</v>
      </c>
      <c r="E126" s="5" t="s">
        <v>695</v>
      </c>
      <c r="F126" s="5" t="s">
        <v>694</v>
      </c>
      <c r="G126" s="5" t="s">
        <v>609</v>
      </c>
      <c r="H126" s="5">
        <v>5</v>
      </c>
      <c r="I126" s="6">
        <v>680</v>
      </c>
      <c r="J126" s="6">
        <v>950</v>
      </c>
      <c r="K126" s="6">
        <f t="shared" si="3"/>
        <v>4750</v>
      </c>
      <c r="L126" s="6">
        <f t="shared" si="4"/>
        <v>3400</v>
      </c>
      <c r="M126" s="6">
        <f t="shared" si="5"/>
        <v>1350</v>
      </c>
    </row>
    <row r="127" spans="1:13" x14ac:dyDescent="0.3">
      <c r="A127" s="2" t="s">
        <v>2222</v>
      </c>
      <c r="B127" s="2" t="s">
        <v>2223</v>
      </c>
      <c r="C127" s="2" t="s">
        <v>1182</v>
      </c>
      <c r="D127" s="2" t="s">
        <v>1183</v>
      </c>
      <c r="E127" s="2" t="s">
        <v>407</v>
      </c>
      <c r="F127" s="2" t="s">
        <v>406</v>
      </c>
      <c r="G127" s="2" t="s">
        <v>330</v>
      </c>
      <c r="H127" s="2">
        <v>4</v>
      </c>
      <c r="I127" s="3">
        <v>500</v>
      </c>
      <c r="J127" s="3">
        <v>800</v>
      </c>
      <c r="K127" s="3">
        <f t="shared" si="3"/>
        <v>3200</v>
      </c>
      <c r="L127" s="3">
        <f t="shared" si="4"/>
        <v>2000</v>
      </c>
      <c r="M127" s="3">
        <f t="shared" si="5"/>
        <v>1200</v>
      </c>
    </row>
    <row r="128" spans="1:13" x14ac:dyDescent="0.3">
      <c r="A128" s="5" t="s">
        <v>2224</v>
      </c>
      <c r="B128" s="5" t="s">
        <v>1789</v>
      </c>
      <c r="C128" s="5" t="s">
        <v>1657</v>
      </c>
      <c r="D128" s="5" t="s">
        <v>1658</v>
      </c>
      <c r="E128" s="5" t="s">
        <v>801</v>
      </c>
      <c r="F128" s="5" t="s">
        <v>800</v>
      </c>
      <c r="G128" s="5" t="s">
        <v>731</v>
      </c>
      <c r="H128" s="5">
        <v>12</v>
      </c>
      <c r="I128" s="6">
        <v>380</v>
      </c>
      <c r="J128" s="6">
        <v>580</v>
      </c>
      <c r="K128" s="6">
        <f t="shared" si="3"/>
        <v>6960</v>
      </c>
      <c r="L128" s="6">
        <f t="shared" si="4"/>
        <v>4560</v>
      </c>
      <c r="M128" s="6">
        <f t="shared" si="5"/>
        <v>2400</v>
      </c>
    </row>
    <row r="129" spans="1:13" x14ac:dyDescent="0.3">
      <c r="A129" s="2" t="s">
        <v>2225</v>
      </c>
      <c r="B129" s="2" t="s">
        <v>1701</v>
      </c>
      <c r="C129" s="2" t="s">
        <v>1577</v>
      </c>
      <c r="D129" s="2" t="s">
        <v>1578</v>
      </c>
      <c r="E129" s="2" t="s">
        <v>259</v>
      </c>
      <c r="F129" s="2" t="s">
        <v>258</v>
      </c>
      <c r="G129" s="2" t="s">
        <v>169</v>
      </c>
      <c r="H129" s="2">
        <v>5</v>
      </c>
      <c r="I129" s="3">
        <v>650</v>
      </c>
      <c r="J129" s="3">
        <v>870</v>
      </c>
      <c r="K129" s="3">
        <f t="shared" si="3"/>
        <v>4350</v>
      </c>
      <c r="L129" s="3">
        <f t="shared" si="4"/>
        <v>3250</v>
      </c>
      <c r="M129" s="3">
        <f t="shared" si="5"/>
        <v>1100</v>
      </c>
    </row>
    <row r="130" spans="1:13" x14ac:dyDescent="0.3">
      <c r="A130" s="5" t="s">
        <v>2226</v>
      </c>
      <c r="B130" s="5" t="s">
        <v>2227</v>
      </c>
      <c r="C130" s="5" t="s">
        <v>1204</v>
      </c>
      <c r="D130" s="5" t="s">
        <v>1205</v>
      </c>
      <c r="E130" s="5" t="s">
        <v>461</v>
      </c>
      <c r="F130" s="5" t="s">
        <v>460</v>
      </c>
      <c r="G130" s="5" t="s">
        <v>330</v>
      </c>
      <c r="H130" s="5">
        <v>1</v>
      </c>
      <c r="I130" s="6">
        <v>600</v>
      </c>
      <c r="J130" s="6">
        <v>950</v>
      </c>
      <c r="K130" s="6">
        <f t="shared" si="3"/>
        <v>950</v>
      </c>
      <c r="L130" s="6">
        <f t="shared" si="4"/>
        <v>600</v>
      </c>
      <c r="M130" s="6">
        <f t="shared" si="5"/>
        <v>350</v>
      </c>
    </row>
    <row r="131" spans="1:13" x14ac:dyDescent="0.3">
      <c r="A131" s="2" t="s">
        <v>2228</v>
      </c>
      <c r="B131" s="2" t="s">
        <v>1768</v>
      </c>
      <c r="C131" s="2" t="s">
        <v>1319</v>
      </c>
      <c r="D131" s="2" t="s">
        <v>1320</v>
      </c>
      <c r="E131" s="2" t="s">
        <v>813</v>
      </c>
      <c r="F131" s="2" t="s">
        <v>812</v>
      </c>
      <c r="G131" s="2" t="s">
        <v>731</v>
      </c>
      <c r="H131" s="2">
        <v>25</v>
      </c>
      <c r="I131" s="3">
        <v>1800</v>
      </c>
      <c r="J131" s="3">
        <v>2700</v>
      </c>
      <c r="K131" s="3">
        <f t="shared" ref="K131:K194" si="6">H131*J131</f>
        <v>67500</v>
      </c>
      <c r="L131" s="3">
        <f t="shared" ref="L131:L194" si="7">H131*I131</f>
        <v>45000</v>
      </c>
      <c r="M131" s="3">
        <f t="shared" ref="M131:M194" si="8">K131-L131</f>
        <v>22500</v>
      </c>
    </row>
    <row r="132" spans="1:13" x14ac:dyDescent="0.3">
      <c r="A132" s="5" t="s">
        <v>2229</v>
      </c>
      <c r="B132" s="5" t="s">
        <v>1766</v>
      </c>
      <c r="C132" s="5" t="s">
        <v>1473</v>
      </c>
      <c r="D132" s="5" t="s">
        <v>1474</v>
      </c>
      <c r="E132" s="5" t="s">
        <v>612</v>
      </c>
      <c r="F132" s="5" t="s">
        <v>611</v>
      </c>
      <c r="G132" s="5" t="s">
        <v>609</v>
      </c>
      <c r="H132" s="5">
        <v>6</v>
      </c>
      <c r="I132" s="6">
        <v>85</v>
      </c>
      <c r="J132" s="6">
        <v>120</v>
      </c>
      <c r="K132" s="6">
        <f t="shared" si="6"/>
        <v>720</v>
      </c>
      <c r="L132" s="6">
        <f t="shared" si="7"/>
        <v>510</v>
      </c>
      <c r="M132" s="6">
        <f t="shared" si="8"/>
        <v>210</v>
      </c>
    </row>
    <row r="133" spans="1:13" x14ac:dyDescent="0.3">
      <c r="A133" s="2" t="s">
        <v>2230</v>
      </c>
      <c r="B133" s="2" t="s">
        <v>2231</v>
      </c>
      <c r="C133" s="2" t="s">
        <v>1473</v>
      </c>
      <c r="D133" s="2" t="s">
        <v>1474</v>
      </c>
      <c r="E133" s="2" t="s">
        <v>824</v>
      </c>
      <c r="F133" s="2" t="s">
        <v>823</v>
      </c>
      <c r="G133" s="2" t="s">
        <v>816</v>
      </c>
      <c r="H133" s="2">
        <v>45</v>
      </c>
      <c r="I133" s="3">
        <v>3200</v>
      </c>
      <c r="J133" s="3">
        <v>4500</v>
      </c>
      <c r="K133" s="3">
        <f t="shared" si="6"/>
        <v>202500</v>
      </c>
      <c r="L133" s="3">
        <f t="shared" si="7"/>
        <v>144000</v>
      </c>
      <c r="M133" s="3">
        <f t="shared" si="8"/>
        <v>58500</v>
      </c>
    </row>
    <row r="134" spans="1:13" x14ac:dyDescent="0.3">
      <c r="A134" s="5" t="s">
        <v>2232</v>
      </c>
      <c r="B134" s="5" t="s">
        <v>2173</v>
      </c>
      <c r="C134" s="5" t="s">
        <v>1512</v>
      </c>
      <c r="D134" s="5" t="s">
        <v>1513</v>
      </c>
      <c r="E134" s="5" t="s">
        <v>842</v>
      </c>
      <c r="F134" s="5" t="s">
        <v>841</v>
      </c>
      <c r="G134" s="5" t="s">
        <v>816</v>
      </c>
      <c r="H134" s="5">
        <v>19</v>
      </c>
      <c r="I134" s="6">
        <v>650</v>
      </c>
      <c r="J134" s="6">
        <v>950</v>
      </c>
      <c r="K134" s="6">
        <f t="shared" si="6"/>
        <v>18050</v>
      </c>
      <c r="L134" s="6">
        <f t="shared" si="7"/>
        <v>12350</v>
      </c>
      <c r="M134" s="6">
        <f t="shared" si="8"/>
        <v>5700</v>
      </c>
    </row>
    <row r="135" spans="1:13" x14ac:dyDescent="0.3">
      <c r="A135" s="2" t="s">
        <v>2233</v>
      </c>
      <c r="B135" s="2" t="s">
        <v>2054</v>
      </c>
      <c r="C135" s="2" t="s">
        <v>1463</v>
      </c>
      <c r="D135" s="2" t="s">
        <v>1464</v>
      </c>
      <c r="E135" s="2" t="s">
        <v>132</v>
      </c>
      <c r="F135" s="2" t="s">
        <v>131</v>
      </c>
      <c r="G135" s="2" t="s">
        <v>17</v>
      </c>
      <c r="H135" s="2">
        <v>13</v>
      </c>
      <c r="I135" s="3">
        <v>95000</v>
      </c>
      <c r="J135" s="3">
        <v>118000</v>
      </c>
      <c r="K135" s="3">
        <f t="shared" si="6"/>
        <v>1534000</v>
      </c>
      <c r="L135" s="3">
        <f t="shared" si="7"/>
        <v>1235000</v>
      </c>
      <c r="M135" s="3">
        <f t="shared" si="8"/>
        <v>299000</v>
      </c>
    </row>
    <row r="136" spans="1:13" x14ac:dyDescent="0.3">
      <c r="A136" s="5" t="s">
        <v>2234</v>
      </c>
      <c r="B136" s="5" t="s">
        <v>1707</v>
      </c>
      <c r="C136" s="5" t="s">
        <v>1577</v>
      </c>
      <c r="D136" s="5" t="s">
        <v>1578</v>
      </c>
      <c r="E136" s="5" t="s">
        <v>681</v>
      </c>
      <c r="F136" s="5" t="s">
        <v>680</v>
      </c>
      <c r="G136" s="5" t="s">
        <v>609</v>
      </c>
      <c r="H136" s="5">
        <v>8</v>
      </c>
      <c r="I136" s="6">
        <v>650</v>
      </c>
      <c r="J136" s="6">
        <v>1000</v>
      </c>
      <c r="K136" s="6">
        <f t="shared" si="6"/>
        <v>8000</v>
      </c>
      <c r="L136" s="6">
        <f t="shared" si="7"/>
        <v>5200</v>
      </c>
      <c r="M136" s="6">
        <f t="shared" si="8"/>
        <v>2800</v>
      </c>
    </row>
    <row r="137" spans="1:13" x14ac:dyDescent="0.3">
      <c r="A137" s="2" t="s">
        <v>2235</v>
      </c>
      <c r="B137" s="2" t="s">
        <v>1842</v>
      </c>
      <c r="C137" s="2" t="s">
        <v>1300</v>
      </c>
      <c r="D137" s="2" t="s">
        <v>1301</v>
      </c>
      <c r="E137" s="2" t="s">
        <v>396</v>
      </c>
      <c r="F137" s="2" t="s">
        <v>395</v>
      </c>
      <c r="G137" s="2" t="s">
        <v>330</v>
      </c>
      <c r="H137" s="2">
        <v>43</v>
      </c>
      <c r="I137" s="3">
        <v>800</v>
      </c>
      <c r="J137" s="3">
        <v>1250</v>
      </c>
      <c r="K137" s="3">
        <f t="shared" si="6"/>
        <v>53750</v>
      </c>
      <c r="L137" s="3">
        <f t="shared" si="7"/>
        <v>34400</v>
      </c>
      <c r="M137" s="3">
        <f t="shared" si="8"/>
        <v>19350</v>
      </c>
    </row>
    <row r="138" spans="1:13" x14ac:dyDescent="0.3">
      <c r="A138" s="5" t="s">
        <v>2236</v>
      </c>
      <c r="B138" s="5" t="s">
        <v>1944</v>
      </c>
      <c r="C138" s="5" t="s">
        <v>1324</v>
      </c>
      <c r="D138" s="5" t="s">
        <v>1325</v>
      </c>
      <c r="E138" s="5" t="s">
        <v>214</v>
      </c>
      <c r="F138" s="5" t="s">
        <v>213</v>
      </c>
      <c r="G138" s="5" t="s">
        <v>169</v>
      </c>
      <c r="H138" s="5">
        <v>19</v>
      </c>
      <c r="I138" s="6">
        <v>65</v>
      </c>
      <c r="J138" s="6">
        <v>95</v>
      </c>
      <c r="K138" s="6">
        <f t="shared" si="6"/>
        <v>1805</v>
      </c>
      <c r="L138" s="6">
        <f t="shared" si="7"/>
        <v>1235</v>
      </c>
      <c r="M138" s="6">
        <f t="shared" si="8"/>
        <v>570</v>
      </c>
    </row>
    <row r="139" spans="1:13" x14ac:dyDescent="0.3">
      <c r="A139" s="2" t="s">
        <v>2237</v>
      </c>
      <c r="B139" s="2" t="s">
        <v>2238</v>
      </c>
      <c r="C139" s="2" t="s">
        <v>1209</v>
      </c>
      <c r="D139" s="2" t="s">
        <v>1210</v>
      </c>
      <c r="E139" s="2" t="s">
        <v>150</v>
      </c>
      <c r="F139" s="2" t="s">
        <v>149</v>
      </c>
      <c r="G139" s="2" t="s">
        <v>17</v>
      </c>
      <c r="H139" s="2">
        <v>15</v>
      </c>
      <c r="I139" s="3">
        <v>82000</v>
      </c>
      <c r="J139" s="3">
        <v>102000</v>
      </c>
      <c r="K139" s="3">
        <f t="shared" si="6"/>
        <v>1530000</v>
      </c>
      <c r="L139" s="3">
        <f t="shared" si="7"/>
        <v>1230000</v>
      </c>
      <c r="M139" s="3">
        <f t="shared" si="8"/>
        <v>300000</v>
      </c>
    </row>
    <row r="140" spans="1:13" x14ac:dyDescent="0.3">
      <c r="A140" s="5" t="s">
        <v>2239</v>
      </c>
      <c r="B140" s="5" t="s">
        <v>2240</v>
      </c>
      <c r="C140" s="5" t="s">
        <v>1577</v>
      </c>
      <c r="D140" s="5" t="s">
        <v>1578</v>
      </c>
      <c r="E140" s="5" t="s">
        <v>555</v>
      </c>
      <c r="F140" s="5" t="s">
        <v>554</v>
      </c>
      <c r="G140" s="5" t="s">
        <v>469</v>
      </c>
      <c r="H140" s="5">
        <v>39</v>
      </c>
      <c r="I140" s="6">
        <v>45</v>
      </c>
      <c r="J140" s="6">
        <v>65</v>
      </c>
      <c r="K140" s="6">
        <f t="shared" si="6"/>
        <v>2535</v>
      </c>
      <c r="L140" s="6">
        <f t="shared" si="7"/>
        <v>1755</v>
      </c>
      <c r="M140" s="6">
        <f t="shared" si="8"/>
        <v>780</v>
      </c>
    </row>
    <row r="141" spans="1:13" x14ac:dyDescent="0.3">
      <c r="A141" s="2" t="s">
        <v>2241</v>
      </c>
      <c r="B141" s="2" t="s">
        <v>2242</v>
      </c>
      <c r="C141" s="2" t="s">
        <v>1359</v>
      </c>
      <c r="D141" s="2" t="s">
        <v>1360</v>
      </c>
      <c r="E141" s="2" t="s">
        <v>734</v>
      </c>
      <c r="F141" s="2" t="s">
        <v>733</v>
      </c>
      <c r="G141" s="2" t="s">
        <v>731</v>
      </c>
      <c r="H141" s="2">
        <v>40</v>
      </c>
      <c r="I141" s="3">
        <v>1100</v>
      </c>
      <c r="J141" s="3">
        <v>1550</v>
      </c>
      <c r="K141" s="3">
        <f t="shared" si="6"/>
        <v>62000</v>
      </c>
      <c r="L141" s="3">
        <f t="shared" si="7"/>
        <v>44000</v>
      </c>
      <c r="M141" s="3">
        <f t="shared" si="8"/>
        <v>18000</v>
      </c>
    </row>
    <row r="142" spans="1:13" x14ac:dyDescent="0.3">
      <c r="A142" s="5" t="s">
        <v>2243</v>
      </c>
      <c r="B142" s="5" t="s">
        <v>2006</v>
      </c>
      <c r="C142" s="5" t="s">
        <v>1661</v>
      </c>
      <c r="D142" s="5" t="s">
        <v>1662</v>
      </c>
      <c r="E142" s="5" t="s">
        <v>703</v>
      </c>
      <c r="F142" s="5" t="s">
        <v>702</v>
      </c>
      <c r="G142" s="5" t="s">
        <v>609</v>
      </c>
      <c r="H142" s="5">
        <v>39</v>
      </c>
      <c r="I142" s="6">
        <v>680</v>
      </c>
      <c r="J142" s="6">
        <v>980</v>
      </c>
      <c r="K142" s="6">
        <f t="shared" si="6"/>
        <v>38220</v>
      </c>
      <c r="L142" s="6">
        <f t="shared" si="7"/>
        <v>26520</v>
      </c>
      <c r="M142" s="6">
        <f t="shared" si="8"/>
        <v>11700</v>
      </c>
    </row>
    <row r="143" spans="1:13" x14ac:dyDescent="0.3">
      <c r="A143" s="2" t="s">
        <v>2244</v>
      </c>
      <c r="B143" s="2" t="s">
        <v>2245</v>
      </c>
      <c r="C143" s="2" t="s">
        <v>1384</v>
      </c>
      <c r="D143" s="2" t="s">
        <v>1385</v>
      </c>
      <c r="E143" s="2" t="s">
        <v>158</v>
      </c>
      <c r="F143" s="2" t="s">
        <v>157</v>
      </c>
      <c r="G143" s="2" t="s">
        <v>17</v>
      </c>
      <c r="H143" s="2">
        <v>4</v>
      </c>
      <c r="I143" s="3">
        <v>75000</v>
      </c>
      <c r="J143" s="3">
        <v>95000</v>
      </c>
      <c r="K143" s="3">
        <f t="shared" si="6"/>
        <v>380000</v>
      </c>
      <c r="L143" s="3">
        <f t="shared" si="7"/>
        <v>300000</v>
      </c>
      <c r="M143" s="3">
        <f t="shared" si="8"/>
        <v>80000</v>
      </c>
    </row>
    <row r="144" spans="1:13" x14ac:dyDescent="0.3">
      <c r="A144" s="5" t="s">
        <v>2246</v>
      </c>
      <c r="B144" s="5" t="s">
        <v>2247</v>
      </c>
      <c r="C144" s="5" t="s">
        <v>1502</v>
      </c>
      <c r="D144" s="5" t="s">
        <v>1503</v>
      </c>
      <c r="E144" s="5" t="s">
        <v>118</v>
      </c>
      <c r="F144" s="5" t="s">
        <v>117</v>
      </c>
      <c r="G144" s="5" t="s">
        <v>17</v>
      </c>
      <c r="H144" s="5">
        <v>33</v>
      </c>
      <c r="I144" s="6">
        <v>55000</v>
      </c>
      <c r="J144" s="6">
        <v>68000</v>
      </c>
      <c r="K144" s="6">
        <f t="shared" si="6"/>
        <v>2244000</v>
      </c>
      <c r="L144" s="6">
        <f t="shared" si="7"/>
        <v>1815000</v>
      </c>
      <c r="M144" s="6">
        <f t="shared" si="8"/>
        <v>429000</v>
      </c>
    </row>
    <row r="145" spans="1:13" x14ac:dyDescent="0.3">
      <c r="A145" s="2" t="s">
        <v>2248</v>
      </c>
      <c r="B145" s="2" t="s">
        <v>2249</v>
      </c>
      <c r="C145" s="2" t="s">
        <v>1294</v>
      </c>
      <c r="D145" s="2" t="s">
        <v>1295</v>
      </c>
      <c r="E145" s="2" t="s">
        <v>521</v>
      </c>
      <c r="F145" s="2" t="s">
        <v>520</v>
      </c>
      <c r="G145" s="2" t="s">
        <v>469</v>
      </c>
      <c r="H145" s="2">
        <v>10</v>
      </c>
      <c r="I145" s="3">
        <v>3200</v>
      </c>
      <c r="J145" s="3">
        <v>4400</v>
      </c>
      <c r="K145" s="3">
        <f t="shared" si="6"/>
        <v>44000</v>
      </c>
      <c r="L145" s="3">
        <f t="shared" si="7"/>
        <v>32000</v>
      </c>
      <c r="M145" s="3">
        <f t="shared" si="8"/>
        <v>12000</v>
      </c>
    </row>
    <row r="146" spans="1:13" x14ac:dyDescent="0.3">
      <c r="A146" s="5" t="s">
        <v>2250</v>
      </c>
      <c r="B146" s="5" t="s">
        <v>2251</v>
      </c>
      <c r="C146" s="5" t="s">
        <v>1403</v>
      </c>
      <c r="D146" s="5" t="s">
        <v>1404</v>
      </c>
      <c r="E146" s="5" t="s">
        <v>599</v>
      </c>
      <c r="F146" s="5" t="s">
        <v>598</v>
      </c>
      <c r="G146" s="5" t="s">
        <v>469</v>
      </c>
      <c r="H146" s="5">
        <v>9</v>
      </c>
      <c r="I146" s="6">
        <v>600</v>
      </c>
      <c r="J146" s="6">
        <v>900</v>
      </c>
      <c r="K146" s="6">
        <f t="shared" si="6"/>
        <v>8100</v>
      </c>
      <c r="L146" s="6">
        <f t="shared" si="7"/>
        <v>5400</v>
      </c>
      <c r="M146" s="6">
        <f t="shared" si="8"/>
        <v>2700</v>
      </c>
    </row>
    <row r="147" spans="1:13" x14ac:dyDescent="0.3">
      <c r="A147" s="2" t="s">
        <v>2252</v>
      </c>
      <c r="B147" s="2" t="s">
        <v>1858</v>
      </c>
      <c r="C147" s="2" t="s">
        <v>1369</v>
      </c>
      <c r="D147" s="2" t="s">
        <v>1370</v>
      </c>
      <c r="E147" s="2" t="s">
        <v>824</v>
      </c>
      <c r="F147" s="2" t="s">
        <v>823</v>
      </c>
      <c r="G147" s="2" t="s">
        <v>816</v>
      </c>
      <c r="H147" s="2">
        <v>7</v>
      </c>
      <c r="I147" s="3">
        <v>3200</v>
      </c>
      <c r="J147" s="3">
        <v>4500</v>
      </c>
      <c r="K147" s="3">
        <f t="shared" si="6"/>
        <v>31500</v>
      </c>
      <c r="L147" s="3">
        <f t="shared" si="7"/>
        <v>22400</v>
      </c>
      <c r="M147" s="3">
        <f t="shared" si="8"/>
        <v>9100</v>
      </c>
    </row>
    <row r="148" spans="1:13" x14ac:dyDescent="0.3">
      <c r="A148" s="5" t="s">
        <v>2253</v>
      </c>
      <c r="B148" s="5" t="s">
        <v>1892</v>
      </c>
      <c r="C148" s="5" t="s">
        <v>1374</v>
      </c>
      <c r="D148" s="5" t="s">
        <v>1375</v>
      </c>
      <c r="E148" s="5" t="s">
        <v>602</v>
      </c>
      <c r="F148" s="5" t="s">
        <v>601</v>
      </c>
      <c r="G148" s="5" t="s">
        <v>469</v>
      </c>
      <c r="H148" s="5">
        <v>30</v>
      </c>
      <c r="I148" s="6">
        <v>280</v>
      </c>
      <c r="J148" s="6">
        <v>420</v>
      </c>
      <c r="K148" s="6">
        <f t="shared" si="6"/>
        <v>12600</v>
      </c>
      <c r="L148" s="6">
        <f t="shared" si="7"/>
        <v>8400</v>
      </c>
      <c r="M148" s="6">
        <f t="shared" si="8"/>
        <v>4200</v>
      </c>
    </row>
    <row r="149" spans="1:13" x14ac:dyDescent="0.3">
      <c r="A149" s="2" t="s">
        <v>2254</v>
      </c>
      <c r="B149" s="2" t="s">
        <v>2255</v>
      </c>
      <c r="C149" s="2" t="s">
        <v>1257</v>
      </c>
      <c r="D149" s="2" t="s">
        <v>1258</v>
      </c>
      <c r="E149" s="2" t="s">
        <v>110</v>
      </c>
      <c r="F149" s="2" t="s">
        <v>109</v>
      </c>
      <c r="G149" s="2" t="s">
        <v>17</v>
      </c>
      <c r="H149" s="2">
        <v>10</v>
      </c>
      <c r="I149" s="3">
        <v>68000</v>
      </c>
      <c r="J149" s="3">
        <v>85000</v>
      </c>
      <c r="K149" s="3">
        <f t="shared" si="6"/>
        <v>850000</v>
      </c>
      <c r="L149" s="3">
        <f t="shared" si="7"/>
        <v>680000</v>
      </c>
      <c r="M149" s="3">
        <f t="shared" si="8"/>
        <v>170000</v>
      </c>
    </row>
    <row r="150" spans="1:13" x14ac:dyDescent="0.3">
      <c r="A150" s="5" t="s">
        <v>2256</v>
      </c>
      <c r="B150" s="5" t="s">
        <v>2257</v>
      </c>
      <c r="C150" s="5" t="s">
        <v>1279</v>
      </c>
      <c r="D150" s="5" t="s">
        <v>1280</v>
      </c>
      <c r="E150" s="5" t="s">
        <v>677</v>
      </c>
      <c r="F150" s="5" t="s">
        <v>676</v>
      </c>
      <c r="G150" s="5" t="s">
        <v>609</v>
      </c>
      <c r="H150" s="5">
        <v>33</v>
      </c>
      <c r="I150" s="6">
        <v>2800</v>
      </c>
      <c r="J150" s="6">
        <v>4200</v>
      </c>
      <c r="K150" s="6">
        <f t="shared" si="6"/>
        <v>138600</v>
      </c>
      <c r="L150" s="6">
        <f t="shared" si="7"/>
        <v>92400</v>
      </c>
      <c r="M150" s="6">
        <f t="shared" si="8"/>
        <v>46200</v>
      </c>
    </row>
    <row r="151" spans="1:13" x14ac:dyDescent="0.3">
      <c r="A151" s="2" t="s">
        <v>2258</v>
      </c>
      <c r="B151" s="2" t="s">
        <v>2259</v>
      </c>
      <c r="C151" s="2" t="s">
        <v>1412</v>
      </c>
      <c r="D151" s="2" t="s">
        <v>1413</v>
      </c>
      <c r="E151" s="2" t="s">
        <v>350</v>
      </c>
      <c r="F151" s="2" t="s">
        <v>349</v>
      </c>
      <c r="G151" s="2" t="s">
        <v>330</v>
      </c>
      <c r="H151" s="2">
        <v>48</v>
      </c>
      <c r="I151" s="3">
        <v>2200</v>
      </c>
      <c r="J151" s="3">
        <v>3200</v>
      </c>
      <c r="K151" s="3">
        <f t="shared" si="6"/>
        <v>153600</v>
      </c>
      <c r="L151" s="3">
        <f t="shared" si="7"/>
        <v>105600</v>
      </c>
      <c r="M151" s="3">
        <f t="shared" si="8"/>
        <v>48000</v>
      </c>
    </row>
    <row r="152" spans="1:13" x14ac:dyDescent="0.3">
      <c r="A152" s="5" t="s">
        <v>2260</v>
      </c>
      <c r="B152" s="5" t="s">
        <v>2261</v>
      </c>
      <c r="C152" s="5" t="s">
        <v>1626</v>
      </c>
      <c r="D152" s="5" t="s">
        <v>1627</v>
      </c>
      <c r="E152" s="5" t="s">
        <v>298</v>
      </c>
      <c r="F152" s="5" t="s">
        <v>297</v>
      </c>
      <c r="G152" s="5" t="s">
        <v>169</v>
      </c>
      <c r="H152" s="5">
        <v>2</v>
      </c>
      <c r="I152" s="6">
        <v>185</v>
      </c>
      <c r="J152" s="6">
        <v>245</v>
      </c>
      <c r="K152" s="6">
        <f t="shared" si="6"/>
        <v>490</v>
      </c>
      <c r="L152" s="6">
        <f t="shared" si="7"/>
        <v>370</v>
      </c>
      <c r="M152" s="6">
        <f t="shared" si="8"/>
        <v>120</v>
      </c>
    </row>
    <row r="153" spans="1:13" x14ac:dyDescent="0.3">
      <c r="A153" s="2" t="s">
        <v>2262</v>
      </c>
      <c r="B153" s="2" t="s">
        <v>1764</v>
      </c>
      <c r="C153" s="2" t="s">
        <v>1384</v>
      </c>
      <c r="D153" s="2" t="s">
        <v>1385</v>
      </c>
      <c r="E153" s="2" t="s">
        <v>20</v>
      </c>
      <c r="F153" s="2" t="s">
        <v>19</v>
      </c>
      <c r="G153" s="2" t="s">
        <v>17</v>
      </c>
      <c r="H153" s="2">
        <v>19</v>
      </c>
      <c r="I153" s="3">
        <v>75000</v>
      </c>
      <c r="J153" s="3">
        <v>95000</v>
      </c>
      <c r="K153" s="3">
        <f t="shared" si="6"/>
        <v>1805000</v>
      </c>
      <c r="L153" s="3">
        <f t="shared" si="7"/>
        <v>1425000</v>
      </c>
      <c r="M153" s="3">
        <f t="shared" si="8"/>
        <v>380000</v>
      </c>
    </row>
    <row r="154" spans="1:13" x14ac:dyDescent="0.3">
      <c r="A154" s="5" t="s">
        <v>2263</v>
      </c>
      <c r="B154" s="5" t="s">
        <v>1727</v>
      </c>
      <c r="C154" s="5" t="s">
        <v>1468</v>
      </c>
      <c r="D154" s="5" t="s">
        <v>1469</v>
      </c>
      <c r="E154" s="5" t="s">
        <v>516</v>
      </c>
      <c r="F154" s="5" t="s">
        <v>515</v>
      </c>
      <c r="G154" s="5" t="s">
        <v>469</v>
      </c>
      <c r="H154" s="5">
        <v>20</v>
      </c>
      <c r="I154" s="6">
        <v>3600</v>
      </c>
      <c r="J154" s="6">
        <v>4800</v>
      </c>
      <c r="K154" s="6">
        <f t="shared" si="6"/>
        <v>96000</v>
      </c>
      <c r="L154" s="6">
        <f t="shared" si="7"/>
        <v>72000</v>
      </c>
      <c r="M154" s="6">
        <f t="shared" si="8"/>
        <v>24000</v>
      </c>
    </row>
    <row r="155" spans="1:13" x14ac:dyDescent="0.3">
      <c r="A155" s="2" t="s">
        <v>2264</v>
      </c>
      <c r="B155" s="2" t="s">
        <v>2265</v>
      </c>
      <c r="C155" s="2" t="s">
        <v>1198</v>
      </c>
      <c r="D155" s="2" t="s">
        <v>1199</v>
      </c>
      <c r="E155" s="2" t="s">
        <v>45</v>
      </c>
      <c r="F155" s="2" t="s">
        <v>44</v>
      </c>
      <c r="G155" s="2" t="s">
        <v>17</v>
      </c>
      <c r="H155" s="2">
        <v>6</v>
      </c>
      <c r="I155" s="3">
        <v>38000</v>
      </c>
      <c r="J155" s="3">
        <v>47000</v>
      </c>
      <c r="K155" s="3">
        <f t="shared" si="6"/>
        <v>282000</v>
      </c>
      <c r="L155" s="3">
        <f t="shared" si="7"/>
        <v>228000</v>
      </c>
      <c r="M155" s="3">
        <f t="shared" si="8"/>
        <v>54000</v>
      </c>
    </row>
    <row r="156" spans="1:13" x14ac:dyDescent="0.3">
      <c r="A156" s="5" t="s">
        <v>2266</v>
      </c>
      <c r="B156" s="5" t="s">
        <v>2142</v>
      </c>
      <c r="C156" s="5" t="s">
        <v>1379</v>
      </c>
      <c r="D156" s="5" t="s">
        <v>1380</v>
      </c>
      <c r="E156" s="5" t="s">
        <v>560</v>
      </c>
      <c r="F156" s="5" t="s">
        <v>559</v>
      </c>
      <c r="G156" s="5" t="s">
        <v>469</v>
      </c>
      <c r="H156" s="5">
        <v>27</v>
      </c>
      <c r="I156" s="6">
        <v>65</v>
      </c>
      <c r="J156" s="6">
        <v>95</v>
      </c>
      <c r="K156" s="6">
        <f t="shared" si="6"/>
        <v>2565</v>
      </c>
      <c r="L156" s="6">
        <f t="shared" si="7"/>
        <v>1755</v>
      </c>
      <c r="M156" s="6">
        <f t="shared" si="8"/>
        <v>810</v>
      </c>
    </row>
    <row r="157" spans="1:13" x14ac:dyDescent="0.3">
      <c r="A157" s="2" t="s">
        <v>2267</v>
      </c>
      <c r="B157" s="2" t="s">
        <v>2268</v>
      </c>
      <c r="C157" s="2" t="s">
        <v>1568</v>
      </c>
      <c r="D157" s="2" t="s">
        <v>1569</v>
      </c>
      <c r="E157" s="2" t="s">
        <v>502</v>
      </c>
      <c r="F157" s="2" t="s">
        <v>501</v>
      </c>
      <c r="G157" s="2" t="s">
        <v>469</v>
      </c>
      <c r="H157" s="2">
        <v>18</v>
      </c>
      <c r="I157" s="3">
        <v>260</v>
      </c>
      <c r="J157" s="3">
        <v>320</v>
      </c>
      <c r="K157" s="3">
        <f t="shared" si="6"/>
        <v>5760</v>
      </c>
      <c r="L157" s="3">
        <f t="shared" si="7"/>
        <v>4680</v>
      </c>
      <c r="M157" s="3">
        <f t="shared" si="8"/>
        <v>1080</v>
      </c>
    </row>
    <row r="158" spans="1:13" x14ac:dyDescent="0.3">
      <c r="A158" s="5" t="s">
        <v>2269</v>
      </c>
      <c r="B158" s="5" t="s">
        <v>2270</v>
      </c>
      <c r="C158" s="5" t="s">
        <v>1582</v>
      </c>
      <c r="D158" s="5" t="s">
        <v>1583</v>
      </c>
      <c r="E158" s="5" t="s">
        <v>881</v>
      </c>
      <c r="F158" s="5" t="s">
        <v>880</v>
      </c>
      <c r="G158" s="5" t="s">
        <v>816</v>
      </c>
      <c r="H158" s="5">
        <v>28</v>
      </c>
      <c r="I158" s="6">
        <v>2500</v>
      </c>
      <c r="J158" s="6">
        <v>3800</v>
      </c>
      <c r="K158" s="6">
        <f t="shared" si="6"/>
        <v>106400</v>
      </c>
      <c r="L158" s="6">
        <f t="shared" si="7"/>
        <v>70000</v>
      </c>
      <c r="M158" s="6">
        <f t="shared" si="8"/>
        <v>36400</v>
      </c>
    </row>
    <row r="159" spans="1:13" x14ac:dyDescent="0.3">
      <c r="A159" s="2" t="s">
        <v>2271</v>
      </c>
      <c r="B159" s="2" t="s">
        <v>2272</v>
      </c>
      <c r="C159" s="2" t="s">
        <v>1193</v>
      </c>
      <c r="D159" s="2" t="s">
        <v>1194</v>
      </c>
      <c r="E159" s="2" t="s">
        <v>99</v>
      </c>
      <c r="F159" s="2" t="s">
        <v>98</v>
      </c>
      <c r="G159" s="2" t="s">
        <v>17</v>
      </c>
      <c r="H159" s="2">
        <v>26</v>
      </c>
      <c r="I159" s="3">
        <v>78000</v>
      </c>
      <c r="J159" s="3">
        <v>98000</v>
      </c>
      <c r="K159" s="3">
        <f t="shared" si="6"/>
        <v>2548000</v>
      </c>
      <c r="L159" s="3">
        <f t="shared" si="7"/>
        <v>2028000</v>
      </c>
      <c r="M159" s="3">
        <f t="shared" si="8"/>
        <v>520000</v>
      </c>
    </row>
    <row r="160" spans="1:13" x14ac:dyDescent="0.3">
      <c r="A160" s="5" t="s">
        <v>2273</v>
      </c>
      <c r="B160" s="5" t="s">
        <v>1826</v>
      </c>
      <c r="C160" s="5" t="s">
        <v>1639</v>
      </c>
      <c r="D160" s="5" t="s">
        <v>1640</v>
      </c>
      <c r="E160" s="5" t="s">
        <v>298</v>
      </c>
      <c r="F160" s="5" t="s">
        <v>297</v>
      </c>
      <c r="G160" s="5" t="s">
        <v>169</v>
      </c>
      <c r="H160" s="5">
        <v>1</v>
      </c>
      <c r="I160" s="6">
        <v>185</v>
      </c>
      <c r="J160" s="6">
        <v>245</v>
      </c>
      <c r="K160" s="6">
        <f t="shared" si="6"/>
        <v>245</v>
      </c>
      <c r="L160" s="6">
        <f t="shared" si="7"/>
        <v>185</v>
      </c>
      <c r="M160" s="6">
        <f t="shared" si="8"/>
        <v>60</v>
      </c>
    </row>
    <row r="161" spans="1:13" x14ac:dyDescent="0.3">
      <c r="A161" s="2" t="s">
        <v>2274</v>
      </c>
      <c r="B161" s="2" t="s">
        <v>2160</v>
      </c>
      <c r="C161" s="2" t="s">
        <v>1550</v>
      </c>
      <c r="D161" s="2" t="s">
        <v>1551</v>
      </c>
      <c r="E161" s="2" t="s">
        <v>574</v>
      </c>
      <c r="F161" s="2" t="s">
        <v>573</v>
      </c>
      <c r="G161" s="2" t="s">
        <v>469</v>
      </c>
      <c r="H161" s="2">
        <v>5</v>
      </c>
      <c r="I161" s="3">
        <v>3200</v>
      </c>
      <c r="J161" s="3">
        <v>4500</v>
      </c>
      <c r="K161" s="3">
        <f t="shared" si="6"/>
        <v>22500</v>
      </c>
      <c r="L161" s="3">
        <f t="shared" si="7"/>
        <v>16000</v>
      </c>
      <c r="M161" s="3">
        <f t="shared" si="8"/>
        <v>6500</v>
      </c>
    </row>
    <row r="162" spans="1:13" x14ac:dyDescent="0.3">
      <c r="A162" s="5" t="s">
        <v>2275</v>
      </c>
      <c r="B162" s="5" t="s">
        <v>2223</v>
      </c>
      <c r="C162" s="5" t="s">
        <v>1384</v>
      </c>
      <c r="D162" s="5" t="s">
        <v>1385</v>
      </c>
      <c r="E162" s="5" t="s">
        <v>26</v>
      </c>
      <c r="F162" s="5" t="s">
        <v>25</v>
      </c>
      <c r="G162" s="5" t="s">
        <v>17</v>
      </c>
      <c r="H162" s="5">
        <v>47</v>
      </c>
      <c r="I162" s="6">
        <v>55000</v>
      </c>
      <c r="J162" s="6">
        <v>68000</v>
      </c>
      <c r="K162" s="6">
        <f t="shared" si="6"/>
        <v>3196000</v>
      </c>
      <c r="L162" s="6">
        <f t="shared" si="7"/>
        <v>2585000</v>
      </c>
      <c r="M162" s="6">
        <f t="shared" si="8"/>
        <v>611000</v>
      </c>
    </row>
    <row r="163" spans="1:13" x14ac:dyDescent="0.3">
      <c r="A163" s="2" t="s">
        <v>2276</v>
      </c>
      <c r="B163" s="2" t="s">
        <v>2277</v>
      </c>
      <c r="C163" s="2" t="s">
        <v>1454</v>
      </c>
      <c r="D163" s="2" t="s">
        <v>1455</v>
      </c>
      <c r="E163" s="2" t="s">
        <v>544</v>
      </c>
      <c r="F163" s="2" t="s">
        <v>543</v>
      </c>
      <c r="G163" s="2" t="s">
        <v>469</v>
      </c>
      <c r="H163" s="2">
        <v>7</v>
      </c>
      <c r="I163" s="3">
        <v>250</v>
      </c>
      <c r="J163" s="3">
        <v>340</v>
      </c>
      <c r="K163" s="3">
        <f t="shared" si="6"/>
        <v>2380</v>
      </c>
      <c r="L163" s="3">
        <f t="shared" si="7"/>
        <v>1750</v>
      </c>
      <c r="M163" s="3">
        <f t="shared" si="8"/>
        <v>630</v>
      </c>
    </row>
    <row r="164" spans="1:13" x14ac:dyDescent="0.3">
      <c r="A164" s="5" t="s">
        <v>2278</v>
      </c>
      <c r="B164" s="5" t="s">
        <v>1894</v>
      </c>
      <c r="C164" s="5" t="s">
        <v>1193</v>
      </c>
      <c r="D164" s="5" t="s">
        <v>1194</v>
      </c>
      <c r="E164" s="5" t="s">
        <v>566</v>
      </c>
      <c r="F164" s="5" t="s">
        <v>565</v>
      </c>
      <c r="G164" s="5" t="s">
        <v>469</v>
      </c>
      <c r="H164" s="5">
        <v>47</v>
      </c>
      <c r="I164" s="6">
        <v>180</v>
      </c>
      <c r="J164" s="6">
        <v>280</v>
      </c>
      <c r="K164" s="6">
        <f t="shared" si="6"/>
        <v>13160</v>
      </c>
      <c r="L164" s="6">
        <f t="shared" si="7"/>
        <v>8460</v>
      </c>
      <c r="M164" s="6">
        <f t="shared" si="8"/>
        <v>4700</v>
      </c>
    </row>
    <row r="165" spans="1:13" x14ac:dyDescent="0.3">
      <c r="A165" s="2" t="s">
        <v>2279</v>
      </c>
      <c r="B165" s="2" t="s">
        <v>2087</v>
      </c>
      <c r="C165" s="2" t="s">
        <v>1257</v>
      </c>
      <c r="D165" s="2" t="s">
        <v>1258</v>
      </c>
      <c r="E165" s="2" t="s">
        <v>750</v>
      </c>
      <c r="F165" s="2" t="s">
        <v>749</v>
      </c>
      <c r="G165" s="2" t="s">
        <v>731</v>
      </c>
      <c r="H165" s="2">
        <v>37</v>
      </c>
      <c r="I165" s="3">
        <v>380</v>
      </c>
      <c r="J165" s="3">
        <v>550</v>
      </c>
      <c r="K165" s="3">
        <f t="shared" si="6"/>
        <v>20350</v>
      </c>
      <c r="L165" s="3">
        <f t="shared" si="7"/>
        <v>14060</v>
      </c>
      <c r="M165" s="3">
        <f t="shared" si="8"/>
        <v>6290</v>
      </c>
    </row>
    <row r="166" spans="1:13" x14ac:dyDescent="0.3">
      <c r="A166" s="5" t="s">
        <v>2280</v>
      </c>
      <c r="B166" s="5" t="s">
        <v>2281</v>
      </c>
      <c r="C166" s="5" t="s">
        <v>1198</v>
      </c>
      <c r="D166" s="5" t="s">
        <v>1199</v>
      </c>
      <c r="E166" s="5" t="s">
        <v>699</v>
      </c>
      <c r="F166" s="5" t="s">
        <v>698</v>
      </c>
      <c r="G166" s="5" t="s">
        <v>609</v>
      </c>
      <c r="H166" s="5">
        <v>40</v>
      </c>
      <c r="I166" s="6">
        <v>120</v>
      </c>
      <c r="J166" s="6">
        <v>175</v>
      </c>
      <c r="K166" s="6">
        <f t="shared" si="6"/>
        <v>7000</v>
      </c>
      <c r="L166" s="6">
        <f t="shared" si="7"/>
        <v>4800</v>
      </c>
      <c r="M166" s="6">
        <f t="shared" si="8"/>
        <v>2200</v>
      </c>
    </row>
    <row r="167" spans="1:13" x14ac:dyDescent="0.3">
      <c r="A167" s="2" t="s">
        <v>2282</v>
      </c>
      <c r="B167" s="2" t="s">
        <v>2004</v>
      </c>
      <c r="C167" s="2" t="s">
        <v>1339</v>
      </c>
      <c r="D167" s="2" t="s">
        <v>1340</v>
      </c>
      <c r="E167" s="2" t="s">
        <v>495</v>
      </c>
      <c r="F167" s="2" t="s">
        <v>494</v>
      </c>
      <c r="G167" s="2" t="s">
        <v>469</v>
      </c>
      <c r="H167" s="2">
        <v>23</v>
      </c>
      <c r="I167" s="3">
        <v>180</v>
      </c>
      <c r="J167" s="3">
        <v>250</v>
      </c>
      <c r="K167" s="3">
        <f t="shared" si="6"/>
        <v>5750</v>
      </c>
      <c r="L167" s="3">
        <f t="shared" si="7"/>
        <v>4140</v>
      </c>
      <c r="M167" s="3">
        <f t="shared" si="8"/>
        <v>1610</v>
      </c>
    </row>
    <row r="168" spans="1:13" x14ac:dyDescent="0.3">
      <c r="A168" s="5" t="s">
        <v>2283</v>
      </c>
      <c r="B168" s="5" t="s">
        <v>2284</v>
      </c>
      <c r="C168" s="5" t="s">
        <v>1220</v>
      </c>
      <c r="D168" s="5" t="s">
        <v>1221</v>
      </c>
      <c r="E168" s="5" t="s">
        <v>612</v>
      </c>
      <c r="F168" s="5" t="s">
        <v>611</v>
      </c>
      <c r="G168" s="5" t="s">
        <v>609</v>
      </c>
      <c r="H168" s="5">
        <v>46</v>
      </c>
      <c r="I168" s="6">
        <v>85</v>
      </c>
      <c r="J168" s="6">
        <v>120</v>
      </c>
      <c r="K168" s="6">
        <f t="shared" si="6"/>
        <v>5520</v>
      </c>
      <c r="L168" s="6">
        <f t="shared" si="7"/>
        <v>3910</v>
      </c>
      <c r="M168" s="6">
        <f t="shared" si="8"/>
        <v>1610</v>
      </c>
    </row>
    <row r="169" spans="1:13" x14ac:dyDescent="0.3">
      <c r="A169" s="2" t="s">
        <v>2285</v>
      </c>
      <c r="B169" s="2" t="s">
        <v>2286</v>
      </c>
      <c r="C169" s="2" t="s">
        <v>1257</v>
      </c>
      <c r="D169" s="2" t="s">
        <v>1258</v>
      </c>
      <c r="E169" s="2" t="s">
        <v>891</v>
      </c>
      <c r="F169" s="2" t="s">
        <v>890</v>
      </c>
      <c r="G169" s="2" t="s">
        <v>816</v>
      </c>
      <c r="H169" s="2">
        <v>46</v>
      </c>
      <c r="I169" s="3">
        <v>550</v>
      </c>
      <c r="J169" s="3">
        <v>850</v>
      </c>
      <c r="K169" s="3">
        <f t="shared" si="6"/>
        <v>39100</v>
      </c>
      <c r="L169" s="3">
        <f t="shared" si="7"/>
        <v>25300</v>
      </c>
      <c r="M169" s="3">
        <f t="shared" si="8"/>
        <v>13800</v>
      </c>
    </row>
    <row r="170" spans="1:13" x14ac:dyDescent="0.3">
      <c r="A170" s="5" t="s">
        <v>2287</v>
      </c>
      <c r="B170" s="5" t="s">
        <v>2288</v>
      </c>
      <c r="C170" s="5" t="s">
        <v>1344</v>
      </c>
      <c r="D170" s="5" t="s">
        <v>1345</v>
      </c>
      <c r="E170" s="5" t="s">
        <v>278</v>
      </c>
      <c r="F170" s="5" t="s">
        <v>277</v>
      </c>
      <c r="G170" s="5" t="s">
        <v>169</v>
      </c>
      <c r="H170" s="5">
        <v>38</v>
      </c>
      <c r="I170" s="6">
        <v>120</v>
      </c>
      <c r="J170" s="6">
        <v>165</v>
      </c>
      <c r="K170" s="6">
        <f t="shared" si="6"/>
        <v>6270</v>
      </c>
      <c r="L170" s="6">
        <f t="shared" si="7"/>
        <v>4560</v>
      </c>
      <c r="M170" s="6">
        <f t="shared" si="8"/>
        <v>1710</v>
      </c>
    </row>
    <row r="171" spans="1:13" x14ac:dyDescent="0.3">
      <c r="A171" s="2" t="s">
        <v>2289</v>
      </c>
      <c r="B171" s="2" t="s">
        <v>2050</v>
      </c>
      <c r="C171" s="2" t="s">
        <v>1493</v>
      </c>
      <c r="D171" s="2" t="s">
        <v>1494</v>
      </c>
      <c r="E171" s="2" t="s">
        <v>508</v>
      </c>
      <c r="F171" s="2" t="s">
        <v>507</v>
      </c>
      <c r="G171" s="2" t="s">
        <v>469</v>
      </c>
      <c r="H171" s="2">
        <v>3</v>
      </c>
      <c r="I171" s="3">
        <v>3800</v>
      </c>
      <c r="J171" s="3">
        <v>5000</v>
      </c>
      <c r="K171" s="3">
        <f t="shared" si="6"/>
        <v>15000</v>
      </c>
      <c r="L171" s="3">
        <f t="shared" si="7"/>
        <v>11400</v>
      </c>
      <c r="M171" s="3">
        <f t="shared" si="8"/>
        <v>3600</v>
      </c>
    </row>
    <row r="172" spans="1:13" x14ac:dyDescent="0.3">
      <c r="A172" s="5" t="s">
        <v>2290</v>
      </c>
      <c r="B172" s="5" t="s">
        <v>2291</v>
      </c>
      <c r="C172" s="5" t="s">
        <v>1648</v>
      </c>
      <c r="D172" s="5" t="s">
        <v>1649</v>
      </c>
      <c r="E172" s="5" t="s">
        <v>877</v>
      </c>
      <c r="F172" s="5" t="s">
        <v>876</v>
      </c>
      <c r="G172" s="5" t="s">
        <v>816</v>
      </c>
      <c r="H172" s="5">
        <v>42</v>
      </c>
      <c r="I172" s="6">
        <v>1800</v>
      </c>
      <c r="J172" s="6">
        <v>2700</v>
      </c>
      <c r="K172" s="6">
        <f t="shared" si="6"/>
        <v>113400</v>
      </c>
      <c r="L172" s="6">
        <f t="shared" si="7"/>
        <v>75600</v>
      </c>
      <c r="M172" s="6">
        <f t="shared" si="8"/>
        <v>37800</v>
      </c>
    </row>
    <row r="173" spans="1:13" x14ac:dyDescent="0.3">
      <c r="A173" s="2" t="s">
        <v>2292</v>
      </c>
      <c r="B173" s="2" t="s">
        <v>1678</v>
      </c>
      <c r="C173" s="2" t="s">
        <v>1300</v>
      </c>
      <c r="D173" s="2" t="s">
        <v>1301</v>
      </c>
      <c r="E173" s="2" t="s">
        <v>110</v>
      </c>
      <c r="F173" s="2" t="s">
        <v>109</v>
      </c>
      <c r="G173" s="2" t="s">
        <v>17</v>
      </c>
      <c r="H173" s="2">
        <v>11</v>
      </c>
      <c r="I173" s="3">
        <v>68000</v>
      </c>
      <c r="J173" s="3">
        <v>85000</v>
      </c>
      <c r="K173" s="3">
        <f t="shared" si="6"/>
        <v>935000</v>
      </c>
      <c r="L173" s="3">
        <f t="shared" si="7"/>
        <v>748000</v>
      </c>
      <c r="M173" s="3">
        <f t="shared" si="8"/>
        <v>187000</v>
      </c>
    </row>
    <row r="174" spans="1:13" x14ac:dyDescent="0.3">
      <c r="A174" s="5" t="s">
        <v>2293</v>
      </c>
      <c r="B174" s="5" t="s">
        <v>2076</v>
      </c>
      <c r="C174" s="5" t="s">
        <v>1568</v>
      </c>
      <c r="D174" s="5" t="s">
        <v>1569</v>
      </c>
      <c r="E174" s="5" t="s">
        <v>571</v>
      </c>
      <c r="F174" s="5" t="s">
        <v>570</v>
      </c>
      <c r="G174" s="5" t="s">
        <v>469</v>
      </c>
      <c r="H174" s="5">
        <v>14</v>
      </c>
      <c r="I174" s="6">
        <v>120</v>
      </c>
      <c r="J174" s="6">
        <v>190</v>
      </c>
      <c r="K174" s="6">
        <f t="shared" si="6"/>
        <v>2660</v>
      </c>
      <c r="L174" s="6">
        <f t="shared" si="7"/>
        <v>1680</v>
      </c>
      <c r="M174" s="6">
        <f t="shared" si="8"/>
        <v>980</v>
      </c>
    </row>
    <row r="175" spans="1:13" x14ac:dyDescent="0.3">
      <c r="A175" s="2" t="s">
        <v>2294</v>
      </c>
      <c r="B175" s="2" t="s">
        <v>1799</v>
      </c>
      <c r="C175" s="2" t="s">
        <v>1558</v>
      </c>
      <c r="D175" s="2" t="s">
        <v>1559</v>
      </c>
      <c r="E175" s="2" t="s">
        <v>681</v>
      </c>
      <c r="F175" s="2" t="s">
        <v>680</v>
      </c>
      <c r="G175" s="2" t="s">
        <v>609</v>
      </c>
      <c r="H175" s="2">
        <v>37</v>
      </c>
      <c r="I175" s="3">
        <v>650</v>
      </c>
      <c r="J175" s="3">
        <v>1000</v>
      </c>
      <c r="K175" s="3">
        <f t="shared" si="6"/>
        <v>37000</v>
      </c>
      <c r="L175" s="3">
        <f t="shared" si="7"/>
        <v>24050</v>
      </c>
      <c r="M175" s="3">
        <f t="shared" si="8"/>
        <v>12950</v>
      </c>
    </row>
    <row r="176" spans="1:13" x14ac:dyDescent="0.3">
      <c r="A176" s="5" t="s">
        <v>2295</v>
      </c>
      <c r="B176" s="5" t="s">
        <v>2296</v>
      </c>
      <c r="C176" s="5" t="s">
        <v>1334</v>
      </c>
      <c r="D176" s="5" t="s">
        <v>1335</v>
      </c>
      <c r="E176" s="5" t="s">
        <v>233</v>
      </c>
      <c r="F176" s="5" t="s">
        <v>232</v>
      </c>
      <c r="G176" s="5" t="s">
        <v>169</v>
      </c>
      <c r="H176" s="5">
        <v>19</v>
      </c>
      <c r="I176" s="6">
        <v>65</v>
      </c>
      <c r="J176" s="6">
        <v>90</v>
      </c>
      <c r="K176" s="6">
        <f t="shared" si="6"/>
        <v>1710</v>
      </c>
      <c r="L176" s="6">
        <f t="shared" si="7"/>
        <v>1235</v>
      </c>
      <c r="M176" s="6">
        <f t="shared" si="8"/>
        <v>475</v>
      </c>
    </row>
    <row r="177" spans="1:13" x14ac:dyDescent="0.3">
      <c r="A177" s="2" t="s">
        <v>2297</v>
      </c>
      <c r="B177" s="2" t="s">
        <v>2291</v>
      </c>
      <c r="C177" s="2" t="s">
        <v>1403</v>
      </c>
      <c r="D177" s="2" t="s">
        <v>1404</v>
      </c>
      <c r="E177" s="2" t="s">
        <v>158</v>
      </c>
      <c r="F177" s="2" t="s">
        <v>157</v>
      </c>
      <c r="G177" s="2" t="s">
        <v>17</v>
      </c>
      <c r="H177" s="2">
        <v>38</v>
      </c>
      <c r="I177" s="3">
        <v>75000</v>
      </c>
      <c r="J177" s="3">
        <v>95000</v>
      </c>
      <c r="K177" s="3">
        <f t="shared" si="6"/>
        <v>3610000</v>
      </c>
      <c r="L177" s="3">
        <f t="shared" si="7"/>
        <v>2850000</v>
      </c>
      <c r="M177" s="3">
        <f t="shared" si="8"/>
        <v>760000</v>
      </c>
    </row>
    <row r="178" spans="1:13" x14ac:dyDescent="0.3">
      <c r="A178" s="5" t="s">
        <v>2298</v>
      </c>
      <c r="B178" s="5" t="s">
        <v>2299</v>
      </c>
      <c r="C178" s="5" t="s">
        <v>1635</v>
      </c>
      <c r="D178" s="5" t="s">
        <v>1636</v>
      </c>
      <c r="E178" s="5" t="s">
        <v>499</v>
      </c>
      <c r="F178" s="5" t="s">
        <v>498</v>
      </c>
      <c r="G178" s="5" t="s">
        <v>469</v>
      </c>
      <c r="H178" s="5">
        <v>21</v>
      </c>
      <c r="I178" s="6">
        <v>200</v>
      </c>
      <c r="J178" s="6">
        <v>280</v>
      </c>
      <c r="K178" s="6">
        <f t="shared" si="6"/>
        <v>5880</v>
      </c>
      <c r="L178" s="6">
        <f t="shared" si="7"/>
        <v>4200</v>
      </c>
      <c r="M178" s="6">
        <f t="shared" si="8"/>
        <v>1680</v>
      </c>
    </row>
    <row r="179" spans="1:13" x14ac:dyDescent="0.3">
      <c r="A179" s="2" t="s">
        <v>2300</v>
      </c>
      <c r="B179" s="2" t="s">
        <v>2301</v>
      </c>
      <c r="C179" s="2" t="s">
        <v>1176</v>
      </c>
      <c r="D179" s="2" t="s">
        <v>1177</v>
      </c>
      <c r="E179" s="2" t="s">
        <v>544</v>
      </c>
      <c r="F179" s="2" t="s">
        <v>543</v>
      </c>
      <c r="G179" s="2" t="s">
        <v>469</v>
      </c>
      <c r="H179" s="2">
        <v>20</v>
      </c>
      <c r="I179" s="3">
        <v>250</v>
      </c>
      <c r="J179" s="3">
        <v>340</v>
      </c>
      <c r="K179" s="3">
        <f t="shared" si="6"/>
        <v>6800</v>
      </c>
      <c r="L179" s="3">
        <f t="shared" si="7"/>
        <v>5000</v>
      </c>
      <c r="M179" s="3">
        <f t="shared" si="8"/>
        <v>1800</v>
      </c>
    </row>
    <row r="180" spans="1:13" x14ac:dyDescent="0.3">
      <c r="A180" s="5" t="s">
        <v>2302</v>
      </c>
      <c r="B180" s="5" t="s">
        <v>1785</v>
      </c>
      <c r="C180" s="5" t="s">
        <v>1412</v>
      </c>
      <c r="D180" s="5" t="s">
        <v>1413</v>
      </c>
      <c r="E180" s="5" t="s">
        <v>147</v>
      </c>
      <c r="F180" s="5" t="s">
        <v>146</v>
      </c>
      <c r="G180" s="5" t="s">
        <v>17</v>
      </c>
      <c r="H180" s="5">
        <v>48</v>
      </c>
      <c r="I180" s="6">
        <v>72000</v>
      </c>
      <c r="J180" s="6">
        <v>90000</v>
      </c>
      <c r="K180" s="6">
        <f t="shared" si="6"/>
        <v>4320000</v>
      </c>
      <c r="L180" s="6">
        <f t="shared" si="7"/>
        <v>3456000</v>
      </c>
      <c r="M180" s="6">
        <f t="shared" si="8"/>
        <v>864000</v>
      </c>
    </row>
    <row r="181" spans="1:13" x14ac:dyDescent="0.3">
      <c r="A181" s="2" t="s">
        <v>2303</v>
      </c>
      <c r="B181" s="2" t="s">
        <v>2304</v>
      </c>
      <c r="C181" s="2" t="s">
        <v>1657</v>
      </c>
      <c r="D181" s="2" t="s">
        <v>1658</v>
      </c>
      <c r="E181" s="2" t="s">
        <v>324</v>
      </c>
      <c r="F181" s="2" t="s">
        <v>323</v>
      </c>
      <c r="G181" s="2" t="s">
        <v>169</v>
      </c>
      <c r="H181" s="2">
        <v>10</v>
      </c>
      <c r="I181" s="3">
        <v>750</v>
      </c>
      <c r="J181" s="3">
        <v>980</v>
      </c>
      <c r="K181" s="3">
        <f t="shared" si="6"/>
        <v>9800</v>
      </c>
      <c r="L181" s="3">
        <f t="shared" si="7"/>
        <v>7500</v>
      </c>
      <c r="M181" s="3">
        <f t="shared" si="8"/>
        <v>2300</v>
      </c>
    </row>
    <row r="182" spans="1:13" x14ac:dyDescent="0.3">
      <c r="A182" s="5" t="s">
        <v>2305</v>
      </c>
      <c r="B182" s="5" t="s">
        <v>2299</v>
      </c>
      <c r="C182" s="5" t="s">
        <v>1626</v>
      </c>
      <c r="D182" s="5" t="s">
        <v>1627</v>
      </c>
      <c r="E182" s="5" t="s">
        <v>639</v>
      </c>
      <c r="F182" s="5" t="s">
        <v>638</v>
      </c>
      <c r="G182" s="5" t="s">
        <v>609</v>
      </c>
      <c r="H182" s="5">
        <v>37</v>
      </c>
      <c r="I182" s="6">
        <v>180</v>
      </c>
      <c r="J182" s="6">
        <v>260</v>
      </c>
      <c r="K182" s="6">
        <f t="shared" si="6"/>
        <v>9620</v>
      </c>
      <c r="L182" s="6">
        <f t="shared" si="7"/>
        <v>6660</v>
      </c>
      <c r="M182" s="6">
        <f t="shared" si="8"/>
        <v>2960</v>
      </c>
    </row>
    <row r="183" spans="1:13" x14ac:dyDescent="0.3">
      <c r="A183" s="2" t="s">
        <v>2306</v>
      </c>
      <c r="B183" s="2" t="s">
        <v>2307</v>
      </c>
      <c r="C183" s="2" t="s">
        <v>1215</v>
      </c>
      <c r="D183" s="2" t="s">
        <v>1216</v>
      </c>
      <c r="E183" s="2" t="s">
        <v>208</v>
      </c>
      <c r="F183" s="2" t="s">
        <v>207</v>
      </c>
      <c r="G183" s="2" t="s">
        <v>169</v>
      </c>
      <c r="H183" s="2">
        <v>15</v>
      </c>
      <c r="I183" s="3">
        <v>1100</v>
      </c>
      <c r="J183" s="3">
        <v>1450</v>
      </c>
      <c r="K183" s="3">
        <f t="shared" si="6"/>
        <v>21750</v>
      </c>
      <c r="L183" s="3">
        <f t="shared" si="7"/>
        <v>16500</v>
      </c>
      <c r="M183" s="3">
        <f t="shared" si="8"/>
        <v>5250</v>
      </c>
    </row>
    <row r="184" spans="1:13" x14ac:dyDescent="0.3">
      <c r="A184" s="5" t="s">
        <v>2308</v>
      </c>
      <c r="B184" s="5" t="s">
        <v>2309</v>
      </c>
      <c r="C184" s="5" t="s">
        <v>1507</v>
      </c>
      <c r="D184" s="5" t="s">
        <v>1508</v>
      </c>
      <c r="E184" s="5" t="s">
        <v>208</v>
      </c>
      <c r="F184" s="5" t="s">
        <v>207</v>
      </c>
      <c r="G184" s="5" t="s">
        <v>169</v>
      </c>
      <c r="H184" s="5">
        <v>3</v>
      </c>
      <c r="I184" s="6">
        <v>1100</v>
      </c>
      <c r="J184" s="6">
        <v>1450</v>
      </c>
      <c r="K184" s="6">
        <f t="shared" si="6"/>
        <v>4350</v>
      </c>
      <c r="L184" s="6">
        <f t="shared" si="7"/>
        <v>3300</v>
      </c>
      <c r="M184" s="6">
        <f t="shared" si="8"/>
        <v>1050</v>
      </c>
    </row>
    <row r="185" spans="1:13" x14ac:dyDescent="0.3">
      <c r="A185" s="2" t="s">
        <v>2310</v>
      </c>
      <c r="B185" s="2" t="s">
        <v>1959</v>
      </c>
      <c r="C185" s="2" t="s">
        <v>1573</v>
      </c>
      <c r="D185" s="2" t="s">
        <v>1574</v>
      </c>
      <c r="E185" s="2" t="s">
        <v>29</v>
      </c>
      <c r="F185" s="2" t="s">
        <v>28</v>
      </c>
      <c r="G185" s="2" t="s">
        <v>17</v>
      </c>
      <c r="H185" s="2">
        <v>49</v>
      </c>
      <c r="I185" s="3">
        <v>240000</v>
      </c>
      <c r="J185" s="3">
        <v>279000</v>
      </c>
      <c r="K185" s="3">
        <f t="shared" si="6"/>
        <v>13671000</v>
      </c>
      <c r="L185" s="3">
        <f t="shared" si="7"/>
        <v>11760000</v>
      </c>
      <c r="M185" s="3">
        <f t="shared" si="8"/>
        <v>1911000</v>
      </c>
    </row>
    <row r="186" spans="1:13" x14ac:dyDescent="0.3">
      <c r="A186" s="5" t="s">
        <v>2311</v>
      </c>
      <c r="B186" s="5" t="s">
        <v>2312</v>
      </c>
      <c r="C186" s="5" t="s">
        <v>1247</v>
      </c>
      <c r="D186" s="5" t="s">
        <v>1248</v>
      </c>
      <c r="E186" s="5" t="s">
        <v>222</v>
      </c>
      <c r="F186" s="5" t="s">
        <v>221</v>
      </c>
      <c r="G186" s="5" t="s">
        <v>169</v>
      </c>
      <c r="H186" s="5">
        <v>31</v>
      </c>
      <c r="I186" s="6">
        <v>95</v>
      </c>
      <c r="J186" s="6">
        <v>135</v>
      </c>
      <c r="K186" s="6">
        <f t="shared" si="6"/>
        <v>4185</v>
      </c>
      <c r="L186" s="6">
        <f t="shared" si="7"/>
        <v>2945</v>
      </c>
      <c r="M186" s="6">
        <f t="shared" si="8"/>
        <v>1240</v>
      </c>
    </row>
    <row r="187" spans="1:13" x14ac:dyDescent="0.3">
      <c r="A187" s="2" t="s">
        <v>2313</v>
      </c>
      <c r="B187" s="2" t="s">
        <v>1874</v>
      </c>
      <c r="C187" s="2" t="s">
        <v>1353</v>
      </c>
      <c r="D187" s="2" t="s">
        <v>1354</v>
      </c>
      <c r="E187" s="2" t="s">
        <v>566</v>
      </c>
      <c r="F187" s="2" t="s">
        <v>565</v>
      </c>
      <c r="G187" s="2" t="s">
        <v>469</v>
      </c>
      <c r="H187" s="2">
        <v>15</v>
      </c>
      <c r="I187" s="3">
        <v>180</v>
      </c>
      <c r="J187" s="3">
        <v>280</v>
      </c>
      <c r="K187" s="3">
        <f t="shared" si="6"/>
        <v>4200</v>
      </c>
      <c r="L187" s="3">
        <f t="shared" si="7"/>
        <v>2700</v>
      </c>
      <c r="M187" s="3">
        <f t="shared" si="8"/>
        <v>1500</v>
      </c>
    </row>
    <row r="188" spans="1:13" x14ac:dyDescent="0.3">
      <c r="A188" s="5" t="s">
        <v>2314</v>
      </c>
      <c r="B188" s="5" t="s">
        <v>1856</v>
      </c>
      <c r="C188" s="5" t="s">
        <v>1339</v>
      </c>
      <c r="D188" s="5" t="s">
        <v>1340</v>
      </c>
      <c r="E188" s="5" t="s">
        <v>477</v>
      </c>
      <c r="F188" s="5" t="s">
        <v>476</v>
      </c>
      <c r="G188" s="5" t="s">
        <v>469</v>
      </c>
      <c r="H188" s="5">
        <v>19</v>
      </c>
      <c r="I188" s="6">
        <v>840</v>
      </c>
      <c r="J188" s="6">
        <v>1040</v>
      </c>
      <c r="K188" s="6">
        <f t="shared" si="6"/>
        <v>19760</v>
      </c>
      <c r="L188" s="6">
        <f t="shared" si="7"/>
        <v>15960</v>
      </c>
      <c r="M188" s="6">
        <f t="shared" si="8"/>
        <v>3800</v>
      </c>
    </row>
    <row r="189" spans="1:13" x14ac:dyDescent="0.3">
      <c r="A189" s="2" t="s">
        <v>2315</v>
      </c>
      <c r="B189" s="2" t="s">
        <v>2316</v>
      </c>
      <c r="C189" s="2" t="s">
        <v>1339</v>
      </c>
      <c r="D189" s="2" t="s">
        <v>1340</v>
      </c>
      <c r="E189" s="2" t="s">
        <v>355</v>
      </c>
      <c r="F189" s="2" t="s">
        <v>354</v>
      </c>
      <c r="G189" s="2" t="s">
        <v>330</v>
      </c>
      <c r="H189" s="2">
        <v>23</v>
      </c>
      <c r="I189" s="3">
        <v>1400</v>
      </c>
      <c r="J189" s="3">
        <v>2100</v>
      </c>
      <c r="K189" s="3">
        <f t="shared" si="6"/>
        <v>48300</v>
      </c>
      <c r="L189" s="3">
        <f t="shared" si="7"/>
        <v>32200</v>
      </c>
      <c r="M189" s="3">
        <f t="shared" si="8"/>
        <v>16100</v>
      </c>
    </row>
    <row r="190" spans="1:13" x14ac:dyDescent="0.3">
      <c r="A190" s="5" t="s">
        <v>2317</v>
      </c>
      <c r="B190" s="5" t="s">
        <v>1807</v>
      </c>
      <c r="C190" s="5" t="s">
        <v>1596</v>
      </c>
      <c r="D190" s="5" t="s">
        <v>1597</v>
      </c>
      <c r="E190" s="5" t="s">
        <v>467</v>
      </c>
      <c r="F190" s="5" t="s">
        <v>466</v>
      </c>
      <c r="G190" s="5" t="s">
        <v>330</v>
      </c>
      <c r="H190" s="5">
        <v>5</v>
      </c>
      <c r="I190" s="6">
        <v>550</v>
      </c>
      <c r="J190" s="6">
        <v>900</v>
      </c>
      <c r="K190" s="6">
        <f t="shared" si="6"/>
        <v>4500</v>
      </c>
      <c r="L190" s="6">
        <f t="shared" si="7"/>
        <v>2750</v>
      </c>
      <c r="M190" s="6">
        <f t="shared" si="8"/>
        <v>1750</v>
      </c>
    </row>
    <row r="191" spans="1:13" x14ac:dyDescent="0.3">
      <c r="A191" s="2" t="s">
        <v>2318</v>
      </c>
      <c r="B191" s="2" t="s">
        <v>2255</v>
      </c>
      <c r="C191" s="2" t="s">
        <v>1319</v>
      </c>
      <c r="D191" s="2" t="s">
        <v>1320</v>
      </c>
      <c r="E191" s="2" t="s">
        <v>236</v>
      </c>
      <c r="F191" s="2" t="s">
        <v>235</v>
      </c>
      <c r="G191" s="2" t="s">
        <v>169</v>
      </c>
      <c r="H191" s="2">
        <v>47</v>
      </c>
      <c r="I191" s="3">
        <v>75</v>
      </c>
      <c r="J191" s="3">
        <v>105</v>
      </c>
      <c r="K191" s="3">
        <f t="shared" si="6"/>
        <v>4935</v>
      </c>
      <c r="L191" s="3">
        <f t="shared" si="7"/>
        <v>3525</v>
      </c>
      <c r="M191" s="3">
        <f t="shared" si="8"/>
        <v>1410</v>
      </c>
    </row>
    <row r="192" spans="1:13" x14ac:dyDescent="0.3">
      <c r="A192" s="5" t="s">
        <v>2319</v>
      </c>
      <c r="B192" s="5" t="s">
        <v>1703</v>
      </c>
      <c r="C192" s="5" t="s">
        <v>1587</v>
      </c>
      <c r="D192" s="5" t="s">
        <v>1588</v>
      </c>
      <c r="E192" s="5" t="s">
        <v>513</v>
      </c>
      <c r="F192" s="5" t="s">
        <v>512</v>
      </c>
      <c r="G192" s="5" t="s">
        <v>469</v>
      </c>
      <c r="H192" s="5">
        <v>21</v>
      </c>
      <c r="I192" s="6">
        <v>2800</v>
      </c>
      <c r="J192" s="6">
        <v>3800</v>
      </c>
      <c r="K192" s="6">
        <f t="shared" si="6"/>
        <v>79800</v>
      </c>
      <c r="L192" s="6">
        <f t="shared" si="7"/>
        <v>58800</v>
      </c>
      <c r="M192" s="6">
        <f t="shared" si="8"/>
        <v>21000</v>
      </c>
    </row>
    <row r="193" spans="1:13" x14ac:dyDescent="0.3">
      <c r="A193" s="2" t="s">
        <v>2320</v>
      </c>
      <c r="B193" s="2" t="s">
        <v>1707</v>
      </c>
      <c r="C193" s="2" t="s">
        <v>1592</v>
      </c>
      <c r="D193" s="2" t="s">
        <v>1593</v>
      </c>
      <c r="E193" s="2" t="s">
        <v>499</v>
      </c>
      <c r="F193" s="2" t="s">
        <v>498</v>
      </c>
      <c r="G193" s="2" t="s">
        <v>469</v>
      </c>
      <c r="H193" s="2">
        <v>35</v>
      </c>
      <c r="I193" s="3">
        <v>200</v>
      </c>
      <c r="J193" s="3">
        <v>280</v>
      </c>
      <c r="K193" s="3">
        <f t="shared" si="6"/>
        <v>9800</v>
      </c>
      <c r="L193" s="3">
        <f t="shared" si="7"/>
        <v>7000</v>
      </c>
      <c r="M193" s="3">
        <f t="shared" si="8"/>
        <v>2800</v>
      </c>
    </row>
    <row r="194" spans="1:13" x14ac:dyDescent="0.3">
      <c r="A194" s="5" t="s">
        <v>2321</v>
      </c>
      <c r="B194" s="5" t="s">
        <v>2322</v>
      </c>
      <c r="C194" s="5" t="s">
        <v>1193</v>
      </c>
      <c r="D194" s="5" t="s">
        <v>1194</v>
      </c>
      <c r="E194" s="5" t="s">
        <v>90</v>
      </c>
      <c r="F194" s="5" t="s">
        <v>89</v>
      </c>
      <c r="G194" s="5" t="s">
        <v>17</v>
      </c>
      <c r="H194" s="5">
        <v>49</v>
      </c>
      <c r="I194" s="6">
        <v>290000</v>
      </c>
      <c r="J194" s="6">
        <v>339000</v>
      </c>
      <c r="K194" s="6">
        <f t="shared" si="6"/>
        <v>16611000</v>
      </c>
      <c r="L194" s="6">
        <f t="shared" si="7"/>
        <v>14210000</v>
      </c>
      <c r="M194" s="6">
        <f t="shared" si="8"/>
        <v>2401000</v>
      </c>
    </row>
    <row r="195" spans="1:13" x14ac:dyDescent="0.3">
      <c r="A195" s="2" t="s">
        <v>2323</v>
      </c>
      <c r="B195" s="2" t="s">
        <v>2324</v>
      </c>
      <c r="C195" s="2" t="s">
        <v>1319</v>
      </c>
      <c r="D195" s="2" t="s">
        <v>1320</v>
      </c>
      <c r="E195" s="2" t="s">
        <v>521</v>
      </c>
      <c r="F195" s="2" t="s">
        <v>520</v>
      </c>
      <c r="G195" s="2" t="s">
        <v>469</v>
      </c>
      <c r="H195" s="2">
        <v>37</v>
      </c>
      <c r="I195" s="3">
        <v>3200</v>
      </c>
      <c r="J195" s="3">
        <v>4400</v>
      </c>
      <c r="K195" s="3">
        <f t="shared" ref="K195:K258" si="9">H195*J195</f>
        <v>162800</v>
      </c>
      <c r="L195" s="3">
        <f t="shared" ref="L195:L258" si="10">H195*I195</f>
        <v>118400</v>
      </c>
      <c r="M195" s="3">
        <f t="shared" ref="M195:M258" si="11">K195-L195</f>
        <v>44400</v>
      </c>
    </row>
    <row r="196" spans="1:13" x14ac:dyDescent="0.3">
      <c r="A196" s="5" t="s">
        <v>2325</v>
      </c>
      <c r="B196" s="5" t="s">
        <v>2022</v>
      </c>
      <c r="C196" s="5" t="s">
        <v>1502</v>
      </c>
      <c r="D196" s="5" t="s">
        <v>1503</v>
      </c>
      <c r="E196" s="5" t="s">
        <v>801</v>
      </c>
      <c r="F196" s="5" t="s">
        <v>800</v>
      </c>
      <c r="G196" s="5" t="s">
        <v>731</v>
      </c>
      <c r="H196" s="5">
        <v>4</v>
      </c>
      <c r="I196" s="6">
        <v>380</v>
      </c>
      <c r="J196" s="6">
        <v>580</v>
      </c>
      <c r="K196" s="6">
        <f t="shared" si="9"/>
        <v>2320</v>
      </c>
      <c r="L196" s="6">
        <f t="shared" si="10"/>
        <v>1520</v>
      </c>
      <c r="M196" s="6">
        <f t="shared" si="11"/>
        <v>800</v>
      </c>
    </row>
    <row r="197" spans="1:13" x14ac:dyDescent="0.3">
      <c r="A197" s="2" t="s">
        <v>2326</v>
      </c>
      <c r="B197" s="2" t="s">
        <v>1906</v>
      </c>
      <c r="C197" s="2" t="s">
        <v>1344</v>
      </c>
      <c r="D197" s="2" t="s">
        <v>1345</v>
      </c>
      <c r="E197" s="2" t="s">
        <v>779</v>
      </c>
      <c r="F197" s="2" t="s">
        <v>778</v>
      </c>
      <c r="G197" s="2" t="s">
        <v>731</v>
      </c>
      <c r="H197" s="2">
        <v>1</v>
      </c>
      <c r="I197" s="3">
        <v>180</v>
      </c>
      <c r="J197" s="3">
        <v>280</v>
      </c>
      <c r="K197" s="3">
        <f t="shared" si="9"/>
        <v>280</v>
      </c>
      <c r="L197" s="3">
        <f t="shared" si="10"/>
        <v>180</v>
      </c>
      <c r="M197" s="3">
        <f t="shared" si="11"/>
        <v>100</v>
      </c>
    </row>
    <row r="198" spans="1:13" x14ac:dyDescent="0.3">
      <c r="A198" s="5" t="s">
        <v>2327</v>
      </c>
      <c r="B198" s="5" t="s">
        <v>1964</v>
      </c>
      <c r="C198" s="5" t="s">
        <v>1473</v>
      </c>
      <c r="D198" s="5" t="s">
        <v>1474</v>
      </c>
      <c r="E198" s="5" t="s">
        <v>563</v>
      </c>
      <c r="F198" s="5" t="s">
        <v>562</v>
      </c>
      <c r="G198" s="5" t="s">
        <v>469</v>
      </c>
      <c r="H198" s="5">
        <v>3</v>
      </c>
      <c r="I198" s="6">
        <v>450</v>
      </c>
      <c r="J198" s="6">
        <v>650</v>
      </c>
      <c r="K198" s="6">
        <f t="shared" si="9"/>
        <v>1950</v>
      </c>
      <c r="L198" s="6">
        <f t="shared" si="10"/>
        <v>1350</v>
      </c>
      <c r="M198" s="6">
        <f t="shared" si="11"/>
        <v>600</v>
      </c>
    </row>
    <row r="199" spans="1:13" x14ac:dyDescent="0.3">
      <c r="A199" s="2" t="s">
        <v>2328</v>
      </c>
      <c r="B199" s="2" t="s">
        <v>2329</v>
      </c>
      <c r="C199" s="2" t="s">
        <v>1592</v>
      </c>
      <c r="D199" s="2" t="s">
        <v>1593</v>
      </c>
      <c r="E199" s="2" t="s">
        <v>147</v>
      </c>
      <c r="F199" s="2" t="s">
        <v>146</v>
      </c>
      <c r="G199" s="2" t="s">
        <v>17</v>
      </c>
      <c r="H199" s="2">
        <v>2</v>
      </c>
      <c r="I199" s="3">
        <v>72000</v>
      </c>
      <c r="J199" s="3">
        <v>90000</v>
      </c>
      <c r="K199" s="3">
        <f t="shared" si="9"/>
        <v>180000</v>
      </c>
      <c r="L199" s="3">
        <f t="shared" si="10"/>
        <v>144000</v>
      </c>
      <c r="M199" s="3">
        <f t="shared" si="11"/>
        <v>36000</v>
      </c>
    </row>
    <row r="200" spans="1:13" x14ac:dyDescent="0.3">
      <c r="A200" s="5" t="s">
        <v>2330</v>
      </c>
      <c r="B200" s="5" t="s">
        <v>2331</v>
      </c>
      <c r="C200" s="5" t="s">
        <v>1324</v>
      </c>
      <c r="D200" s="5" t="s">
        <v>1325</v>
      </c>
      <c r="E200" s="5" t="s">
        <v>99</v>
      </c>
      <c r="F200" s="5" t="s">
        <v>98</v>
      </c>
      <c r="G200" s="5" t="s">
        <v>17</v>
      </c>
      <c r="H200" s="5">
        <v>25</v>
      </c>
      <c r="I200" s="6">
        <v>78000</v>
      </c>
      <c r="J200" s="6">
        <v>98000</v>
      </c>
      <c r="K200" s="6">
        <f t="shared" si="9"/>
        <v>2450000</v>
      </c>
      <c r="L200" s="6">
        <f t="shared" si="10"/>
        <v>1950000</v>
      </c>
      <c r="M200" s="6">
        <f t="shared" si="11"/>
        <v>500000</v>
      </c>
    </row>
    <row r="201" spans="1:13" x14ac:dyDescent="0.3">
      <c r="A201" s="2" t="s">
        <v>2332</v>
      </c>
      <c r="B201" s="2" t="s">
        <v>1722</v>
      </c>
      <c r="C201" s="2" t="s">
        <v>1526</v>
      </c>
      <c r="D201" s="2" t="s">
        <v>1527</v>
      </c>
      <c r="E201" s="2" t="s">
        <v>50</v>
      </c>
      <c r="F201" s="2" t="s">
        <v>49</v>
      </c>
      <c r="G201" s="2" t="s">
        <v>17</v>
      </c>
      <c r="H201" s="2">
        <v>22</v>
      </c>
      <c r="I201" s="3">
        <v>82000</v>
      </c>
      <c r="J201" s="3">
        <v>99000</v>
      </c>
      <c r="K201" s="3">
        <f t="shared" si="9"/>
        <v>2178000</v>
      </c>
      <c r="L201" s="3">
        <f t="shared" si="10"/>
        <v>1804000</v>
      </c>
      <c r="M201" s="3">
        <f t="shared" si="11"/>
        <v>374000</v>
      </c>
    </row>
    <row r="202" spans="1:13" x14ac:dyDescent="0.3">
      <c r="A202" s="5" t="s">
        <v>2333</v>
      </c>
      <c r="B202" s="5" t="s">
        <v>2255</v>
      </c>
      <c r="C202" s="5" t="s">
        <v>1582</v>
      </c>
      <c r="D202" s="5" t="s">
        <v>1583</v>
      </c>
      <c r="E202" s="5" t="s">
        <v>292</v>
      </c>
      <c r="F202" s="5" t="s">
        <v>291</v>
      </c>
      <c r="G202" s="5" t="s">
        <v>169</v>
      </c>
      <c r="H202" s="5">
        <v>47</v>
      </c>
      <c r="I202" s="6">
        <v>250</v>
      </c>
      <c r="J202" s="6">
        <v>340</v>
      </c>
      <c r="K202" s="6">
        <f t="shared" si="9"/>
        <v>15980</v>
      </c>
      <c r="L202" s="6">
        <f t="shared" si="10"/>
        <v>11750</v>
      </c>
      <c r="M202" s="6">
        <f t="shared" si="11"/>
        <v>4230</v>
      </c>
    </row>
    <row r="203" spans="1:13" x14ac:dyDescent="0.3">
      <c r="A203" s="2" t="s">
        <v>2334</v>
      </c>
      <c r="B203" s="2" t="s">
        <v>1824</v>
      </c>
      <c r="C203" s="2" t="s">
        <v>1384</v>
      </c>
      <c r="D203" s="2" t="s">
        <v>1385</v>
      </c>
      <c r="E203" s="2" t="s">
        <v>319</v>
      </c>
      <c r="F203" s="2" t="s">
        <v>318</v>
      </c>
      <c r="G203" s="2" t="s">
        <v>169</v>
      </c>
      <c r="H203" s="2">
        <v>14</v>
      </c>
      <c r="I203" s="3">
        <v>680</v>
      </c>
      <c r="J203" s="3">
        <v>900</v>
      </c>
      <c r="K203" s="3">
        <f t="shared" si="9"/>
        <v>12600</v>
      </c>
      <c r="L203" s="3">
        <f t="shared" si="10"/>
        <v>9520</v>
      </c>
      <c r="M203" s="3">
        <f t="shared" si="11"/>
        <v>3080</v>
      </c>
    </row>
    <row r="204" spans="1:13" x14ac:dyDescent="0.3">
      <c r="A204" s="5" t="s">
        <v>2335</v>
      </c>
      <c r="B204" s="5" t="s">
        <v>2272</v>
      </c>
      <c r="C204" s="5" t="s">
        <v>1444</v>
      </c>
      <c r="D204" s="5" t="s">
        <v>1445</v>
      </c>
      <c r="E204" s="5" t="s">
        <v>259</v>
      </c>
      <c r="F204" s="5" t="s">
        <v>258</v>
      </c>
      <c r="G204" s="5" t="s">
        <v>169</v>
      </c>
      <c r="H204" s="5">
        <v>4</v>
      </c>
      <c r="I204" s="6">
        <v>650</v>
      </c>
      <c r="J204" s="6">
        <v>870</v>
      </c>
      <c r="K204" s="6">
        <f t="shared" si="9"/>
        <v>3480</v>
      </c>
      <c r="L204" s="6">
        <f t="shared" si="10"/>
        <v>2600</v>
      </c>
      <c r="M204" s="6">
        <f t="shared" si="11"/>
        <v>880</v>
      </c>
    </row>
    <row r="205" spans="1:13" x14ac:dyDescent="0.3">
      <c r="A205" s="2" t="s">
        <v>2336</v>
      </c>
      <c r="B205" s="2" t="s">
        <v>2337</v>
      </c>
      <c r="C205" s="2" t="s">
        <v>1521</v>
      </c>
      <c r="D205" s="2" t="s">
        <v>1522</v>
      </c>
      <c r="E205" s="2" t="s">
        <v>716</v>
      </c>
      <c r="F205" s="2" t="s">
        <v>715</v>
      </c>
      <c r="G205" s="2" t="s">
        <v>609</v>
      </c>
      <c r="H205" s="2">
        <v>40</v>
      </c>
      <c r="I205" s="3">
        <v>750</v>
      </c>
      <c r="J205" s="3">
        <v>1100</v>
      </c>
      <c r="K205" s="3">
        <f t="shared" si="9"/>
        <v>44000</v>
      </c>
      <c r="L205" s="3">
        <f t="shared" si="10"/>
        <v>30000</v>
      </c>
      <c r="M205" s="3">
        <f t="shared" si="11"/>
        <v>14000</v>
      </c>
    </row>
    <row r="206" spans="1:13" x14ac:dyDescent="0.3">
      <c r="A206" s="5" t="s">
        <v>2338</v>
      </c>
      <c r="B206" s="5" t="s">
        <v>2247</v>
      </c>
      <c r="C206" s="5" t="s">
        <v>1334</v>
      </c>
      <c r="D206" s="5" t="s">
        <v>1335</v>
      </c>
      <c r="E206" s="5" t="s">
        <v>574</v>
      </c>
      <c r="F206" s="5" t="s">
        <v>573</v>
      </c>
      <c r="G206" s="5" t="s">
        <v>469</v>
      </c>
      <c r="H206" s="5">
        <v>45</v>
      </c>
      <c r="I206" s="6">
        <v>3200</v>
      </c>
      <c r="J206" s="6">
        <v>4500</v>
      </c>
      <c r="K206" s="6">
        <f t="shared" si="9"/>
        <v>202500</v>
      </c>
      <c r="L206" s="6">
        <f t="shared" si="10"/>
        <v>144000</v>
      </c>
      <c r="M206" s="6">
        <f t="shared" si="11"/>
        <v>58500</v>
      </c>
    </row>
    <row r="207" spans="1:13" x14ac:dyDescent="0.3">
      <c r="A207" s="2" t="s">
        <v>2339</v>
      </c>
      <c r="B207" s="2" t="s">
        <v>2227</v>
      </c>
      <c r="C207" s="2" t="s">
        <v>1444</v>
      </c>
      <c r="D207" s="2" t="s">
        <v>1445</v>
      </c>
      <c r="E207" s="2" t="s">
        <v>380</v>
      </c>
      <c r="F207" s="2" t="s">
        <v>379</v>
      </c>
      <c r="G207" s="2" t="s">
        <v>330</v>
      </c>
      <c r="H207" s="2">
        <v>21</v>
      </c>
      <c r="I207" s="3">
        <v>2200</v>
      </c>
      <c r="J207" s="3">
        <v>3400</v>
      </c>
      <c r="K207" s="3">
        <f t="shared" si="9"/>
        <v>71400</v>
      </c>
      <c r="L207" s="3">
        <f t="shared" si="10"/>
        <v>46200</v>
      </c>
      <c r="M207" s="3">
        <f t="shared" si="11"/>
        <v>25200</v>
      </c>
    </row>
    <row r="208" spans="1:13" x14ac:dyDescent="0.3">
      <c r="A208" s="5" t="s">
        <v>2340</v>
      </c>
      <c r="B208" s="5" t="s">
        <v>2341</v>
      </c>
      <c r="C208" s="5" t="s">
        <v>1237</v>
      </c>
      <c r="D208" s="5" t="s">
        <v>1238</v>
      </c>
      <c r="E208" s="5" t="s">
        <v>105</v>
      </c>
      <c r="F208" s="5" t="s">
        <v>104</v>
      </c>
      <c r="G208" s="5" t="s">
        <v>17</v>
      </c>
      <c r="H208" s="5">
        <v>40</v>
      </c>
      <c r="I208" s="6">
        <v>42000</v>
      </c>
      <c r="J208" s="6">
        <v>52000</v>
      </c>
      <c r="K208" s="6">
        <f t="shared" si="9"/>
        <v>2080000</v>
      </c>
      <c r="L208" s="6">
        <f t="shared" si="10"/>
        <v>1680000</v>
      </c>
      <c r="M208" s="6">
        <f t="shared" si="11"/>
        <v>400000</v>
      </c>
    </row>
    <row r="209" spans="1:13" x14ac:dyDescent="0.3">
      <c r="A209" s="2" t="s">
        <v>2342</v>
      </c>
      <c r="B209" s="2" t="s">
        <v>1805</v>
      </c>
      <c r="C209" s="2" t="s">
        <v>1294</v>
      </c>
      <c r="D209" s="2" t="s">
        <v>1295</v>
      </c>
      <c r="E209" s="2" t="s">
        <v>521</v>
      </c>
      <c r="F209" s="2" t="s">
        <v>520</v>
      </c>
      <c r="G209" s="2" t="s">
        <v>469</v>
      </c>
      <c r="H209" s="2">
        <v>18</v>
      </c>
      <c r="I209" s="3">
        <v>3200</v>
      </c>
      <c r="J209" s="3">
        <v>4400</v>
      </c>
      <c r="K209" s="3">
        <f t="shared" si="9"/>
        <v>79200</v>
      </c>
      <c r="L209" s="3">
        <f t="shared" si="10"/>
        <v>57600</v>
      </c>
      <c r="M209" s="3">
        <f t="shared" si="11"/>
        <v>21600</v>
      </c>
    </row>
    <row r="210" spans="1:13" x14ac:dyDescent="0.3">
      <c r="A210" s="5" t="s">
        <v>2343</v>
      </c>
      <c r="B210" s="5" t="s">
        <v>1882</v>
      </c>
      <c r="C210" s="5" t="s">
        <v>1611</v>
      </c>
      <c r="D210" s="5" t="s">
        <v>1612</v>
      </c>
      <c r="E210" s="5" t="s">
        <v>102</v>
      </c>
      <c r="F210" s="5" t="s">
        <v>101</v>
      </c>
      <c r="G210" s="5" t="s">
        <v>17</v>
      </c>
      <c r="H210" s="5">
        <v>10</v>
      </c>
      <c r="I210" s="6">
        <v>150000</v>
      </c>
      <c r="J210" s="6">
        <v>185000</v>
      </c>
      <c r="K210" s="6">
        <f t="shared" si="9"/>
        <v>1850000</v>
      </c>
      <c r="L210" s="6">
        <f t="shared" si="10"/>
        <v>1500000</v>
      </c>
      <c r="M210" s="6">
        <f t="shared" si="11"/>
        <v>350000</v>
      </c>
    </row>
    <row r="211" spans="1:13" x14ac:dyDescent="0.3">
      <c r="A211" s="2" t="s">
        <v>2344</v>
      </c>
      <c r="B211" s="2" t="s">
        <v>2345</v>
      </c>
      <c r="C211" s="2" t="s">
        <v>1644</v>
      </c>
      <c r="D211" s="2" t="s">
        <v>1645</v>
      </c>
      <c r="E211" s="2" t="s">
        <v>161</v>
      </c>
      <c r="F211" s="2" t="s">
        <v>160</v>
      </c>
      <c r="G211" s="2" t="s">
        <v>17</v>
      </c>
      <c r="H211" s="2">
        <v>15</v>
      </c>
      <c r="I211" s="3">
        <v>22000</v>
      </c>
      <c r="J211" s="3">
        <v>28000</v>
      </c>
      <c r="K211" s="3">
        <f t="shared" si="9"/>
        <v>420000</v>
      </c>
      <c r="L211" s="3">
        <f t="shared" si="10"/>
        <v>330000</v>
      </c>
      <c r="M211" s="3">
        <f t="shared" si="11"/>
        <v>90000</v>
      </c>
    </row>
    <row r="212" spans="1:13" x14ac:dyDescent="0.3">
      <c r="A212" s="5" t="s">
        <v>2346</v>
      </c>
      <c r="B212" s="5" t="s">
        <v>1813</v>
      </c>
      <c r="C212" s="5" t="s">
        <v>1193</v>
      </c>
      <c r="D212" s="5" t="s">
        <v>1194</v>
      </c>
      <c r="E212" s="5" t="s">
        <v>648</v>
      </c>
      <c r="F212" s="5" t="s">
        <v>647</v>
      </c>
      <c r="G212" s="5" t="s">
        <v>609</v>
      </c>
      <c r="H212" s="5">
        <v>14</v>
      </c>
      <c r="I212" s="6">
        <v>165</v>
      </c>
      <c r="J212" s="6">
        <v>240</v>
      </c>
      <c r="K212" s="6">
        <f t="shared" si="9"/>
        <v>3360</v>
      </c>
      <c r="L212" s="6">
        <f t="shared" si="10"/>
        <v>2310</v>
      </c>
      <c r="M212" s="6">
        <f t="shared" si="11"/>
        <v>1050</v>
      </c>
    </row>
    <row r="213" spans="1:13" x14ac:dyDescent="0.3">
      <c r="A213" s="2" t="s">
        <v>2347</v>
      </c>
      <c r="B213" s="2" t="s">
        <v>2348</v>
      </c>
      <c r="C213" s="2" t="s">
        <v>1334</v>
      </c>
      <c r="D213" s="2" t="s">
        <v>1335</v>
      </c>
      <c r="E213" s="2" t="s">
        <v>374</v>
      </c>
      <c r="F213" s="2" t="s">
        <v>373</v>
      </c>
      <c r="G213" s="2" t="s">
        <v>330</v>
      </c>
      <c r="H213" s="2">
        <v>3</v>
      </c>
      <c r="I213" s="3">
        <v>1800</v>
      </c>
      <c r="J213" s="3">
        <v>2800</v>
      </c>
      <c r="K213" s="3">
        <f t="shared" si="9"/>
        <v>8400</v>
      </c>
      <c r="L213" s="3">
        <f t="shared" si="10"/>
        <v>5400</v>
      </c>
      <c r="M213" s="3">
        <f t="shared" si="11"/>
        <v>3000</v>
      </c>
    </row>
    <row r="214" spans="1:13" x14ac:dyDescent="0.3">
      <c r="A214" s="5" t="s">
        <v>2349</v>
      </c>
      <c r="B214" s="5" t="s">
        <v>2103</v>
      </c>
      <c r="C214" s="5" t="s">
        <v>1269</v>
      </c>
      <c r="D214" s="5" t="s">
        <v>1270</v>
      </c>
      <c r="E214" s="5" t="s">
        <v>259</v>
      </c>
      <c r="F214" s="5" t="s">
        <v>258</v>
      </c>
      <c r="G214" s="5" t="s">
        <v>169</v>
      </c>
      <c r="H214" s="5">
        <v>46</v>
      </c>
      <c r="I214" s="6">
        <v>650</v>
      </c>
      <c r="J214" s="6">
        <v>870</v>
      </c>
      <c r="K214" s="6">
        <f t="shared" si="9"/>
        <v>40020</v>
      </c>
      <c r="L214" s="6">
        <f t="shared" si="10"/>
        <v>29900</v>
      </c>
      <c r="M214" s="6">
        <f t="shared" si="11"/>
        <v>10120</v>
      </c>
    </row>
    <row r="215" spans="1:13" x14ac:dyDescent="0.3">
      <c r="A215" s="2" t="s">
        <v>2350</v>
      </c>
      <c r="B215" s="2" t="s">
        <v>1957</v>
      </c>
      <c r="C215" s="2" t="s">
        <v>1468</v>
      </c>
      <c r="D215" s="2" t="s">
        <v>1469</v>
      </c>
      <c r="E215" s="2" t="s">
        <v>136</v>
      </c>
      <c r="F215" s="2" t="s">
        <v>135</v>
      </c>
      <c r="G215" s="2" t="s">
        <v>17</v>
      </c>
      <c r="H215" s="2">
        <v>17</v>
      </c>
      <c r="I215" s="3">
        <v>75000</v>
      </c>
      <c r="J215" s="3">
        <v>94000</v>
      </c>
      <c r="K215" s="3">
        <f t="shared" si="9"/>
        <v>1598000</v>
      </c>
      <c r="L215" s="3">
        <f t="shared" si="10"/>
        <v>1275000</v>
      </c>
      <c r="M215" s="3">
        <f t="shared" si="11"/>
        <v>323000</v>
      </c>
    </row>
    <row r="216" spans="1:13" x14ac:dyDescent="0.3">
      <c r="A216" s="5" t="s">
        <v>2351</v>
      </c>
      <c r="B216" s="5" t="s">
        <v>1912</v>
      </c>
      <c r="C216" s="5" t="s">
        <v>1209</v>
      </c>
      <c r="D216" s="5" t="s">
        <v>1210</v>
      </c>
      <c r="E216" s="5" t="s">
        <v>236</v>
      </c>
      <c r="F216" s="5" t="s">
        <v>235</v>
      </c>
      <c r="G216" s="5" t="s">
        <v>169</v>
      </c>
      <c r="H216" s="5">
        <v>21</v>
      </c>
      <c r="I216" s="6">
        <v>75</v>
      </c>
      <c r="J216" s="6">
        <v>105</v>
      </c>
      <c r="K216" s="6">
        <f t="shared" si="9"/>
        <v>2205</v>
      </c>
      <c r="L216" s="6">
        <f t="shared" si="10"/>
        <v>1575</v>
      </c>
      <c r="M216" s="6">
        <f t="shared" si="11"/>
        <v>630</v>
      </c>
    </row>
    <row r="217" spans="1:13" x14ac:dyDescent="0.3">
      <c r="A217" s="2" t="s">
        <v>2352</v>
      </c>
      <c r="B217" s="2" t="s">
        <v>1957</v>
      </c>
      <c r="C217" s="2" t="s">
        <v>1449</v>
      </c>
      <c r="D217" s="2" t="s">
        <v>1450</v>
      </c>
      <c r="E217" s="2" t="s">
        <v>99</v>
      </c>
      <c r="F217" s="2" t="s">
        <v>98</v>
      </c>
      <c r="G217" s="2" t="s">
        <v>17</v>
      </c>
      <c r="H217" s="2">
        <v>29</v>
      </c>
      <c r="I217" s="3">
        <v>78000</v>
      </c>
      <c r="J217" s="3">
        <v>98000</v>
      </c>
      <c r="K217" s="3">
        <f t="shared" si="9"/>
        <v>2842000</v>
      </c>
      <c r="L217" s="3">
        <f t="shared" si="10"/>
        <v>2262000</v>
      </c>
      <c r="M217" s="3">
        <f t="shared" si="11"/>
        <v>580000</v>
      </c>
    </row>
    <row r="218" spans="1:13" x14ac:dyDescent="0.3">
      <c r="A218" s="5" t="s">
        <v>2353</v>
      </c>
      <c r="B218" s="5" t="s">
        <v>2354</v>
      </c>
      <c r="C218" s="5" t="s">
        <v>1526</v>
      </c>
      <c r="D218" s="5" t="s">
        <v>1527</v>
      </c>
      <c r="E218" s="5" t="s">
        <v>457</v>
      </c>
      <c r="F218" s="5" t="s">
        <v>456</v>
      </c>
      <c r="G218" s="5" t="s">
        <v>330</v>
      </c>
      <c r="H218" s="5">
        <v>8</v>
      </c>
      <c r="I218" s="6">
        <v>1200</v>
      </c>
      <c r="J218" s="6">
        <v>1900</v>
      </c>
      <c r="K218" s="6">
        <f t="shared" si="9"/>
        <v>15200</v>
      </c>
      <c r="L218" s="6">
        <f t="shared" si="10"/>
        <v>9600</v>
      </c>
      <c r="M218" s="6">
        <f t="shared" si="11"/>
        <v>5600</v>
      </c>
    </row>
    <row r="219" spans="1:13" x14ac:dyDescent="0.3">
      <c r="A219" s="2" t="s">
        <v>2355</v>
      </c>
      <c r="B219" s="2" t="s">
        <v>2356</v>
      </c>
      <c r="C219" s="2" t="s">
        <v>1639</v>
      </c>
      <c r="D219" s="2" t="s">
        <v>1640</v>
      </c>
      <c r="E219" s="2" t="s">
        <v>881</v>
      </c>
      <c r="F219" s="2" t="s">
        <v>880</v>
      </c>
      <c r="G219" s="2" t="s">
        <v>816</v>
      </c>
      <c r="H219" s="2">
        <v>15</v>
      </c>
      <c r="I219" s="3">
        <v>2500</v>
      </c>
      <c r="J219" s="3">
        <v>3800</v>
      </c>
      <c r="K219" s="3">
        <f t="shared" si="9"/>
        <v>57000</v>
      </c>
      <c r="L219" s="3">
        <f t="shared" si="10"/>
        <v>37500</v>
      </c>
      <c r="M219" s="3">
        <f t="shared" si="11"/>
        <v>19500</v>
      </c>
    </row>
    <row r="220" spans="1:13" x14ac:dyDescent="0.3">
      <c r="A220" s="5" t="s">
        <v>2357</v>
      </c>
      <c r="B220" s="5" t="s">
        <v>1910</v>
      </c>
      <c r="C220" s="5" t="s">
        <v>1611</v>
      </c>
      <c r="D220" s="5" t="s">
        <v>1612</v>
      </c>
      <c r="E220" s="5" t="s">
        <v>897</v>
      </c>
      <c r="F220" s="5" t="s">
        <v>896</v>
      </c>
      <c r="G220" s="5" t="s">
        <v>816</v>
      </c>
      <c r="H220" s="5">
        <v>41</v>
      </c>
      <c r="I220" s="6">
        <v>5500</v>
      </c>
      <c r="J220" s="6">
        <v>8000</v>
      </c>
      <c r="K220" s="6">
        <f t="shared" si="9"/>
        <v>328000</v>
      </c>
      <c r="L220" s="6">
        <f t="shared" si="10"/>
        <v>225500</v>
      </c>
      <c r="M220" s="6">
        <f t="shared" si="11"/>
        <v>102500</v>
      </c>
    </row>
    <row r="221" spans="1:13" x14ac:dyDescent="0.3">
      <c r="A221" s="2" t="s">
        <v>2358</v>
      </c>
      <c r="B221" s="2" t="s">
        <v>2359</v>
      </c>
      <c r="C221" s="2" t="s">
        <v>1621</v>
      </c>
      <c r="D221" s="2" t="s">
        <v>1622</v>
      </c>
      <c r="E221" s="2" t="s">
        <v>661</v>
      </c>
      <c r="F221" s="2" t="s">
        <v>660</v>
      </c>
      <c r="G221" s="2" t="s">
        <v>609</v>
      </c>
      <c r="H221" s="2">
        <v>16</v>
      </c>
      <c r="I221" s="3">
        <v>550</v>
      </c>
      <c r="J221" s="3">
        <v>820</v>
      </c>
      <c r="K221" s="3">
        <f t="shared" si="9"/>
        <v>13120</v>
      </c>
      <c r="L221" s="3">
        <f t="shared" si="10"/>
        <v>8800</v>
      </c>
      <c r="M221" s="3">
        <f t="shared" si="11"/>
        <v>4320</v>
      </c>
    </row>
    <row r="222" spans="1:13" x14ac:dyDescent="0.3">
      <c r="A222" s="5" t="s">
        <v>2360</v>
      </c>
      <c r="B222" s="5" t="s">
        <v>1925</v>
      </c>
      <c r="C222" s="5" t="s">
        <v>1521</v>
      </c>
      <c r="D222" s="5" t="s">
        <v>1522</v>
      </c>
      <c r="E222" s="5" t="s">
        <v>121</v>
      </c>
      <c r="F222" s="5" t="s">
        <v>120</v>
      </c>
      <c r="G222" s="5" t="s">
        <v>17</v>
      </c>
      <c r="H222" s="5">
        <v>2</v>
      </c>
      <c r="I222" s="6">
        <v>195000</v>
      </c>
      <c r="J222" s="6">
        <v>239000</v>
      </c>
      <c r="K222" s="6">
        <f t="shared" si="9"/>
        <v>478000</v>
      </c>
      <c r="L222" s="6">
        <f t="shared" si="10"/>
        <v>390000</v>
      </c>
      <c r="M222" s="6">
        <f t="shared" si="11"/>
        <v>88000</v>
      </c>
    </row>
    <row r="223" spans="1:13" x14ac:dyDescent="0.3">
      <c r="A223" s="2" t="s">
        <v>2361</v>
      </c>
      <c r="B223" s="2" t="s">
        <v>2362</v>
      </c>
      <c r="C223" s="2" t="s">
        <v>1498</v>
      </c>
      <c r="D223" s="2" t="s">
        <v>1499</v>
      </c>
      <c r="E223" s="2" t="s">
        <v>26</v>
      </c>
      <c r="F223" s="2" t="s">
        <v>25</v>
      </c>
      <c r="G223" s="2" t="s">
        <v>17</v>
      </c>
      <c r="H223" s="2">
        <v>3</v>
      </c>
      <c r="I223" s="3">
        <v>55000</v>
      </c>
      <c r="J223" s="3">
        <v>68000</v>
      </c>
      <c r="K223" s="3">
        <f t="shared" si="9"/>
        <v>204000</v>
      </c>
      <c r="L223" s="3">
        <f t="shared" si="10"/>
        <v>165000</v>
      </c>
      <c r="M223" s="3">
        <f t="shared" si="11"/>
        <v>39000</v>
      </c>
    </row>
    <row r="224" spans="1:13" x14ac:dyDescent="0.3">
      <c r="A224" s="5" t="s">
        <v>2363</v>
      </c>
      <c r="B224" s="5" t="s">
        <v>2364</v>
      </c>
      <c r="C224" s="5" t="s">
        <v>1596</v>
      </c>
      <c r="D224" s="5" t="s">
        <v>1597</v>
      </c>
      <c r="E224" s="5" t="s">
        <v>200</v>
      </c>
      <c r="F224" s="5" t="s">
        <v>199</v>
      </c>
      <c r="G224" s="5" t="s">
        <v>169</v>
      </c>
      <c r="H224" s="5">
        <v>27</v>
      </c>
      <c r="I224" s="6">
        <v>430</v>
      </c>
      <c r="J224" s="6">
        <v>560</v>
      </c>
      <c r="K224" s="6">
        <f t="shared" si="9"/>
        <v>15120</v>
      </c>
      <c r="L224" s="6">
        <f t="shared" si="10"/>
        <v>11610</v>
      </c>
      <c r="M224" s="6">
        <f t="shared" si="11"/>
        <v>3510</v>
      </c>
    </row>
    <row r="225" spans="1:13" x14ac:dyDescent="0.3">
      <c r="A225" s="2" t="s">
        <v>2365</v>
      </c>
      <c r="B225" s="2" t="s">
        <v>1974</v>
      </c>
      <c r="C225" s="2" t="s">
        <v>1329</v>
      </c>
      <c r="D225" s="2" t="s">
        <v>1330</v>
      </c>
      <c r="E225" s="2" t="s">
        <v>74</v>
      </c>
      <c r="F225" s="2" t="s">
        <v>73</v>
      </c>
      <c r="G225" s="2" t="s">
        <v>17</v>
      </c>
      <c r="H225" s="2">
        <v>10</v>
      </c>
      <c r="I225" s="3">
        <v>95000</v>
      </c>
      <c r="J225" s="3">
        <v>115000</v>
      </c>
      <c r="K225" s="3">
        <f t="shared" si="9"/>
        <v>1150000</v>
      </c>
      <c r="L225" s="3">
        <f t="shared" si="10"/>
        <v>950000</v>
      </c>
      <c r="M225" s="3">
        <f t="shared" si="11"/>
        <v>200000</v>
      </c>
    </row>
    <row r="226" spans="1:13" x14ac:dyDescent="0.3">
      <c r="A226" s="5" t="s">
        <v>2366</v>
      </c>
      <c r="B226" s="5" t="s">
        <v>2043</v>
      </c>
      <c r="C226" s="5" t="s">
        <v>1478</v>
      </c>
      <c r="D226" s="5" t="s">
        <v>1479</v>
      </c>
      <c r="E226" s="5" t="s">
        <v>345</v>
      </c>
      <c r="F226" s="5" t="s">
        <v>344</v>
      </c>
      <c r="G226" s="5" t="s">
        <v>330</v>
      </c>
      <c r="H226" s="5">
        <v>43</v>
      </c>
      <c r="I226" s="6">
        <v>1800</v>
      </c>
      <c r="J226" s="6">
        <v>2700</v>
      </c>
      <c r="K226" s="6">
        <f t="shared" si="9"/>
        <v>116100</v>
      </c>
      <c r="L226" s="6">
        <f t="shared" si="10"/>
        <v>77400</v>
      </c>
      <c r="M226" s="6">
        <f t="shared" si="11"/>
        <v>38700</v>
      </c>
    </row>
    <row r="227" spans="1:13" x14ac:dyDescent="0.3">
      <c r="A227" s="2" t="s">
        <v>2367</v>
      </c>
      <c r="B227" s="2" t="s">
        <v>1817</v>
      </c>
      <c r="C227" s="2" t="s">
        <v>1364</v>
      </c>
      <c r="D227" s="2" t="s">
        <v>1365</v>
      </c>
      <c r="E227" s="2" t="s">
        <v>846</v>
      </c>
      <c r="F227" s="2" t="s">
        <v>845</v>
      </c>
      <c r="G227" s="2" t="s">
        <v>816</v>
      </c>
      <c r="H227" s="2">
        <v>7</v>
      </c>
      <c r="I227" s="3">
        <v>380</v>
      </c>
      <c r="J227" s="3">
        <v>560</v>
      </c>
      <c r="K227" s="3">
        <f t="shared" si="9"/>
        <v>3920</v>
      </c>
      <c r="L227" s="3">
        <f t="shared" si="10"/>
        <v>2660</v>
      </c>
      <c r="M227" s="3">
        <f t="shared" si="11"/>
        <v>1260</v>
      </c>
    </row>
    <row r="228" spans="1:13" x14ac:dyDescent="0.3">
      <c r="A228" s="5" t="s">
        <v>2368</v>
      </c>
      <c r="B228" s="5" t="s">
        <v>2045</v>
      </c>
      <c r="C228" s="5" t="s">
        <v>1329</v>
      </c>
      <c r="D228" s="5" t="s">
        <v>1330</v>
      </c>
      <c r="E228" s="5" t="s">
        <v>99</v>
      </c>
      <c r="F228" s="5" t="s">
        <v>98</v>
      </c>
      <c r="G228" s="5" t="s">
        <v>17</v>
      </c>
      <c r="H228" s="5">
        <v>41</v>
      </c>
      <c r="I228" s="6">
        <v>78000</v>
      </c>
      <c r="J228" s="6">
        <v>98000</v>
      </c>
      <c r="K228" s="6">
        <f t="shared" si="9"/>
        <v>4018000</v>
      </c>
      <c r="L228" s="6">
        <f t="shared" si="10"/>
        <v>3198000</v>
      </c>
      <c r="M228" s="6">
        <f t="shared" si="11"/>
        <v>820000</v>
      </c>
    </row>
    <row r="229" spans="1:13" x14ac:dyDescent="0.3">
      <c r="A229" s="2" t="s">
        <v>2369</v>
      </c>
      <c r="B229" s="2" t="s">
        <v>2022</v>
      </c>
      <c r="C229" s="2" t="s">
        <v>1558</v>
      </c>
      <c r="D229" s="2" t="s">
        <v>1559</v>
      </c>
      <c r="E229" s="2" t="s">
        <v>499</v>
      </c>
      <c r="F229" s="2" t="s">
        <v>498</v>
      </c>
      <c r="G229" s="2" t="s">
        <v>469</v>
      </c>
      <c r="H229" s="2">
        <v>33</v>
      </c>
      <c r="I229" s="3">
        <v>200</v>
      </c>
      <c r="J229" s="3">
        <v>280</v>
      </c>
      <c r="K229" s="3">
        <f t="shared" si="9"/>
        <v>9240</v>
      </c>
      <c r="L229" s="3">
        <f t="shared" si="10"/>
        <v>6600</v>
      </c>
      <c r="M229" s="3">
        <f t="shared" si="11"/>
        <v>2640</v>
      </c>
    </row>
    <row r="230" spans="1:13" x14ac:dyDescent="0.3">
      <c r="A230" s="5" t="s">
        <v>2370</v>
      </c>
      <c r="B230" s="5" t="s">
        <v>1908</v>
      </c>
      <c r="C230" s="5" t="s">
        <v>1182</v>
      </c>
      <c r="D230" s="5" t="s">
        <v>1183</v>
      </c>
      <c r="E230" s="5" t="s">
        <v>327</v>
      </c>
      <c r="F230" s="5" t="s">
        <v>326</v>
      </c>
      <c r="G230" s="5" t="s">
        <v>169</v>
      </c>
      <c r="H230" s="5">
        <v>43</v>
      </c>
      <c r="I230" s="6">
        <v>280</v>
      </c>
      <c r="J230" s="6">
        <v>380</v>
      </c>
      <c r="K230" s="6">
        <f t="shared" si="9"/>
        <v>16340</v>
      </c>
      <c r="L230" s="6">
        <f t="shared" si="10"/>
        <v>12040</v>
      </c>
      <c r="M230" s="6">
        <f t="shared" si="11"/>
        <v>4300</v>
      </c>
    </row>
    <row r="231" spans="1:13" x14ac:dyDescent="0.3">
      <c r="A231" s="2" t="s">
        <v>2371</v>
      </c>
      <c r="B231" s="2" t="s">
        <v>2372</v>
      </c>
      <c r="C231" s="2" t="s">
        <v>1420</v>
      </c>
      <c r="D231" s="2" t="s">
        <v>1421</v>
      </c>
      <c r="E231" s="2" t="s">
        <v>245</v>
      </c>
      <c r="F231" s="2" t="s">
        <v>244</v>
      </c>
      <c r="G231" s="2" t="s">
        <v>169</v>
      </c>
      <c r="H231" s="2">
        <v>36</v>
      </c>
      <c r="I231" s="3">
        <v>58</v>
      </c>
      <c r="J231" s="3">
        <v>84</v>
      </c>
      <c r="K231" s="3">
        <f t="shared" si="9"/>
        <v>3024</v>
      </c>
      <c r="L231" s="3">
        <f t="shared" si="10"/>
        <v>2088</v>
      </c>
      <c r="M231" s="3">
        <f t="shared" si="11"/>
        <v>936</v>
      </c>
    </row>
    <row r="232" spans="1:13" x14ac:dyDescent="0.3">
      <c r="A232" s="5" t="s">
        <v>2373</v>
      </c>
      <c r="B232" s="5" t="s">
        <v>1813</v>
      </c>
      <c r="C232" s="5" t="s">
        <v>1237</v>
      </c>
      <c r="D232" s="5" t="s">
        <v>1238</v>
      </c>
      <c r="E232" s="5" t="s">
        <v>239</v>
      </c>
      <c r="F232" s="5" t="s">
        <v>238</v>
      </c>
      <c r="G232" s="5" t="s">
        <v>169</v>
      </c>
      <c r="H232" s="5">
        <v>29</v>
      </c>
      <c r="I232" s="6">
        <v>50</v>
      </c>
      <c r="J232" s="6">
        <v>72</v>
      </c>
      <c r="K232" s="6">
        <f t="shared" si="9"/>
        <v>2088</v>
      </c>
      <c r="L232" s="6">
        <f t="shared" si="10"/>
        <v>1450</v>
      </c>
      <c r="M232" s="6">
        <f t="shared" si="11"/>
        <v>638</v>
      </c>
    </row>
    <row r="233" spans="1:13" x14ac:dyDescent="0.3">
      <c r="A233" s="2" t="s">
        <v>2374</v>
      </c>
      <c r="B233" s="2" t="s">
        <v>1864</v>
      </c>
      <c r="C233" s="2" t="s">
        <v>1568</v>
      </c>
      <c r="D233" s="2" t="s">
        <v>1569</v>
      </c>
      <c r="E233" s="2" t="s">
        <v>531</v>
      </c>
      <c r="F233" s="2" t="s">
        <v>530</v>
      </c>
      <c r="G233" s="2" t="s">
        <v>469</v>
      </c>
      <c r="H233" s="2">
        <v>33</v>
      </c>
      <c r="I233" s="3">
        <v>1500</v>
      </c>
      <c r="J233" s="3">
        <v>2100</v>
      </c>
      <c r="K233" s="3">
        <f t="shared" si="9"/>
        <v>69300</v>
      </c>
      <c r="L233" s="3">
        <f t="shared" si="10"/>
        <v>49500</v>
      </c>
      <c r="M233" s="3">
        <f t="shared" si="11"/>
        <v>19800</v>
      </c>
    </row>
    <row r="234" spans="1:13" x14ac:dyDescent="0.3">
      <c r="A234" s="5" t="s">
        <v>2375</v>
      </c>
      <c r="B234" s="5" t="s">
        <v>2376</v>
      </c>
      <c r="C234" s="5" t="s">
        <v>1269</v>
      </c>
      <c r="D234" s="5" t="s">
        <v>1270</v>
      </c>
      <c r="E234" s="5" t="s">
        <v>239</v>
      </c>
      <c r="F234" s="5" t="s">
        <v>238</v>
      </c>
      <c r="G234" s="5" t="s">
        <v>169</v>
      </c>
      <c r="H234" s="5">
        <v>6</v>
      </c>
      <c r="I234" s="6">
        <v>50</v>
      </c>
      <c r="J234" s="6">
        <v>72</v>
      </c>
      <c r="K234" s="6">
        <f t="shared" si="9"/>
        <v>432</v>
      </c>
      <c r="L234" s="6">
        <f t="shared" si="10"/>
        <v>300</v>
      </c>
      <c r="M234" s="6">
        <f t="shared" si="11"/>
        <v>132</v>
      </c>
    </row>
    <row r="235" spans="1:13" x14ac:dyDescent="0.3">
      <c r="A235" s="2" t="s">
        <v>2377</v>
      </c>
      <c r="B235" s="2" t="s">
        <v>2056</v>
      </c>
      <c r="C235" s="2" t="s">
        <v>1429</v>
      </c>
      <c r="D235" s="2" t="s">
        <v>1430</v>
      </c>
      <c r="E235" s="2" t="s">
        <v>161</v>
      </c>
      <c r="F235" s="2" t="s">
        <v>160</v>
      </c>
      <c r="G235" s="2" t="s">
        <v>17</v>
      </c>
      <c r="H235" s="2">
        <v>31</v>
      </c>
      <c r="I235" s="3">
        <v>22000</v>
      </c>
      <c r="J235" s="3">
        <v>28000</v>
      </c>
      <c r="K235" s="3">
        <f t="shared" si="9"/>
        <v>868000</v>
      </c>
      <c r="L235" s="3">
        <f t="shared" si="10"/>
        <v>682000</v>
      </c>
      <c r="M235" s="3">
        <f t="shared" si="11"/>
        <v>186000</v>
      </c>
    </row>
    <row r="236" spans="1:13" x14ac:dyDescent="0.3">
      <c r="A236" s="5" t="s">
        <v>2378</v>
      </c>
      <c r="B236" s="5" t="s">
        <v>1955</v>
      </c>
      <c r="C236" s="5" t="s">
        <v>1507</v>
      </c>
      <c r="D236" s="5" t="s">
        <v>1508</v>
      </c>
      <c r="E236" s="5" t="s">
        <v>639</v>
      </c>
      <c r="F236" s="5" t="s">
        <v>638</v>
      </c>
      <c r="G236" s="5" t="s">
        <v>609</v>
      </c>
      <c r="H236" s="5">
        <v>33</v>
      </c>
      <c r="I236" s="6">
        <v>180</v>
      </c>
      <c r="J236" s="6">
        <v>260</v>
      </c>
      <c r="K236" s="6">
        <f t="shared" si="9"/>
        <v>8580</v>
      </c>
      <c r="L236" s="6">
        <f t="shared" si="10"/>
        <v>5940</v>
      </c>
      <c r="M236" s="6">
        <f t="shared" si="11"/>
        <v>2640</v>
      </c>
    </row>
    <row r="237" spans="1:13" x14ac:dyDescent="0.3">
      <c r="A237" s="2" t="s">
        <v>2379</v>
      </c>
      <c r="B237" s="2" t="s">
        <v>1904</v>
      </c>
      <c r="C237" s="2" t="s">
        <v>1521</v>
      </c>
      <c r="D237" s="2" t="s">
        <v>1522</v>
      </c>
      <c r="E237" s="2" t="s">
        <v>779</v>
      </c>
      <c r="F237" s="2" t="s">
        <v>778</v>
      </c>
      <c r="G237" s="2" t="s">
        <v>731</v>
      </c>
      <c r="H237" s="2">
        <v>4</v>
      </c>
      <c r="I237" s="3">
        <v>180</v>
      </c>
      <c r="J237" s="3">
        <v>280</v>
      </c>
      <c r="K237" s="3">
        <f t="shared" si="9"/>
        <v>1120</v>
      </c>
      <c r="L237" s="3">
        <f t="shared" si="10"/>
        <v>720</v>
      </c>
      <c r="M237" s="3">
        <f t="shared" si="11"/>
        <v>400</v>
      </c>
    </row>
    <row r="238" spans="1:13" x14ac:dyDescent="0.3">
      <c r="A238" s="5" t="s">
        <v>2380</v>
      </c>
      <c r="B238" s="5" t="s">
        <v>2205</v>
      </c>
      <c r="C238" s="5" t="s">
        <v>1339</v>
      </c>
      <c r="D238" s="5" t="s">
        <v>1340</v>
      </c>
      <c r="E238" s="5" t="s">
        <v>499</v>
      </c>
      <c r="F238" s="5" t="s">
        <v>498</v>
      </c>
      <c r="G238" s="5" t="s">
        <v>469</v>
      </c>
      <c r="H238" s="5">
        <v>6</v>
      </c>
      <c r="I238" s="6">
        <v>200</v>
      </c>
      <c r="J238" s="6">
        <v>280</v>
      </c>
      <c r="K238" s="6">
        <f t="shared" si="9"/>
        <v>1680</v>
      </c>
      <c r="L238" s="6">
        <f t="shared" si="10"/>
        <v>1200</v>
      </c>
      <c r="M238" s="6">
        <f t="shared" si="11"/>
        <v>480</v>
      </c>
    </row>
    <row r="239" spans="1:13" x14ac:dyDescent="0.3">
      <c r="A239" s="2" t="s">
        <v>2381</v>
      </c>
      <c r="B239" s="2" t="s">
        <v>2382</v>
      </c>
      <c r="C239" s="2" t="s">
        <v>1220</v>
      </c>
      <c r="D239" s="2" t="s">
        <v>1221</v>
      </c>
      <c r="E239" s="2" t="s">
        <v>366</v>
      </c>
      <c r="F239" s="2" t="s">
        <v>365</v>
      </c>
      <c r="G239" s="2" t="s">
        <v>330</v>
      </c>
      <c r="H239" s="2">
        <v>6</v>
      </c>
      <c r="I239" s="3">
        <v>650</v>
      </c>
      <c r="J239" s="3">
        <v>1000</v>
      </c>
      <c r="K239" s="3">
        <f t="shared" si="9"/>
        <v>6000</v>
      </c>
      <c r="L239" s="3">
        <f t="shared" si="10"/>
        <v>3900</v>
      </c>
      <c r="M239" s="3">
        <f t="shared" si="11"/>
        <v>2100</v>
      </c>
    </row>
    <row r="240" spans="1:13" x14ac:dyDescent="0.3">
      <c r="A240" s="5" t="s">
        <v>2383</v>
      </c>
      <c r="B240" s="5" t="s">
        <v>2384</v>
      </c>
      <c r="C240" s="5" t="s">
        <v>1415</v>
      </c>
      <c r="D240" s="5" t="s">
        <v>1416</v>
      </c>
      <c r="E240" s="5" t="s">
        <v>846</v>
      </c>
      <c r="F240" s="5" t="s">
        <v>845</v>
      </c>
      <c r="G240" s="5" t="s">
        <v>816</v>
      </c>
      <c r="H240" s="5">
        <v>9</v>
      </c>
      <c r="I240" s="6">
        <v>380</v>
      </c>
      <c r="J240" s="6">
        <v>560</v>
      </c>
      <c r="K240" s="6">
        <f t="shared" si="9"/>
        <v>5040</v>
      </c>
      <c r="L240" s="6">
        <f t="shared" si="10"/>
        <v>3420</v>
      </c>
      <c r="M240" s="6">
        <f t="shared" si="11"/>
        <v>1620</v>
      </c>
    </row>
    <row r="241" spans="1:13" x14ac:dyDescent="0.3">
      <c r="A241" s="2" t="s">
        <v>2385</v>
      </c>
      <c r="B241" s="2" t="s">
        <v>1822</v>
      </c>
      <c r="C241" s="2" t="s">
        <v>1204</v>
      </c>
      <c r="D241" s="2" t="s">
        <v>1205</v>
      </c>
      <c r="E241" s="2" t="s">
        <v>64</v>
      </c>
      <c r="F241" s="2" t="s">
        <v>63</v>
      </c>
      <c r="G241" s="2" t="s">
        <v>17</v>
      </c>
      <c r="H241" s="2">
        <v>16</v>
      </c>
      <c r="I241" s="3">
        <v>115000</v>
      </c>
      <c r="J241" s="3">
        <v>139000</v>
      </c>
      <c r="K241" s="3">
        <f t="shared" si="9"/>
        <v>2224000</v>
      </c>
      <c r="L241" s="3">
        <f t="shared" si="10"/>
        <v>1840000</v>
      </c>
      <c r="M241" s="3">
        <f t="shared" si="11"/>
        <v>384000</v>
      </c>
    </row>
    <row r="242" spans="1:13" x14ac:dyDescent="0.3">
      <c r="A242" s="5" t="s">
        <v>2386</v>
      </c>
      <c r="B242" s="5" t="s">
        <v>2387</v>
      </c>
      <c r="C242" s="5" t="s">
        <v>1247</v>
      </c>
      <c r="D242" s="5" t="s">
        <v>1248</v>
      </c>
      <c r="E242" s="5" t="s">
        <v>50</v>
      </c>
      <c r="F242" s="5" t="s">
        <v>49</v>
      </c>
      <c r="G242" s="5" t="s">
        <v>17</v>
      </c>
      <c r="H242" s="5">
        <v>44</v>
      </c>
      <c r="I242" s="6">
        <v>82000</v>
      </c>
      <c r="J242" s="6">
        <v>99000</v>
      </c>
      <c r="K242" s="6">
        <f t="shared" si="9"/>
        <v>4356000</v>
      </c>
      <c r="L242" s="6">
        <f t="shared" si="10"/>
        <v>3608000</v>
      </c>
      <c r="M242" s="6">
        <f t="shared" si="11"/>
        <v>748000</v>
      </c>
    </row>
    <row r="243" spans="1:13" x14ac:dyDescent="0.3">
      <c r="A243" s="2" t="s">
        <v>2388</v>
      </c>
      <c r="B243" s="2" t="s">
        <v>2200</v>
      </c>
      <c r="C243" s="2" t="s">
        <v>1478</v>
      </c>
      <c r="D243" s="2" t="s">
        <v>1479</v>
      </c>
      <c r="E243" s="2" t="s">
        <v>298</v>
      </c>
      <c r="F243" s="2" t="s">
        <v>297</v>
      </c>
      <c r="G243" s="2" t="s">
        <v>169</v>
      </c>
      <c r="H243" s="2">
        <v>28</v>
      </c>
      <c r="I243" s="3">
        <v>185</v>
      </c>
      <c r="J243" s="3">
        <v>245</v>
      </c>
      <c r="K243" s="3">
        <f t="shared" si="9"/>
        <v>6860</v>
      </c>
      <c r="L243" s="3">
        <f t="shared" si="10"/>
        <v>5180</v>
      </c>
      <c r="M243" s="3">
        <f t="shared" si="11"/>
        <v>1680</v>
      </c>
    </row>
    <row r="244" spans="1:13" x14ac:dyDescent="0.3">
      <c r="A244" s="5" t="s">
        <v>2389</v>
      </c>
      <c r="B244" s="5" t="s">
        <v>2390</v>
      </c>
      <c r="C244" s="5" t="s">
        <v>1344</v>
      </c>
      <c r="D244" s="5" t="s">
        <v>1345</v>
      </c>
      <c r="E244" s="5" t="s">
        <v>617</v>
      </c>
      <c r="F244" s="5" t="s">
        <v>616</v>
      </c>
      <c r="G244" s="5" t="s">
        <v>609</v>
      </c>
      <c r="H244" s="5">
        <v>11</v>
      </c>
      <c r="I244" s="6">
        <v>70</v>
      </c>
      <c r="J244" s="6">
        <v>100</v>
      </c>
      <c r="K244" s="6">
        <f t="shared" si="9"/>
        <v>1100</v>
      </c>
      <c r="L244" s="6">
        <f t="shared" si="10"/>
        <v>770</v>
      </c>
      <c r="M244" s="6">
        <f t="shared" si="11"/>
        <v>330</v>
      </c>
    </row>
    <row r="245" spans="1:13" x14ac:dyDescent="0.3">
      <c r="A245" s="2" t="s">
        <v>2391</v>
      </c>
      <c r="B245" s="2" t="s">
        <v>2392</v>
      </c>
      <c r="C245" s="2" t="s">
        <v>1300</v>
      </c>
      <c r="D245" s="2" t="s">
        <v>1301</v>
      </c>
      <c r="E245" s="2" t="s">
        <v>839</v>
      </c>
      <c r="F245" s="2" t="s">
        <v>838</v>
      </c>
      <c r="G245" s="2" t="s">
        <v>816</v>
      </c>
      <c r="H245" s="2">
        <v>9</v>
      </c>
      <c r="I245" s="3">
        <v>550</v>
      </c>
      <c r="J245" s="3">
        <v>800</v>
      </c>
      <c r="K245" s="3">
        <f t="shared" si="9"/>
        <v>7200</v>
      </c>
      <c r="L245" s="3">
        <f t="shared" si="10"/>
        <v>4950</v>
      </c>
      <c r="M245" s="3">
        <f t="shared" si="11"/>
        <v>2250</v>
      </c>
    </row>
    <row r="246" spans="1:13" x14ac:dyDescent="0.3">
      <c r="A246" s="5" t="s">
        <v>2393</v>
      </c>
      <c r="B246" s="5" t="s">
        <v>2345</v>
      </c>
      <c r="C246" s="5" t="s">
        <v>1252</v>
      </c>
      <c r="D246" s="5" t="s">
        <v>1253</v>
      </c>
      <c r="E246" s="5" t="s">
        <v>225</v>
      </c>
      <c r="F246" s="5" t="s">
        <v>224</v>
      </c>
      <c r="G246" s="5" t="s">
        <v>169</v>
      </c>
      <c r="H246" s="5">
        <v>34</v>
      </c>
      <c r="I246" s="6">
        <v>75</v>
      </c>
      <c r="J246" s="6">
        <v>110</v>
      </c>
      <c r="K246" s="6">
        <f t="shared" si="9"/>
        <v>3740</v>
      </c>
      <c r="L246" s="6">
        <f t="shared" si="10"/>
        <v>2550</v>
      </c>
      <c r="M246" s="6">
        <f t="shared" si="11"/>
        <v>1190</v>
      </c>
    </row>
    <row r="247" spans="1:13" x14ac:dyDescent="0.3">
      <c r="A247" s="2" t="s">
        <v>2394</v>
      </c>
      <c r="B247" s="2" t="s">
        <v>2395</v>
      </c>
      <c r="C247" s="2" t="s">
        <v>1478</v>
      </c>
      <c r="D247" s="2" t="s">
        <v>1479</v>
      </c>
      <c r="E247" s="2" t="s">
        <v>513</v>
      </c>
      <c r="F247" s="2" t="s">
        <v>512</v>
      </c>
      <c r="G247" s="2" t="s">
        <v>469</v>
      </c>
      <c r="H247" s="2">
        <v>21</v>
      </c>
      <c r="I247" s="3">
        <v>2800</v>
      </c>
      <c r="J247" s="3">
        <v>3800</v>
      </c>
      <c r="K247" s="3">
        <f t="shared" si="9"/>
        <v>79800</v>
      </c>
      <c r="L247" s="3">
        <f t="shared" si="10"/>
        <v>58800</v>
      </c>
      <c r="M247" s="3">
        <f t="shared" si="11"/>
        <v>21000</v>
      </c>
    </row>
    <row r="248" spans="1:13" x14ac:dyDescent="0.3">
      <c r="A248" s="5" t="s">
        <v>2396</v>
      </c>
      <c r="B248" s="5" t="s">
        <v>2128</v>
      </c>
      <c r="C248" s="5" t="s">
        <v>1394</v>
      </c>
      <c r="D248" s="5" t="s">
        <v>1395</v>
      </c>
      <c r="E248" s="5" t="s">
        <v>362</v>
      </c>
      <c r="F248" s="5" t="s">
        <v>361</v>
      </c>
      <c r="G248" s="5" t="s">
        <v>330</v>
      </c>
      <c r="H248" s="5">
        <v>49</v>
      </c>
      <c r="I248" s="6">
        <v>1600</v>
      </c>
      <c r="J248" s="6">
        <v>2400</v>
      </c>
      <c r="K248" s="6">
        <f t="shared" si="9"/>
        <v>117600</v>
      </c>
      <c r="L248" s="6">
        <f t="shared" si="10"/>
        <v>78400</v>
      </c>
      <c r="M248" s="6">
        <f t="shared" si="11"/>
        <v>39200</v>
      </c>
    </row>
    <row r="249" spans="1:13" x14ac:dyDescent="0.3">
      <c r="A249" s="2" t="s">
        <v>2397</v>
      </c>
      <c r="B249" s="2" t="s">
        <v>2382</v>
      </c>
      <c r="C249" s="2" t="s">
        <v>1188</v>
      </c>
      <c r="D249" s="2" t="s">
        <v>1189</v>
      </c>
      <c r="E249" s="2" t="s">
        <v>132</v>
      </c>
      <c r="F249" s="2" t="s">
        <v>131</v>
      </c>
      <c r="G249" s="2" t="s">
        <v>17</v>
      </c>
      <c r="H249" s="2">
        <v>45</v>
      </c>
      <c r="I249" s="3">
        <v>95000</v>
      </c>
      <c r="J249" s="3">
        <v>118000</v>
      </c>
      <c r="K249" s="3">
        <f t="shared" si="9"/>
        <v>5310000</v>
      </c>
      <c r="L249" s="3">
        <f t="shared" si="10"/>
        <v>4275000</v>
      </c>
      <c r="M249" s="3">
        <f t="shared" si="11"/>
        <v>1035000</v>
      </c>
    </row>
    <row r="250" spans="1:13" x14ac:dyDescent="0.3">
      <c r="A250" s="5" t="s">
        <v>2398</v>
      </c>
      <c r="B250" s="5" t="s">
        <v>2227</v>
      </c>
      <c r="C250" s="5" t="s">
        <v>1220</v>
      </c>
      <c r="D250" s="5" t="s">
        <v>1221</v>
      </c>
      <c r="E250" s="5" t="s">
        <v>214</v>
      </c>
      <c r="F250" s="5" t="s">
        <v>213</v>
      </c>
      <c r="G250" s="5" t="s">
        <v>169</v>
      </c>
      <c r="H250" s="5">
        <v>41</v>
      </c>
      <c r="I250" s="6">
        <v>65</v>
      </c>
      <c r="J250" s="6">
        <v>95</v>
      </c>
      <c r="K250" s="6">
        <f t="shared" si="9"/>
        <v>3895</v>
      </c>
      <c r="L250" s="6">
        <f t="shared" si="10"/>
        <v>2665</v>
      </c>
      <c r="M250" s="6">
        <f t="shared" si="11"/>
        <v>1230</v>
      </c>
    </row>
    <row r="251" spans="1:13" x14ac:dyDescent="0.3">
      <c r="A251" s="2" t="s">
        <v>2399</v>
      </c>
      <c r="B251" s="2" t="s">
        <v>2249</v>
      </c>
      <c r="C251" s="2" t="s">
        <v>1458</v>
      </c>
      <c r="D251" s="2" t="s">
        <v>1459</v>
      </c>
      <c r="E251" s="2" t="s">
        <v>839</v>
      </c>
      <c r="F251" s="2" t="s">
        <v>838</v>
      </c>
      <c r="G251" s="2" t="s">
        <v>816</v>
      </c>
      <c r="H251" s="2">
        <v>36</v>
      </c>
      <c r="I251" s="3">
        <v>550</v>
      </c>
      <c r="J251" s="3">
        <v>800</v>
      </c>
      <c r="K251" s="3">
        <f t="shared" si="9"/>
        <v>28800</v>
      </c>
      <c r="L251" s="3">
        <f t="shared" si="10"/>
        <v>19800</v>
      </c>
      <c r="M251" s="3">
        <f t="shared" si="11"/>
        <v>9000</v>
      </c>
    </row>
    <row r="252" spans="1:13" x14ac:dyDescent="0.3">
      <c r="A252" s="5" t="s">
        <v>2400</v>
      </c>
      <c r="B252" s="5" t="s">
        <v>1882</v>
      </c>
      <c r="C252" s="5" t="s">
        <v>1384</v>
      </c>
      <c r="D252" s="5" t="s">
        <v>1385</v>
      </c>
      <c r="E252" s="5" t="s">
        <v>230</v>
      </c>
      <c r="F252" s="5" t="s">
        <v>229</v>
      </c>
      <c r="G252" s="5" t="s">
        <v>169</v>
      </c>
      <c r="H252" s="5">
        <v>40</v>
      </c>
      <c r="I252" s="6">
        <v>55</v>
      </c>
      <c r="J252" s="6">
        <v>80</v>
      </c>
      <c r="K252" s="6">
        <f t="shared" si="9"/>
        <v>3200</v>
      </c>
      <c r="L252" s="6">
        <f t="shared" si="10"/>
        <v>2200</v>
      </c>
      <c r="M252" s="6">
        <f t="shared" si="11"/>
        <v>1000</v>
      </c>
    </row>
    <row r="253" spans="1:13" x14ac:dyDescent="0.3">
      <c r="A253" s="2" t="s">
        <v>2401</v>
      </c>
      <c r="B253" s="2" t="s">
        <v>2105</v>
      </c>
      <c r="C253" s="2" t="s">
        <v>1454</v>
      </c>
      <c r="D253" s="2" t="s">
        <v>1455</v>
      </c>
      <c r="E253" s="2" t="s">
        <v>720</v>
      </c>
      <c r="F253" s="2" t="s">
        <v>719</v>
      </c>
      <c r="G253" s="2" t="s">
        <v>609</v>
      </c>
      <c r="H253" s="2">
        <v>40</v>
      </c>
      <c r="I253" s="3">
        <v>380</v>
      </c>
      <c r="J253" s="3">
        <v>540</v>
      </c>
      <c r="K253" s="3">
        <f t="shared" si="9"/>
        <v>21600</v>
      </c>
      <c r="L253" s="3">
        <f t="shared" si="10"/>
        <v>15200</v>
      </c>
      <c r="M253" s="3">
        <f t="shared" si="11"/>
        <v>6400</v>
      </c>
    </row>
    <row r="254" spans="1:13" x14ac:dyDescent="0.3">
      <c r="A254" s="5" t="s">
        <v>2402</v>
      </c>
      <c r="B254" s="5" t="s">
        <v>2362</v>
      </c>
      <c r="C254" s="5" t="s">
        <v>1644</v>
      </c>
      <c r="D254" s="5" t="s">
        <v>1645</v>
      </c>
      <c r="E254" s="5" t="s">
        <v>807</v>
      </c>
      <c r="F254" s="5" t="s">
        <v>806</v>
      </c>
      <c r="G254" s="5" t="s">
        <v>731</v>
      </c>
      <c r="H254" s="5">
        <v>44</v>
      </c>
      <c r="I254" s="6">
        <v>120</v>
      </c>
      <c r="J254" s="6">
        <v>185</v>
      </c>
      <c r="K254" s="6">
        <f t="shared" si="9"/>
        <v>8140</v>
      </c>
      <c r="L254" s="6">
        <f t="shared" si="10"/>
        <v>5280</v>
      </c>
      <c r="M254" s="6">
        <f t="shared" si="11"/>
        <v>2860</v>
      </c>
    </row>
    <row r="255" spans="1:13" x14ac:dyDescent="0.3">
      <c r="A255" s="2" t="s">
        <v>2403</v>
      </c>
      <c r="B255" s="2" t="s">
        <v>2062</v>
      </c>
      <c r="C255" s="2" t="s">
        <v>1204</v>
      </c>
      <c r="D255" s="2" t="s">
        <v>1205</v>
      </c>
      <c r="E255" s="2" t="s">
        <v>392</v>
      </c>
      <c r="F255" s="2" t="s">
        <v>391</v>
      </c>
      <c r="G255" s="2" t="s">
        <v>330</v>
      </c>
      <c r="H255" s="2">
        <v>44</v>
      </c>
      <c r="I255" s="3">
        <v>1500</v>
      </c>
      <c r="J255" s="3">
        <v>2300</v>
      </c>
      <c r="K255" s="3">
        <f t="shared" si="9"/>
        <v>101200</v>
      </c>
      <c r="L255" s="3">
        <f t="shared" si="10"/>
        <v>66000</v>
      </c>
      <c r="M255" s="3">
        <f t="shared" si="11"/>
        <v>35200</v>
      </c>
    </row>
    <row r="256" spans="1:13" x14ac:dyDescent="0.3">
      <c r="A256" s="5" t="s">
        <v>2404</v>
      </c>
      <c r="B256" s="5" t="s">
        <v>1912</v>
      </c>
      <c r="C256" s="5" t="s">
        <v>1273</v>
      </c>
      <c r="D256" s="5" t="s">
        <v>1274</v>
      </c>
      <c r="E256" s="5" t="s">
        <v>630</v>
      </c>
      <c r="F256" s="5" t="s">
        <v>629</v>
      </c>
      <c r="G256" s="5" t="s">
        <v>609</v>
      </c>
      <c r="H256" s="5">
        <v>42</v>
      </c>
      <c r="I256" s="6">
        <v>120</v>
      </c>
      <c r="J256" s="6">
        <v>175</v>
      </c>
      <c r="K256" s="6">
        <f t="shared" si="9"/>
        <v>7350</v>
      </c>
      <c r="L256" s="6">
        <f t="shared" si="10"/>
        <v>5040</v>
      </c>
      <c r="M256" s="6">
        <f t="shared" si="11"/>
        <v>2310</v>
      </c>
    </row>
    <row r="257" spans="1:13" x14ac:dyDescent="0.3">
      <c r="A257" s="2" t="s">
        <v>2405</v>
      </c>
      <c r="B257" s="2" t="s">
        <v>2092</v>
      </c>
      <c r="C257" s="2" t="s">
        <v>1403</v>
      </c>
      <c r="D257" s="2" t="s">
        <v>1404</v>
      </c>
      <c r="E257" s="2" t="s">
        <v>775</v>
      </c>
      <c r="F257" s="2" t="s">
        <v>774</v>
      </c>
      <c r="G257" s="2" t="s">
        <v>731</v>
      </c>
      <c r="H257" s="2">
        <v>46</v>
      </c>
      <c r="I257" s="3">
        <v>280</v>
      </c>
      <c r="J257" s="3">
        <v>430</v>
      </c>
      <c r="K257" s="3">
        <f t="shared" si="9"/>
        <v>19780</v>
      </c>
      <c r="L257" s="3">
        <f t="shared" si="10"/>
        <v>12880</v>
      </c>
      <c r="M257" s="3">
        <f t="shared" si="11"/>
        <v>6900</v>
      </c>
    </row>
    <row r="258" spans="1:13" x14ac:dyDescent="0.3">
      <c r="A258" s="5" t="s">
        <v>2406</v>
      </c>
      <c r="B258" s="5" t="s">
        <v>2407</v>
      </c>
      <c r="C258" s="5" t="s">
        <v>1220</v>
      </c>
      <c r="D258" s="5" t="s">
        <v>1221</v>
      </c>
      <c r="E258" s="5" t="s">
        <v>301</v>
      </c>
      <c r="F258" s="5" t="s">
        <v>300</v>
      </c>
      <c r="G258" s="5" t="s">
        <v>169</v>
      </c>
      <c r="H258" s="5">
        <v>42</v>
      </c>
      <c r="I258" s="6">
        <v>1200</v>
      </c>
      <c r="J258" s="6">
        <v>1550</v>
      </c>
      <c r="K258" s="6">
        <f t="shared" si="9"/>
        <v>65100</v>
      </c>
      <c r="L258" s="6">
        <f t="shared" si="10"/>
        <v>50400</v>
      </c>
      <c r="M258" s="6">
        <f t="shared" si="11"/>
        <v>14700</v>
      </c>
    </row>
    <row r="259" spans="1:13" x14ac:dyDescent="0.3">
      <c r="A259" s="2" t="s">
        <v>2408</v>
      </c>
      <c r="B259" s="2" t="s">
        <v>1824</v>
      </c>
      <c r="C259" s="2" t="s">
        <v>1424</v>
      </c>
      <c r="D259" s="2" t="s">
        <v>1425</v>
      </c>
      <c r="E259" s="2" t="s">
        <v>273</v>
      </c>
      <c r="F259" s="2" t="s">
        <v>272</v>
      </c>
      <c r="G259" s="2" t="s">
        <v>169</v>
      </c>
      <c r="H259" s="2">
        <v>32</v>
      </c>
      <c r="I259" s="3">
        <v>120</v>
      </c>
      <c r="J259" s="3">
        <v>165</v>
      </c>
      <c r="K259" s="3">
        <f t="shared" ref="K259:K302" si="12">H259*J259</f>
        <v>5280</v>
      </c>
      <c r="L259" s="3">
        <f t="shared" ref="L259:L302" si="13">H259*I259</f>
        <v>3840</v>
      </c>
      <c r="M259" s="3">
        <f t="shared" ref="M259:M302" si="14">K259-L259</f>
        <v>1440</v>
      </c>
    </row>
    <row r="260" spans="1:13" x14ac:dyDescent="0.3">
      <c r="A260" s="5" t="s">
        <v>2409</v>
      </c>
      <c r="B260" s="5" t="s">
        <v>1978</v>
      </c>
      <c r="C260" s="5" t="s">
        <v>1182</v>
      </c>
      <c r="D260" s="5" t="s">
        <v>1183</v>
      </c>
      <c r="E260" s="5" t="s">
        <v>658</v>
      </c>
      <c r="F260" s="5" t="s">
        <v>657</v>
      </c>
      <c r="G260" s="5" t="s">
        <v>609</v>
      </c>
      <c r="H260" s="5">
        <v>2</v>
      </c>
      <c r="I260" s="6">
        <v>380</v>
      </c>
      <c r="J260" s="6">
        <v>580</v>
      </c>
      <c r="K260" s="6">
        <f t="shared" si="12"/>
        <v>1160</v>
      </c>
      <c r="L260" s="6">
        <f t="shared" si="13"/>
        <v>760</v>
      </c>
      <c r="M260" s="6">
        <f t="shared" si="14"/>
        <v>400</v>
      </c>
    </row>
    <row r="261" spans="1:13" x14ac:dyDescent="0.3">
      <c r="A261" s="2" t="s">
        <v>2410</v>
      </c>
      <c r="B261" s="2" t="s">
        <v>2173</v>
      </c>
      <c r="C261" s="2" t="s">
        <v>1621</v>
      </c>
      <c r="D261" s="2" t="s">
        <v>1622</v>
      </c>
      <c r="E261" s="2" t="s">
        <v>884</v>
      </c>
      <c r="F261" s="2" t="s">
        <v>883</v>
      </c>
      <c r="G261" s="2" t="s">
        <v>816</v>
      </c>
      <c r="H261" s="2">
        <v>45</v>
      </c>
      <c r="I261" s="3">
        <v>380</v>
      </c>
      <c r="J261" s="3">
        <v>600</v>
      </c>
      <c r="K261" s="3">
        <f t="shared" si="12"/>
        <v>27000</v>
      </c>
      <c r="L261" s="3">
        <f t="shared" si="13"/>
        <v>17100</v>
      </c>
      <c r="M261" s="3">
        <f t="shared" si="14"/>
        <v>9900</v>
      </c>
    </row>
    <row r="262" spans="1:13" x14ac:dyDescent="0.3">
      <c r="A262" s="5" t="s">
        <v>2411</v>
      </c>
      <c r="B262" s="5" t="s">
        <v>1878</v>
      </c>
      <c r="C262" s="5" t="s">
        <v>1577</v>
      </c>
      <c r="D262" s="5" t="s">
        <v>1578</v>
      </c>
      <c r="E262" s="5" t="s">
        <v>652</v>
      </c>
      <c r="F262" s="5" t="s">
        <v>651</v>
      </c>
      <c r="G262" s="5" t="s">
        <v>609</v>
      </c>
      <c r="H262" s="5">
        <v>33</v>
      </c>
      <c r="I262" s="6">
        <v>145</v>
      </c>
      <c r="J262" s="6">
        <v>215</v>
      </c>
      <c r="K262" s="6">
        <f t="shared" si="12"/>
        <v>7095</v>
      </c>
      <c r="L262" s="6">
        <f t="shared" si="13"/>
        <v>4785</v>
      </c>
      <c r="M262" s="6">
        <f t="shared" si="14"/>
        <v>2310</v>
      </c>
    </row>
    <row r="263" spans="1:13" x14ac:dyDescent="0.3">
      <c r="A263" s="2" t="s">
        <v>2412</v>
      </c>
      <c r="B263" s="2" t="s">
        <v>1766</v>
      </c>
      <c r="C263" s="2" t="s">
        <v>1521</v>
      </c>
      <c r="D263" s="2" t="s">
        <v>1522</v>
      </c>
      <c r="E263" s="2" t="s">
        <v>403</v>
      </c>
      <c r="F263" s="2" t="s">
        <v>402</v>
      </c>
      <c r="G263" s="2" t="s">
        <v>330</v>
      </c>
      <c r="H263" s="2">
        <v>43</v>
      </c>
      <c r="I263" s="3">
        <v>1800</v>
      </c>
      <c r="J263" s="3">
        <v>2700</v>
      </c>
      <c r="K263" s="3">
        <f t="shared" si="12"/>
        <v>116100</v>
      </c>
      <c r="L263" s="3">
        <f t="shared" si="13"/>
        <v>77400</v>
      </c>
      <c r="M263" s="3">
        <f t="shared" si="14"/>
        <v>38700</v>
      </c>
    </row>
    <row r="264" spans="1:13" x14ac:dyDescent="0.3">
      <c r="A264" s="5" t="s">
        <v>2413</v>
      </c>
      <c r="B264" s="5" t="s">
        <v>2414</v>
      </c>
      <c r="C264" s="5" t="s">
        <v>1232</v>
      </c>
      <c r="D264" s="5" t="s">
        <v>1233</v>
      </c>
      <c r="E264" s="5" t="s">
        <v>435</v>
      </c>
      <c r="F264" s="5" t="s">
        <v>434</v>
      </c>
      <c r="G264" s="5" t="s">
        <v>330</v>
      </c>
      <c r="H264" s="5">
        <v>46</v>
      </c>
      <c r="I264" s="6">
        <v>1800</v>
      </c>
      <c r="J264" s="6">
        <v>2800</v>
      </c>
      <c r="K264" s="6">
        <f t="shared" si="12"/>
        <v>128800</v>
      </c>
      <c r="L264" s="6">
        <f t="shared" si="13"/>
        <v>82800</v>
      </c>
      <c r="M264" s="6">
        <f t="shared" si="14"/>
        <v>46000</v>
      </c>
    </row>
    <row r="265" spans="1:13" x14ac:dyDescent="0.3">
      <c r="A265" s="2" t="s">
        <v>2415</v>
      </c>
      <c r="B265" s="2" t="s">
        <v>2359</v>
      </c>
      <c r="C265" s="2" t="s">
        <v>1384</v>
      </c>
      <c r="D265" s="2" t="s">
        <v>1385</v>
      </c>
      <c r="E265" s="2" t="s">
        <v>516</v>
      </c>
      <c r="F265" s="2" t="s">
        <v>515</v>
      </c>
      <c r="G265" s="2" t="s">
        <v>469</v>
      </c>
      <c r="H265" s="2">
        <v>37</v>
      </c>
      <c r="I265" s="3">
        <v>3600</v>
      </c>
      <c r="J265" s="3">
        <v>4800</v>
      </c>
      <c r="K265" s="3">
        <f t="shared" si="12"/>
        <v>177600</v>
      </c>
      <c r="L265" s="3">
        <f t="shared" si="13"/>
        <v>133200</v>
      </c>
      <c r="M265" s="3">
        <f t="shared" si="14"/>
        <v>44400</v>
      </c>
    </row>
    <row r="266" spans="1:13" x14ac:dyDescent="0.3">
      <c r="A266" s="5" t="s">
        <v>2416</v>
      </c>
      <c r="B266" s="5" t="s">
        <v>2138</v>
      </c>
      <c r="C266" s="5" t="s">
        <v>1498</v>
      </c>
      <c r="D266" s="5" t="s">
        <v>1499</v>
      </c>
      <c r="E266" s="5" t="s">
        <v>739</v>
      </c>
      <c r="F266" s="5" t="s">
        <v>738</v>
      </c>
      <c r="G266" s="5" t="s">
        <v>731</v>
      </c>
      <c r="H266" s="5">
        <v>29</v>
      </c>
      <c r="I266" s="6">
        <v>180</v>
      </c>
      <c r="J266" s="6">
        <v>270</v>
      </c>
      <c r="K266" s="6">
        <f t="shared" si="12"/>
        <v>7830</v>
      </c>
      <c r="L266" s="6">
        <f t="shared" si="13"/>
        <v>5220</v>
      </c>
      <c r="M266" s="6">
        <f t="shared" si="14"/>
        <v>2610</v>
      </c>
    </row>
    <row r="267" spans="1:13" x14ac:dyDescent="0.3">
      <c r="A267" s="2" t="s">
        <v>2417</v>
      </c>
      <c r="B267" s="2" t="s">
        <v>2173</v>
      </c>
      <c r="C267" s="2" t="s">
        <v>1434</v>
      </c>
      <c r="D267" s="2" t="s">
        <v>1435</v>
      </c>
      <c r="E267" s="2" t="s">
        <v>126</v>
      </c>
      <c r="F267" s="2" t="s">
        <v>125</v>
      </c>
      <c r="G267" s="2" t="s">
        <v>17</v>
      </c>
      <c r="H267" s="2">
        <v>6</v>
      </c>
      <c r="I267" s="3">
        <v>125000</v>
      </c>
      <c r="J267" s="3">
        <v>155000</v>
      </c>
      <c r="K267" s="3">
        <f t="shared" si="12"/>
        <v>930000</v>
      </c>
      <c r="L267" s="3">
        <f t="shared" si="13"/>
        <v>750000</v>
      </c>
      <c r="M267" s="3">
        <f t="shared" si="14"/>
        <v>180000</v>
      </c>
    </row>
    <row r="268" spans="1:13" x14ac:dyDescent="0.3">
      <c r="A268" s="5" t="s">
        <v>2418</v>
      </c>
      <c r="B268" s="5" t="s">
        <v>2407</v>
      </c>
      <c r="C268" s="5" t="s">
        <v>1247</v>
      </c>
      <c r="D268" s="5" t="s">
        <v>1248</v>
      </c>
      <c r="E268" s="5" t="s">
        <v>756</v>
      </c>
      <c r="F268" s="5" t="s">
        <v>755</v>
      </c>
      <c r="G268" s="5" t="s">
        <v>731</v>
      </c>
      <c r="H268" s="5">
        <v>38</v>
      </c>
      <c r="I268" s="6">
        <v>320</v>
      </c>
      <c r="J268" s="6">
        <v>480</v>
      </c>
      <c r="K268" s="6">
        <f t="shared" si="12"/>
        <v>18240</v>
      </c>
      <c r="L268" s="6">
        <f t="shared" si="13"/>
        <v>12160</v>
      </c>
      <c r="M268" s="6">
        <f t="shared" si="14"/>
        <v>6080</v>
      </c>
    </row>
    <row r="269" spans="1:13" x14ac:dyDescent="0.3">
      <c r="A269" s="2" t="s">
        <v>2419</v>
      </c>
      <c r="B269" s="2" t="s">
        <v>2420</v>
      </c>
      <c r="C269" s="2" t="s">
        <v>1300</v>
      </c>
      <c r="D269" s="2" t="s">
        <v>1301</v>
      </c>
      <c r="E269" s="2" t="s">
        <v>810</v>
      </c>
      <c r="F269" s="2" t="s">
        <v>809</v>
      </c>
      <c r="G269" s="2" t="s">
        <v>731</v>
      </c>
      <c r="H269" s="2">
        <v>28</v>
      </c>
      <c r="I269" s="3">
        <v>250</v>
      </c>
      <c r="J269" s="3">
        <v>390</v>
      </c>
      <c r="K269" s="3">
        <f t="shared" si="12"/>
        <v>10920</v>
      </c>
      <c r="L269" s="3">
        <f t="shared" si="13"/>
        <v>7000</v>
      </c>
      <c r="M269" s="3">
        <f t="shared" si="14"/>
        <v>3920</v>
      </c>
    </row>
    <row r="270" spans="1:13" x14ac:dyDescent="0.3">
      <c r="A270" s="5" t="s">
        <v>2421</v>
      </c>
      <c r="B270" s="5" t="s">
        <v>1805</v>
      </c>
      <c r="C270" s="5" t="s">
        <v>1639</v>
      </c>
      <c r="D270" s="5" t="s">
        <v>1640</v>
      </c>
      <c r="E270" s="5" t="s">
        <v>177</v>
      </c>
      <c r="F270" s="5" t="s">
        <v>176</v>
      </c>
      <c r="G270" s="5" t="s">
        <v>169</v>
      </c>
      <c r="H270" s="5">
        <v>20</v>
      </c>
      <c r="I270" s="6">
        <v>800</v>
      </c>
      <c r="J270" s="6">
        <v>1050</v>
      </c>
      <c r="K270" s="6">
        <f t="shared" si="12"/>
        <v>21000</v>
      </c>
      <c r="L270" s="6">
        <f t="shared" si="13"/>
        <v>16000</v>
      </c>
      <c r="M270" s="6">
        <f t="shared" si="14"/>
        <v>5000</v>
      </c>
    </row>
    <row r="271" spans="1:13" x14ac:dyDescent="0.3">
      <c r="A271" s="2" t="s">
        <v>2422</v>
      </c>
      <c r="B271" s="2" t="s">
        <v>1733</v>
      </c>
      <c r="C271" s="2" t="s">
        <v>1545</v>
      </c>
      <c r="D271" s="2" t="s">
        <v>1546</v>
      </c>
      <c r="E271" s="2" t="s">
        <v>625</v>
      </c>
      <c r="F271" s="2" t="s">
        <v>624</v>
      </c>
      <c r="G271" s="2" t="s">
        <v>609</v>
      </c>
      <c r="H271" s="2">
        <v>45</v>
      </c>
      <c r="I271" s="3">
        <v>45</v>
      </c>
      <c r="J271" s="3">
        <v>70</v>
      </c>
      <c r="K271" s="3">
        <f t="shared" si="12"/>
        <v>3150</v>
      </c>
      <c r="L271" s="3">
        <f t="shared" si="13"/>
        <v>2025</v>
      </c>
      <c r="M271" s="3">
        <f t="shared" si="14"/>
        <v>1125</v>
      </c>
    </row>
    <row r="272" spans="1:13" x14ac:dyDescent="0.3">
      <c r="A272" s="5" t="s">
        <v>2423</v>
      </c>
      <c r="B272" s="5" t="s">
        <v>2231</v>
      </c>
      <c r="C272" s="5" t="s">
        <v>1596</v>
      </c>
      <c r="D272" s="5" t="s">
        <v>1597</v>
      </c>
      <c r="E272" s="5" t="s">
        <v>862</v>
      </c>
      <c r="F272" s="5" t="s">
        <v>861</v>
      </c>
      <c r="G272" s="5" t="s">
        <v>816</v>
      </c>
      <c r="H272" s="5">
        <v>19</v>
      </c>
      <c r="I272" s="6">
        <v>14000</v>
      </c>
      <c r="J272" s="6">
        <v>18500</v>
      </c>
      <c r="K272" s="6">
        <f t="shared" si="12"/>
        <v>351500</v>
      </c>
      <c r="L272" s="6">
        <f t="shared" si="13"/>
        <v>266000</v>
      </c>
      <c r="M272" s="6">
        <f t="shared" si="14"/>
        <v>85500</v>
      </c>
    </row>
    <row r="273" spans="1:13" x14ac:dyDescent="0.3">
      <c r="A273" s="2" t="s">
        <v>2424</v>
      </c>
      <c r="B273" s="2" t="s">
        <v>1697</v>
      </c>
      <c r="C273" s="2" t="s">
        <v>1582</v>
      </c>
      <c r="D273" s="2" t="s">
        <v>1583</v>
      </c>
      <c r="E273" s="2" t="s">
        <v>630</v>
      </c>
      <c r="F273" s="2" t="s">
        <v>629</v>
      </c>
      <c r="G273" s="2" t="s">
        <v>609</v>
      </c>
      <c r="H273" s="2">
        <v>12</v>
      </c>
      <c r="I273" s="3">
        <v>120</v>
      </c>
      <c r="J273" s="3">
        <v>175</v>
      </c>
      <c r="K273" s="3">
        <f t="shared" si="12"/>
        <v>2100</v>
      </c>
      <c r="L273" s="3">
        <f t="shared" si="13"/>
        <v>1440</v>
      </c>
      <c r="M273" s="3">
        <f t="shared" si="14"/>
        <v>660</v>
      </c>
    </row>
    <row r="274" spans="1:13" x14ac:dyDescent="0.3">
      <c r="A274" s="5" t="s">
        <v>2425</v>
      </c>
      <c r="B274" s="5" t="s">
        <v>2020</v>
      </c>
      <c r="C274" s="5" t="s">
        <v>1399</v>
      </c>
      <c r="D274" s="5" t="s">
        <v>1400</v>
      </c>
      <c r="E274" s="5" t="s">
        <v>411</v>
      </c>
      <c r="F274" s="5" t="s">
        <v>410</v>
      </c>
      <c r="G274" s="5" t="s">
        <v>330</v>
      </c>
      <c r="H274" s="5">
        <v>44</v>
      </c>
      <c r="I274" s="6">
        <v>3500</v>
      </c>
      <c r="J274" s="6">
        <v>5200</v>
      </c>
      <c r="K274" s="6">
        <f t="shared" si="12"/>
        <v>228800</v>
      </c>
      <c r="L274" s="6">
        <f t="shared" si="13"/>
        <v>154000</v>
      </c>
      <c r="M274" s="6">
        <f t="shared" si="14"/>
        <v>74800</v>
      </c>
    </row>
    <row r="275" spans="1:13" x14ac:dyDescent="0.3">
      <c r="A275" s="2" t="s">
        <v>2426</v>
      </c>
      <c r="B275" s="2" t="s">
        <v>1711</v>
      </c>
      <c r="C275" s="2" t="s">
        <v>1334</v>
      </c>
      <c r="D275" s="2" t="s">
        <v>1335</v>
      </c>
      <c r="E275" s="2" t="s">
        <v>242</v>
      </c>
      <c r="F275" s="2" t="s">
        <v>241</v>
      </c>
      <c r="G275" s="2" t="s">
        <v>169</v>
      </c>
      <c r="H275" s="2">
        <v>22</v>
      </c>
      <c r="I275" s="3">
        <v>70</v>
      </c>
      <c r="J275" s="3">
        <v>100</v>
      </c>
      <c r="K275" s="3">
        <f t="shared" si="12"/>
        <v>2200</v>
      </c>
      <c r="L275" s="3">
        <f t="shared" si="13"/>
        <v>1540</v>
      </c>
      <c r="M275" s="3">
        <f t="shared" si="14"/>
        <v>660</v>
      </c>
    </row>
    <row r="276" spans="1:13" x14ac:dyDescent="0.3">
      <c r="A276" s="5" t="s">
        <v>2427</v>
      </c>
      <c r="B276" s="5" t="s">
        <v>1741</v>
      </c>
      <c r="C276" s="5" t="s">
        <v>1364</v>
      </c>
      <c r="D276" s="5" t="s">
        <v>1365</v>
      </c>
      <c r="E276" s="5" t="s">
        <v>26</v>
      </c>
      <c r="F276" s="5" t="s">
        <v>25</v>
      </c>
      <c r="G276" s="5" t="s">
        <v>17</v>
      </c>
      <c r="H276" s="5">
        <v>32</v>
      </c>
      <c r="I276" s="6">
        <v>55000</v>
      </c>
      <c r="J276" s="6">
        <v>68000</v>
      </c>
      <c r="K276" s="6">
        <f t="shared" si="12"/>
        <v>2176000</v>
      </c>
      <c r="L276" s="6">
        <f t="shared" si="13"/>
        <v>1760000</v>
      </c>
      <c r="M276" s="6">
        <f t="shared" si="14"/>
        <v>416000</v>
      </c>
    </row>
    <row r="277" spans="1:13" x14ac:dyDescent="0.3">
      <c r="A277" s="2" t="s">
        <v>2428</v>
      </c>
      <c r="B277" s="2" t="s">
        <v>2331</v>
      </c>
      <c r="C277" s="2" t="s">
        <v>1478</v>
      </c>
      <c r="D277" s="2" t="s">
        <v>1479</v>
      </c>
      <c r="E277" s="2" t="s">
        <v>380</v>
      </c>
      <c r="F277" s="2" t="s">
        <v>379</v>
      </c>
      <c r="G277" s="2" t="s">
        <v>330</v>
      </c>
      <c r="H277" s="2">
        <v>14</v>
      </c>
      <c r="I277" s="3">
        <v>2200</v>
      </c>
      <c r="J277" s="3">
        <v>3400</v>
      </c>
      <c r="K277" s="3">
        <f t="shared" si="12"/>
        <v>47600</v>
      </c>
      <c r="L277" s="3">
        <f t="shared" si="13"/>
        <v>30800</v>
      </c>
      <c r="M277" s="3">
        <f t="shared" si="14"/>
        <v>16800</v>
      </c>
    </row>
    <row r="278" spans="1:13" x14ac:dyDescent="0.3">
      <c r="A278" s="5" t="s">
        <v>2429</v>
      </c>
      <c r="B278" s="5" t="s">
        <v>1852</v>
      </c>
      <c r="C278" s="5" t="s">
        <v>1630</v>
      </c>
      <c r="D278" s="5" t="s">
        <v>1631</v>
      </c>
      <c r="E278" s="5" t="s">
        <v>894</v>
      </c>
      <c r="F278" s="5" t="s">
        <v>893</v>
      </c>
      <c r="G278" s="5" t="s">
        <v>816</v>
      </c>
      <c r="H278" s="5">
        <v>36</v>
      </c>
      <c r="I278" s="6">
        <v>1800</v>
      </c>
      <c r="J278" s="6">
        <v>2800</v>
      </c>
      <c r="K278" s="6">
        <f t="shared" si="12"/>
        <v>100800</v>
      </c>
      <c r="L278" s="6">
        <f t="shared" si="13"/>
        <v>64800</v>
      </c>
      <c r="M278" s="6">
        <f t="shared" si="14"/>
        <v>36000</v>
      </c>
    </row>
    <row r="279" spans="1:13" x14ac:dyDescent="0.3">
      <c r="A279" s="2" t="s">
        <v>2430</v>
      </c>
      <c r="B279" s="2" t="s">
        <v>2431</v>
      </c>
      <c r="C279" s="2" t="s">
        <v>1541</v>
      </c>
      <c r="D279" s="2" t="s">
        <v>1542</v>
      </c>
      <c r="E279" s="2" t="s">
        <v>807</v>
      </c>
      <c r="F279" s="2" t="s">
        <v>806</v>
      </c>
      <c r="G279" s="2" t="s">
        <v>731</v>
      </c>
      <c r="H279" s="2">
        <v>20</v>
      </c>
      <c r="I279" s="3">
        <v>120</v>
      </c>
      <c r="J279" s="3">
        <v>185</v>
      </c>
      <c r="K279" s="3">
        <f t="shared" si="12"/>
        <v>3700</v>
      </c>
      <c r="L279" s="3">
        <f t="shared" si="13"/>
        <v>2400</v>
      </c>
      <c r="M279" s="3">
        <f t="shared" si="14"/>
        <v>1300</v>
      </c>
    </row>
    <row r="280" spans="1:13" x14ac:dyDescent="0.3">
      <c r="A280" s="5" t="s">
        <v>2432</v>
      </c>
      <c r="B280" s="5" t="s">
        <v>2433</v>
      </c>
      <c r="C280" s="5" t="s">
        <v>1394</v>
      </c>
      <c r="D280" s="5" t="s">
        <v>1395</v>
      </c>
      <c r="E280" s="5" t="s">
        <v>625</v>
      </c>
      <c r="F280" s="5" t="s">
        <v>624</v>
      </c>
      <c r="G280" s="5" t="s">
        <v>609</v>
      </c>
      <c r="H280" s="5">
        <v>19</v>
      </c>
      <c r="I280" s="6">
        <v>45</v>
      </c>
      <c r="J280" s="6">
        <v>70</v>
      </c>
      <c r="K280" s="6">
        <f t="shared" si="12"/>
        <v>1330</v>
      </c>
      <c r="L280" s="6">
        <f t="shared" si="13"/>
        <v>855</v>
      </c>
      <c r="M280" s="6">
        <f t="shared" si="14"/>
        <v>475</v>
      </c>
    </row>
    <row r="281" spans="1:13" x14ac:dyDescent="0.3">
      <c r="A281" s="2" t="s">
        <v>2434</v>
      </c>
      <c r="B281" s="2" t="s">
        <v>2435</v>
      </c>
      <c r="C281" s="2" t="s">
        <v>1550</v>
      </c>
      <c r="D281" s="2" t="s">
        <v>1551</v>
      </c>
      <c r="E281" s="2" t="s">
        <v>703</v>
      </c>
      <c r="F281" s="2" t="s">
        <v>702</v>
      </c>
      <c r="G281" s="2" t="s">
        <v>609</v>
      </c>
      <c r="H281" s="2">
        <v>41</v>
      </c>
      <c r="I281" s="3">
        <v>680</v>
      </c>
      <c r="J281" s="3">
        <v>980</v>
      </c>
      <c r="K281" s="3">
        <f t="shared" si="12"/>
        <v>40180</v>
      </c>
      <c r="L281" s="3">
        <f t="shared" si="13"/>
        <v>27880</v>
      </c>
      <c r="M281" s="3">
        <f t="shared" si="14"/>
        <v>12300</v>
      </c>
    </row>
    <row r="282" spans="1:13" x14ac:dyDescent="0.3">
      <c r="A282" s="5" t="s">
        <v>2436</v>
      </c>
      <c r="B282" s="5" t="s">
        <v>1848</v>
      </c>
      <c r="C282" s="5" t="s">
        <v>1349</v>
      </c>
      <c r="D282" s="5" t="s">
        <v>1350</v>
      </c>
      <c r="E282" s="5" t="s">
        <v>185</v>
      </c>
      <c r="F282" s="5" t="s">
        <v>184</v>
      </c>
      <c r="G282" s="5" t="s">
        <v>169</v>
      </c>
      <c r="H282" s="5">
        <v>7</v>
      </c>
      <c r="I282" s="6">
        <v>580</v>
      </c>
      <c r="J282" s="6">
        <v>750</v>
      </c>
      <c r="K282" s="6">
        <f t="shared" si="12"/>
        <v>5250</v>
      </c>
      <c r="L282" s="6">
        <f t="shared" si="13"/>
        <v>4060</v>
      </c>
      <c r="M282" s="6">
        <f t="shared" si="14"/>
        <v>1190</v>
      </c>
    </row>
    <row r="283" spans="1:13" x14ac:dyDescent="0.3">
      <c r="A283" s="2" t="s">
        <v>2437</v>
      </c>
      <c r="B283" s="2" t="s">
        <v>2438</v>
      </c>
      <c r="C283" s="2" t="s">
        <v>1488</v>
      </c>
      <c r="D283" s="2" t="s">
        <v>1489</v>
      </c>
      <c r="E283" s="2" t="s">
        <v>239</v>
      </c>
      <c r="F283" s="2" t="s">
        <v>238</v>
      </c>
      <c r="G283" s="2" t="s">
        <v>169</v>
      </c>
      <c r="H283" s="2">
        <v>6</v>
      </c>
      <c r="I283" s="3">
        <v>50</v>
      </c>
      <c r="J283" s="3">
        <v>72</v>
      </c>
      <c r="K283" s="3">
        <f t="shared" si="12"/>
        <v>432</v>
      </c>
      <c r="L283" s="3">
        <f t="shared" si="13"/>
        <v>300</v>
      </c>
      <c r="M283" s="3">
        <f t="shared" si="14"/>
        <v>132</v>
      </c>
    </row>
    <row r="284" spans="1:13" x14ac:dyDescent="0.3">
      <c r="A284" s="5" t="s">
        <v>2439</v>
      </c>
      <c r="B284" s="5" t="s">
        <v>2440</v>
      </c>
      <c r="C284" s="5" t="s">
        <v>1601</v>
      </c>
      <c r="D284" s="5" t="s">
        <v>1602</v>
      </c>
      <c r="E284" s="5" t="s">
        <v>783</v>
      </c>
      <c r="F284" s="5" t="s">
        <v>782</v>
      </c>
      <c r="G284" s="5" t="s">
        <v>731</v>
      </c>
      <c r="H284" s="5">
        <v>18</v>
      </c>
      <c r="I284" s="6">
        <v>50</v>
      </c>
      <c r="J284" s="6">
        <v>80</v>
      </c>
      <c r="K284" s="6">
        <f t="shared" si="12"/>
        <v>1440</v>
      </c>
      <c r="L284" s="6">
        <f t="shared" si="13"/>
        <v>900</v>
      </c>
      <c r="M284" s="6">
        <f t="shared" si="14"/>
        <v>540</v>
      </c>
    </row>
    <row r="285" spans="1:13" x14ac:dyDescent="0.3">
      <c r="A285" s="2" t="s">
        <v>2441</v>
      </c>
      <c r="B285" s="2" t="s">
        <v>2442</v>
      </c>
      <c r="C285" s="2" t="s">
        <v>1420</v>
      </c>
      <c r="D285" s="2" t="s">
        <v>1421</v>
      </c>
      <c r="E285" s="2" t="s">
        <v>165</v>
      </c>
      <c r="F285" s="2" t="s">
        <v>164</v>
      </c>
      <c r="G285" s="2" t="s">
        <v>17</v>
      </c>
      <c r="H285" s="2">
        <v>6</v>
      </c>
      <c r="I285" s="3">
        <v>3500</v>
      </c>
      <c r="J285" s="3">
        <v>5000</v>
      </c>
      <c r="K285" s="3">
        <f t="shared" si="12"/>
        <v>30000</v>
      </c>
      <c r="L285" s="3">
        <f t="shared" si="13"/>
        <v>21000</v>
      </c>
      <c r="M285" s="3">
        <f t="shared" si="14"/>
        <v>9000</v>
      </c>
    </row>
    <row r="286" spans="1:13" x14ac:dyDescent="0.3">
      <c r="A286" s="5" t="s">
        <v>2443</v>
      </c>
      <c r="B286" s="5" t="s">
        <v>2345</v>
      </c>
      <c r="C286" s="5" t="s">
        <v>1568</v>
      </c>
      <c r="D286" s="5" t="s">
        <v>1569</v>
      </c>
      <c r="E286" s="5" t="s">
        <v>53</v>
      </c>
      <c r="F286" s="5" t="s">
        <v>52</v>
      </c>
      <c r="G286" s="5" t="s">
        <v>17</v>
      </c>
      <c r="H286" s="5">
        <v>20</v>
      </c>
      <c r="I286" s="6">
        <v>52000</v>
      </c>
      <c r="J286" s="6">
        <v>65000</v>
      </c>
      <c r="K286" s="6">
        <f t="shared" si="12"/>
        <v>1300000</v>
      </c>
      <c r="L286" s="6">
        <f t="shared" si="13"/>
        <v>1040000</v>
      </c>
      <c r="M286" s="6">
        <f t="shared" si="14"/>
        <v>260000</v>
      </c>
    </row>
    <row r="287" spans="1:13" x14ac:dyDescent="0.3">
      <c r="A287" s="2" t="s">
        <v>2444</v>
      </c>
      <c r="B287" s="2" t="s">
        <v>1711</v>
      </c>
      <c r="C287" s="2" t="s">
        <v>1198</v>
      </c>
      <c r="D287" s="2" t="s">
        <v>1199</v>
      </c>
      <c r="E287" s="2" t="s">
        <v>185</v>
      </c>
      <c r="F287" s="2" t="s">
        <v>184</v>
      </c>
      <c r="G287" s="2" t="s">
        <v>169</v>
      </c>
      <c r="H287" s="2">
        <v>34</v>
      </c>
      <c r="I287" s="3">
        <v>580</v>
      </c>
      <c r="J287" s="3">
        <v>750</v>
      </c>
      <c r="K287" s="3">
        <f t="shared" si="12"/>
        <v>25500</v>
      </c>
      <c r="L287" s="3">
        <f t="shared" si="13"/>
        <v>19720</v>
      </c>
      <c r="M287" s="3">
        <f t="shared" si="14"/>
        <v>5780</v>
      </c>
    </row>
    <row r="288" spans="1:13" x14ac:dyDescent="0.3">
      <c r="A288" s="5" t="s">
        <v>2445</v>
      </c>
      <c r="B288" s="5" t="s">
        <v>1724</v>
      </c>
      <c r="C288" s="5" t="s">
        <v>1573</v>
      </c>
      <c r="D288" s="5" t="s">
        <v>1574</v>
      </c>
      <c r="E288" s="5" t="s">
        <v>377</v>
      </c>
      <c r="F288" s="5" t="s">
        <v>376</v>
      </c>
      <c r="G288" s="5" t="s">
        <v>330</v>
      </c>
      <c r="H288" s="5">
        <v>44</v>
      </c>
      <c r="I288" s="6">
        <v>4500</v>
      </c>
      <c r="J288" s="6">
        <v>6800</v>
      </c>
      <c r="K288" s="6">
        <f t="shared" si="12"/>
        <v>299200</v>
      </c>
      <c r="L288" s="6">
        <f t="shared" si="13"/>
        <v>198000</v>
      </c>
      <c r="M288" s="6">
        <f t="shared" si="14"/>
        <v>101200</v>
      </c>
    </row>
    <row r="289" spans="1:13" x14ac:dyDescent="0.3">
      <c r="A289" s="2" t="s">
        <v>2446</v>
      </c>
      <c r="B289" s="2" t="s">
        <v>1842</v>
      </c>
      <c r="C289" s="2" t="s">
        <v>1344</v>
      </c>
      <c r="D289" s="2" t="s">
        <v>1345</v>
      </c>
      <c r="E289" s="2" t="s">
        <v>690</v>
      </c>
      <c r="F289" s="2" t="s">
        <v>689</v>
      </c>
      <c r="G289" s="2" t="s">
        <v>609</v>
      </c>
      <c r="H289" s="2">
        <v>44</v>
      </c>
      <c r="I289" s="3">
        <v>750</v>
      </c>
      <c r="J289" s="3">
        <v>1050</v>
      </c>
      <c r="K289" s="3">
        <f t="shared" si="12"/>
        <v>46200</v>
      </c>
      <c r="L289" s="3">
        <f t="shared" si="13"/>
        <v>33000</v>
      </c>
      <c r="M289" s="3">
        <f t="shared" si="14"/>
        <v>13200</v>
      </c>
    </row>
    <row r="290" spans="1:13" x14ac:dyDescent="0.3">
      <c r="A290" s="5" t="s">
        <v>2447</v>
      </c>
      <c r="B290" s="5" t="s">
        <v>2170</v>
      </c>
      <c r="C290" s="5" t="s">
        <v>1449</v>
      </c>
      <c r="D290" s="5" t="s">
        <v>1450</v>
      </c>
      <c r="E290" s="5" t="s">
        <v>287</v>
      </c>
      <c r="F290" s="5" t="s">
        <v>286</v>
      </c>
      <c r="G290" s="5" t="s">
        <v>169</v>
      </c>
      <c r="H290" s="5">
        <v>44</v>
      </c>
      <c r="I290" s="6">
        <v>180</v>
      </c>
      <c r="J290" s="6">
        <v>240</v>
      </c>
      <c r="K290" s="6">
        <f t="shared" si="12"/>
        <v>10560</v>
      </c>
      <c r="L290" s="6">
        <f t="shared" si="13"/>
        <v>7920</v>
      </c>
      <c r="M290" s="6">
        <f t="shared" si="14"/>
        <v>2640</v>
      </c>
    </row>
    <row r="291" spans="1:13" x14ac:dyDescent="0.3">
      <c r="A291" s="2" t="s">
        <v>2448</v>
      </c>
      <c r="B291" s="2" t="s">
        <v>2449</v>
      </c>
      <c r="C291" s="2" t="s">
        <v>1573</v>
      </c>
      <c r="D291" s="2" t="s">
        <v>1574</v>
      </c>
      <c r="E291" s="2" t="s">
        <v>69</v>
      </c>
      <c r="F291" s="2" t="s">
        <v>68</v>
      </c>
      <c r="G291" s="2" t="s">
        <v>17</v>
      </c>
      <c r="H291" s="2">
        <v>47</v>
      </c>
      <c r="I291" s="3">
        <v>108000</v>
      </c>
      <c r="J291" s="3">
        <v>130000</v>
      </c>
      <c r="K291" s="3">
        <f t="shared" si="12"/>
        <v>6110000</v>
      </c>
      <c r="L291" s="3">
        <f t="shared" si="13"/>
        <v>5076000</v>
      </c>
      <c r="M291" s="3">
        <f t="shared" si="14"/>
        <v>1034000</v>
      </c>
    </row>
    <row r="292" spans="1:13" x14ac:dyDescent="0.3">
      <c r="A292" s="5" t="s">
        <v>2450</v>
      </c>
      <c r="B292" s="5" t="s">
        <v>2451</v>
      </c>
      <c r="C292" s="5" t="s">
        <v>1582</v>
      </c>
      <c r="D292" s="5" t="s">
        <v>1583</v>
      </c>
      <c r="E292" s="5" t="s">
        <v>161</v>
      </c>
      <c r="F292" s="5" t="s">
        <v>160</v>
      </c>
      <c r="G292" s="5" t="s">
        <v>17</v>
      </c>
      <c r="H292" s="5">
        <v>3</v>
      </c>
      <c r="I292" s="6">
        <v>22000</v>
      </c>
      <c r="J292" s="6">
        <v>28000</v>
      </c>
      <c r="K292" s="6">
        <f t="shared" si="12"/>
        <v>84000</v>
      </c>
      <c r="L292" s="6">
        <f t="shared" si="13"/>
        <v>66000</v>
      </c>
      <c r="M292" s="6">
        <f t="shared" si="14"/>
        <v>18000</v>
      </c>
    </row>
    <row r="293" spans="1:13" x14ac:dyDescent="0.3">
      <c r="A293" s="2" t="s">
        <v>2452</v>
      </c>
      <c r="B293" s="2" t="s">
        <v>1915</v>
      </c>
      <c r="C293" s="2" t="s">
        <v>1630</v>
      </c>
      <c r="D293" s="2" t="s">
        <v>1631</v>
      </c>
      <c r="E293" s="2" t="s">
        <v>165</v>
      </c>
      <c r="F293" s="2" t="s">
        <v>164</v>
      </c>
      <c r="G293" s="2" t="s">
        <v>17</v>
      </c>
      <c r="H293" s="2">
        <v>44</v>
      </c>
      <c r="I293" s="3">
        <v>3500</v>
      </c>
      <c r="J293" s="3">
        <v>5000</v>
      </c>
      <c r="K293" s="3">
        <f t="shared" si="12"/>
        <v>220000</v>
      </c>
      <c r="L293" s="3">
        <f t="shared" si="13"/>
        <v>154000</v>
      </c>
      <c r="M293" s="3">
        <f t="shared" si="14"/>
        <v>66000</v>
      </c>
    </row>
    <row r="294" spans="1:13" x14ac:dyDescent="0.3">
      <c r="A294" s="5" t="s">
        <v>2453</v>
      </c>
      <c r="B294" s="5" t="s">
        <v>2454</v>
      </c>
      <c r="C294" s="5" t="s">
        <v>1606</v>
      </c>
      <c r="D294" s="5" t="s">
        <v>1607</v>
      </c>
      <c r="E294" s="5" t="s">
        <v>772</v>
      </c>
      <c r="F294" s="5" t="s">
        <v>771</v>
      </c>
      <c r="G294" s="5" t="s">
        <v>731</v>
      </c>
      <c r="H294" s="5">
        <v>2</v>
      </c>
      <c r="I294" s="6">
        <v>350</v>
      </c>
      <c r="J294" s="6">
        <v>540</v>
      </c>
      <c r="K294" s="6">
        <f t="shared" si="12"/>
        <v>1080</v>
      </c>
      <c r="L294" s="6">
        <f t="shared" si="13"/>
        <v>700</v>
      </c>
      <c r="M294" s="6">
        <f t="shared" si="14"/>
        <v>380</v>
      </c>
    </row>
    <row r="295" spans="1:13" x14ac:dyDescent="0.3">
      <c r="A295" s="2" t="s">
        <v>2455</v>
      </c>
      <c r="B295" s="2" t="s">
        <v>2456</v>
      </c>
      <c r="C295" s="2" t="s">
        <v>1573</v>
      </c>
      <c r="D295" s="2" t="s">
        <v>1574</v>
      </c>
      <c r="E295" s="2" t="s">
        <v>314</v>
      </c>
      <c r="F295" s="2" t="s">
        <v>313</v>
      </c>
      <c r="G295" s="2" t="s">
        <v>169</v>
      </c>
      <c r="H295" s="2">
        <v>8</v>
      </c>
      <c r="I295" s="3">
        <v>350</v>
      </c>
      <c r="J295" s="3">
        <v>480</v>
      </c>
      <c r="K295" s="3">
        <f t="shared" si="12"/>
        <v>3840</v>
      </c>
      <c r="L295" s="3">
        <f t="shared" si="13"/>
        <v>2800</v>
      </c>
      <c r="M295" s="3">
        <f t="shared" si="14"/>
        <v>1040</v>
      </c>
    </row>
    <row r="296" spans="1:13" x14ac:dyDescent="0.3">
      <c r="A296" s="5" t="s">
        <v>2457</v>
      </c>
      <c r="B296" s="5" t="s">
        <v>2458</v>
      </c>
      <c r="C296" s="5" t="s">
        <v>1289</v>
      </c>
      <c r="D296" s="5" t="s">
        <v>1290</v>
      </c>
      <c r="E296" s="5" t="s">
        <v>84</v>
      </c>
      <c r="F296" s="5" t="s">
        <v>83</v>
      </c>
      <c r="G296" s="5" t="s">
        <v>17</v>
      </c>
      <c r="H296" s="5">
        <v>4</v>
      </c>
      <c r="I296" s="6">
        <v>175000</v>
      </c>
      <c r="J296" s="6">
        <v>210000</v>
      </c>
      <c r="K296" s="6">
        <f t="shared" si="12"/>
        <v>840000</v>
      </c>
      <c r="L296" s="6">
        <f t="shared" si="13"/>
        <v>700000</v>
      </c>
      <c r="M296" s="6">
        <f t="shared" si="14"/>
        <v>140000</v>
      </c>
    </row>
    <row r="297" spans="1:13" x14ac:dyDescent="0.3">
      <c r="A297" s="2" t="s">
        <v>2459</v>
      </c>
      <c r="B297" s="2" t="s">
        <v>2460</v>
      </c>
      <c r="C297" s="2" t="s">
        <v>1364</v>
      </c>
      <c r="D297" s="2" t="s">
        <v>1365</v>
      </c>
      <c r="E297" s="2" t="s">
        <v>319</v>
      </c>
      <c r="F297" s="2" t="s">
        <v>318</v>
      </c>
      <c r="G297" s="2" t="s">
        <v>169</v>
      </c>
      <c r="H297" s="2">
        <v>10</v>
      </c>
      <c r="I297" s="3">
        <v>680</v>
      </c>
      <c r="J297" s="3">
        <v>900</v>
      </c>
      <c r="K297" s="3">
        <f t="shared" si="12"/>
        <v>9000</v>
      </c>
      <c r="L297" s="3">
        <f t="shared" si="13"/>
        <v>6800</v>
      </c>
      <c r="M297" s="3">
        <f t="shared" si="14"/>
        <v>2200</v>
      </c>
    </row>
    <row r="298" spans="1:13" x14ac:dyDescent="0.3">
      <c r="A298" s="5" t="s">
        <v>2461</v>
      </c>
      <c r="B298" s="5" t="s">
        <v>1932</v>
      </c>
      <c r="C298" s="5" t="s">
        <v>1379</v>
      </c>
      <c r="D298" s="5" t="s">
        <v>1380</v>
      </c>
      <c r="E298" s="5" t="s">
        <v>147</v>
      </c>
      <c r="F298" s="5" t="s">
        <v>146</v>
      </c>
      <c r="G298" s="5" t="s">
        <v>17</v>
      </c>
      <c r="H298" s="5">
        <v>39</v>
      </c>
      <c r="I298" s="6">
        <v>72000</v>
      </c>
      <c r="J298" s="6">
        <v>90000</v>
      </c>
      <c r="K298" s="6">
        <f t="shared" si="12"/>
        <v>3510000</v>
      </c>
      <c r="L298" s="6">
        <f t="shared" si="13"/>
        <v>2808000</v>
      </c>
      <c r="M298" s="6">
        <f t="shared" si="14"/>
        <v>702000</v>
      </c>
    </row>
    <row r="299" spans="1:13" x14ac:dyDescent="0.3">
      <c r="A299" s="2" t="s">
        <v>2462</v>
      </c>
      <c r="B299" s="2" t="s">
        <v>1756</v>
      </c>
      <c r="C299" s="2" t="s">
        <v>1439</v>
      </c>
      <c r="D299" s="2" t="s">
        <v>1440</v>
      </c>
      <c r="E299" s="2" t="s">
        <v>593</v>
      </c>
      <c r="F299" s="2" t="s">
        <v>592</v>
      </c>
      <c r="G299" s="2" t="s">
        <v>469</v>
      </c>
      <c r="H299" s="2">
        <v>8</v>
      </c>
      <c r="I299" s="3">
        <v>450</v>
      </c>
      <c r="J299" s="3">
        <v>680</v>
      </c>
      <c r="K299" s="3">
        <f t="shared" si="12"/>
        <v>5440</v>
      </c>
      <c r="L299" s="3">
        <f t="shared" si="13"/>
        <v>3600</v>
      </c>
      <c r="M299" s="3">
        <f t="shared" si="14"/>
        <v>1840</v>
      </c>
    </row>
    <row r="300" spans="1:13" x14ac:dyDescent="0.3">
      <c r="A300" s="5" t="s">
        <v>2463</v>
      </c>
      <c r="B300" s="5" t="s">
        <v>1919</v>
      </c>
      <c r="C300" s="5" t="s">
        <v>1220</v>
      </c>
      <c r="D300" s="5" t="s">
        <v>1221</v>
      </c>
      <c r="E300" s="5" t="s">
        <v>132</v>
      </c>
      <c r="F300" s="5" t="s">
        <v>131</v>
      </c>
      <c r="G300" s="5" t="s">
        <v>17</v>
      </c>
      <c r="H300" s="5">
        <v>11</v>
      </c>
      <c r="I300" s="6">
        <v>95000</v>
      </c>
      <c r="J300" s="6">
        <v>118000</v>
      </c>
      <c r="K300" s="6">
        <f t="shared" si="12"/>
        <v>1298000</v>
      </c>
      <c r="L300" s="6">
        <f t="shared" si="13"/>
        <v>1045000</v>
      </c>
      <c r="M300" s="6">
        <f t="shared" si="14"/>
        <v>253000</v>
      </c>
    </row>
    <row r="301" spans="1:13" x14ac:dyDescent="0.3">
      <c r="A301" s="2" t="s">
        <v>2464</v>
      </c>
      <c r="B301" s="2" t="s">
        <v>1842</v>
      </c>
      <c r="C301" s="2" t="s">
        <v>1621</v>
      </c>
      <c r="D301" s="2" t="s">
        <v>1622</v>
      </c>
      <c r="E301" s="2" t="s">
        <v>451</v>
      </c>
      <c r="F301" s="2" t="s">
        <v>450</v>
      </c>
      <c r="G301" s="2" t="s">
        <v>330</v>
      </c>
      <c r="H301" s="2">
        <v>45</v>
      </c>
      <c r="I301" s="3">
        <v>200</v>
      </c>
      <c r="J301" s="3">
        <v>310</v>
      </c>
      <c r="K301" s="3">
        <f t="shared" si="12"/>
        <v>13950</v>
      </c>
      <c r="L301" s="3">
        <f t="shared" si="13"/>
        <v>9000</v>
      </c>
      <c r="M301" s="3">
        <f t="shared" si="14"/>
        <v>4950</v>
      </c>
    </row>
    <row r="302" spans="1:13" x14ac:dyDescent="0.3">
      <c r="A302" s="5" t="s">
        <v>2465</v>
      </c>
      <c r="B302" s="5" t="s">
        <v>2018</v>
      </c>
      <c r="C302" s="5" t="s">
        <v>1616</v>
      </c>
      <c r="D302" s="5" t="s">
        <v>1617</v>
      </c>
      <c r="E302" s="5" t="s">
        <v>50</v>
      </c>
      <c r="F302" s="5" t="s">
        <v>49</v>
      </c>
      <c r="G302" s="5" t="s">
        <v>17</v>
      </c>
      <c r="H302" s="5">
        <v>4</v>
      </c>
      <c r="I302" s="6">
        <v>82000</v>
      </c>
      <c r="J302" s="6">
        <v>99000</v>
      </c>
      <c r="K302" s="6">
        <f t="shared" si="12"/>
        <v>396000</v>
      </c>
      <c r="L302" s="6">
        <f t="shared" si="13"/>
        <v>328000</v>
      </c>
      <c r="M302" s="6">
        <f t="shared" si="14"/>
        <v>68000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zoomScaleNormal="100" workbookViewId="0">
      <pane ySplit="2" topLeftCell="A3" activePane="bottomLeft" state="frozen"/>
      <selection pane="bottomLeft" sqref="A1:L1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8" customWidth="1"/>
    <col min="4" max="4" width="22" customWidth="1"/>
    <col min="5" max="7" width="16" customWidth="1"/>
    <col min="8" max="8" width="26" customWidth="1"/>
    <col min="9" max="9" width="12" customWidth="1"/>
    <col min="10" max="11" width="18" customWidth="1"/>
    <col min="12" max="12" width="10" customWidth="1"/>
  </cols>
  <sheetData>
    <row r="1" spans="1:12" ht="30" customHeight="1" x14ac:dyDescent="0.3">
      <c r="A1" s="14" t="s">
        <v>2472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7.6" x14ac:dyDescent="0.3">
      <c r="A2" s="1" t="s">
        <v>2473</v>
      </c>
      <c r="B2" s="1" t="s">
        <v>2474</v>
      </c>
      <c r="C2" s="1" t="s">
        <v>2475</v>
      </c>
      <c r="D2" s="1" t="s">
        <v>2476</v>
      </c>
      <c r="E2" s="1" t="s">
        <v>2477</v>
      </c>
      <c r="F2" s="1" t="s">
        <v>2478</v>
      </c>
      <c r="G2" s="1" t="s">
        <v>902</v>
      </c>
      <c r="H2" s="1" t="s">
        <v>903</v>
      </c>
      <c r="I2" s="1" t="s">
        <v>904</v>
      </c>
      <c r="J2" s="1" t="s">
        <v>2479</v>
      </c>
      <c r="K2" s="1" t="s">
        <v>2480</v>
      </c>
      <c r="L2" s="1" t="s">
        <v>15</v>
      </c>
    </row>
    <row r="3" spans="1:12" x14ac:dyDescent="0.3">
      <c r="A3" s="2" t="s">
        <v>2481</v>
      </c>
      <c r="B3" s="2" t="s">
        <v>2482</v>
      </c>
      <c r="C3" s="2" t="s">
        <v>2483</v>
      </c>
      <c r="D3" s="2" t="s">
        <v>2484</v>
      </c>
      <c r="E3" s="2" t="s">
        <v>2485</v>
      </c>
      <c r="F3" s="3">
        <v>250000</v>
      </c>
      <c r="G3" s="2" t="s">
        <v>2486</v>
      </c>
      <c r="H3" s="2" t="s">
        <v>2487</v>
      </c>
      <c r="I3" s="2" t="s">
        <v>912</v>
      </c>
      <c r="J3" s="2" t="s">
        <v>2488</v>
      </c>
      <c r="K3" s="2" t="s">
        <v>2489</v>
      </c>
      <c r="L3" s="2" t="s">
        <v>23</v>
      </c>
    </row>
    <row r="4" spans="1:12" x14ac:dyDescent="0.3">
      <c r="A4" s="5" t="s">
        <v>2490</v>
      </c>
      <c r="B4" s="5" t="s">
        <v>2491</v>
      </c>
      <c r="C4" s="5" t="s">
        <v>2483</v>
      </c>
      <c r="D4" s="5" t="s">
        <v>2492</v>
      </c>
      <c r="E4" s="5" t="s">
        <v>2493</v>
      </c>
      <c r="F4" s="6">
        <v>180000</v>
      </c>
      <c r="G4" s="5" t="s">
        <v>2494</v>
      </c>
      <c r="H4" s="5" t="s">
        <v>2495</v>
      </c>
      <c r="I4" s="5" t="s">
        <v>912</v>
      </c>
      <c r="J4" s="5" t="s">
        <v>2496</v>
      </c>
      <c r="K4" s="5" t="s">
        <v>2497</v>
      </c>
      <c r="L4" s="5" t="s">
        <v>23</v>
      </c>
    </row>
    <row r="5" spans="1:12" x14ac:dyDescent="0.3">
      <c r="A5" s="2" t="s">
        <v>2498</v>
      </c>
      <c r="B5" s="2" t="s">
        <v>2499</v>
      </c>
      <c r="C5" s="2" t="s">
        <v>2500</v>
      </c>
      <c r="D5" s="2" t="s">
        <v>2501</v>
      </c>
      <c r="E5" s="2" t="s">
        <v>2502</v>
      </c>
      <c r="F5" s="3">
        <v>90000</v>
      </c>
      <c r="G5" s="2" t="s">
        <v>2503</v>
      </c>
      <c r="H5" s="2" t="s">
        <v>2504</v>
      </c>
      <c r="I5" s="2" t="s">
        <v>912</v>
      </c>
      <c r="J5" s="2" t="s">
        <v>2505</v>
      </c>
      <c r="K5" s="2" t="s">
        <v>2506</v>
      </c>
      <c r="L5" s="2" t="s">
        <v>23</v>
      </c>
    </row>
    <row r="6" spans="1:12" x14ac:dyDescent="0.3">
      <c r="A6" s="5" t="s">
        <v>2507</v>
      </c>
      <c r="B6" s="5" t="s">
        <v>2508</v>
      </c>
      <c r="C6" s="5" t="s">
        <v>2509</v>
      </c>
      <c r="D6" s="5" t="s">
        <v>2510</v>
      </c>
      <c r="E6" s="5" t="s">
        <v>2511</v>
      </c>
      <c r="F6" s="6">
        <v>80000</v>
      </c>
      <c r="G6" s="5" t="s">
        <v>2512</v>
      </c>
      <c r="H6" s="5" t="s">
        <v>2513</v>
      </c>
      <c r="I6" s="5" t="s">
        <v>912</v>
      </c>
      <c r="J6" s="5" t="s">
        <v>2514</v>
      </c>
      <c r="K6" s="5" t="s">
        <v>2515</v>
      </c>
      <c r="L6" s="5" t="s">
        <v>23</v>
      </c>
    </row>
    <row r="7" spans="1:12" x14ac:dyDescent="0.3">
      <c r="A7" s="2" t="s">
        <v>2516</v>
      </c>
      <c r="B7" s="2" t="s">
        <v>2517</v>
      </c>
      <c r="C7" s="2" t="s">
        <v>2518</v>
      </c>
      <c r="D7" s="2" t="s">
        <v>2519</v>
      </c>
      <c r="E7" s="2" t="s">
        <v>2520</v>
      </c>
      <c r="F7" s="3">
        <v>75000</v>
      </c>
      <c r="G7" s="2" t="s">
        <v>2521</v>
      </c>
      <c r="H7" s="2" t="s">
        <v>2522</v>
      </c>
      <c r="I7" s="2" t="s">
        <v>912</v>
      </c>
      <c r="J7" s="2" t="s">
        <v>2523</v>
      </c>
      <c r="K7" s="2" t="s">
        <v>2524</v>
      </c>
      <c r="L7" s="2" t="s">
        <v>23</v>
      </c>
    </row>
    <row r="8" spans="1:12" x14ac:dyDescent="0.3">
      <c r="A8" s="5" t="s">
        <v>2525</v>
      </c>
      <c r="B8" s="5" t="s">
        <v>2526</v>
      </c>
      <c r="C8" s="5" t="s">
        <v>2527</v>
      </c>
      <c r="D8" s="5" t="s">
        <v>2528</v>
      </c>
      <c r="E8" s="5" t="s">
        <v>2529</v>
      </c>
      <c r="F8" s="6">
        <v>65000</v>
      </c>
      <c r="G8" s="5" t="s">
        <v>2530</v>
      </c>
      <c r="H8" s="5" t="s">
        <v>2531</v>
      </c>
      <c r="I8" s="5" t="s">
        <v>912</v>
      </c>
      <c r="J8" s="5" t="s">
        <v>2532</v>
      </c>
      <c r="K8" s="5" t="s">
        <v>2533</v>
      </c>
      <c r="L8" s="5" t="s">
        <v>23</v>
      </c>
    </row>
    <row r="9" spans="1:12" x14ac:dyDescent="0.3">
      <c r="A9" s="2" t="s">
        <v>2534</v>
      </c>
      <c r="B9" s="2" t="s">
        <v>932</v>
      </c>
      <c r="C9" s="2" t="s">
        <v>2535</v>
      </c>
      <c r="D9" s="2" t="s">
        <v>2536</v>
      </c>
      <c r="E9" s="2" t="s">
        <v>2537</v>
      </c>
      <c r="F9" s="3">
        <v>70000</v>
      </c>
      <c r="G9" s="2" t="s">
        <v>2538</v>
      </c>
      <c r="H9" s="2" t="s">
        <v>2539</v>
      </c>
      <c r="I9" s="2" t="s">
        <v>912</v>
      </c>
      <c r="J9" s="2" t="s">
        <v>2540</v>
      </c>
      <c r="K9" s="2" t="s">
        <v>2541</v>
      </c>
      <c r="L9" s="2" t="s">
        <v>23</v>
      </c>
    </row>
    <row r="10" spans="1:12" x14ac:dyDescent="0.3">
      <c r="A10" s="5" t="s">
        <v>2542</v>
      </c>
      <c r="B10" s="5" t="s">
        <v>2543</v>
      </c>
      <c r="C10" s="5" t="s">
        <v>2509</v>
      </c>
      <c r="D10" s="5" t="s">
        <v>2544</v>
      </c>
      <c r="E10" s="5" t="s">
        <v>2545</v>
      </c>
      <c r="F10" s="6">
        <v>45000</v>
      </c>
      <c r="G10" s="5" t="s">
        <v>2546</v>
      </c>
      <c r="H10" s="5" t="s">
        <v>2547</v>
      </c>
      <c r="I10" s="5" t="s">
        <v>912</v>
      </c>
      <c r="J10" s="5" t="s">
        <v>2548</v>
      </c>
      <c r="K10" s="5" t="s">
        <v>2549</v>
      </c>
      <c r="L10" s="5" t="s">
        <v>23</v>
      </c>
    </row>
    <row r="11" spans="1:12" x14ac:dyDescent="0.3">
      <c r="A11" s="2" t="s">
        <v>2550</v>
      </c>
      <c r="B11" s="2" t="s">
        <v>957</v>
      </c>
      <c r="C11" s="2" t="s">
        <v>2509</v>
      </c>
      <c r="D11" s="2" t="s">
        <v>2544</v>
      </c>
      <c r="E11" s="2" t="s">
        <v>2551</v>
      </c>
      <c r="F11" s="3">
        <v>42000</v>
      </c>
      <c r="G11" s="2" t="s">
        <v>2552</v>
      </c>
      <c r="H11" s="2" t="s">
        <v>2553</v>
      </c>
      <c r="I11" s="2" t="s">
        <v>912</v>
      </c>
      <c r="J11" s="2" t="s">
        <v>2554</v>
      </c>
      <c r="K11" s="2" t="s">
        <v>2555</v>
      </c>
      <c r="L11" s="2" t="s">
        <v>23</v>
      </c>
    </row>
    <row r="12" spans="1:12" x14ac:dyDescent="0.3">
      <c r="A12" s="5" t="s">
        <v>2556</v>
      </c>
      <c r="B12" s="5" t="s">
        <v>970</v>
      </c>
      <c r="C12" s="5" t="s">
        <v>2509</v>
      </c>
      <c r="D12" s="5" t="s">
        <v>2544</v>
      </c>
      <c r="E12" s="5" t="s">
        <v>2557</v>
      </c>
      <c r="F12" s="6">
        <v>42000</v>
      </c>
      <c r="G12" s="5" t="s">
        <v>1228</v>
      </c>
      <c r="H12" s="5" t="s">
        <v>2558</v>
      </c>
      <c r="I12" s="5" t="s">
        <v>912</v>
      </c>
      <c r="J12" s="5" t="s">
        <v>2559</v>
      </c>
      <c r="K12" s="5" t="s">
        <v>2560</v>
      </c>
      <c r="L12" s="5" t="s">
        <v>23</v>
      </c>
    </row>
    <row r="13" spans="1:12" x14ac:dyDescent="0.3">
      <c r="A13" s="2" t="s">
        <v>2561</v>
      </c>
      <c r="B13" s="2" t="s">
        <v>2562</v>
      </c>
      <c r="C13" s="2" t="s">
        <v>2563</v>
      </c>
      <c r="D13" s="2" t="s">
        <v>2564</v>
      </c>
      <c r="E13" s="2" t="s">
        <v>2565</v>
      </c>
      <c r="F13" s="3">
        <v>65000</v>
      </c>
      <c r="G13" s="2" t="s">
        <v>2566</v>
      </c>
      <c r="H13" s="2" t="s">
        <v>2567</v>
      </c>
      <c r="I13" s="2" t="s">
        <v>912</v>
      </c>
      <c r="J13" s="2" t="s">
        <v>2568</v>
      </c>
      <c r="K13" s="2" t="s">
        <v>2569</v>
      </c>
      <c r="L13" s="2" t="s">
        <v>23</v>
      </c>
    </row>
    <row r="14" spans="1:12" x14ac:dyDescent="0.3">
      <c r="A14" s="5" t="s">
        <v>2570</v>
      </c>
      <c r="B14" s="5" t="s">
        <v>2571</v>
      </c>
      <c r="C14" s="5" t="s">
        <v>2563</v>
      </c>
      <c r="D14" s="5" t="s">
        <v>2572</v>
      </c>
      <c r="E14" s="5" t="s">
        <v>2573</v>
      </c>
      <c r="F14" s="6">
        <v>35000</v>
      </c>
      <c r="G14" s="5" t="s">
        <v>2574</v>
      </c>
      <c r="H14" s="5" t="s">
        <v>2575</v>
      </c>
      <c r="I14" s="5" t="s">
        <v>912</v>
      </c>
      <c r="J14" s="5" t="s">
        <v>2576</v>
      </c>
      <c r="K14" s="5" t="s">
        <v>2577</v>
      </c>
      <c r="L14" s="5" t="s">
        <v>23</v>
      </c>
    </row>
    <row r="15" spans="1:12" x14ac:dyDescent="0.3">
      <c r="A15" s="2" t="s">
        <v>2578</v>
      </c>
      <c r="B15" s="2" t="s">
        <v>2579</v>
      </c>
      <c r="C15" s="2" t="s">
        <v>2563</v>
      </c>
      <c r="D15" s="2" t="s">
        <v>2572</v>
      </c>
      <c r="E15" s="2" t="s">
        <v>2580</v>
      </c>
      <c r="F15" s="3">
        <v>33000</v>
      </c>
      <c r="G15" s="2" t="s">
        <v>2581</v>
      </c>
      <c r="H15" s="2" t="s">
        <v>2582</v>
      </c>
      <c r="I15" s="2" t="s">
        <v>912</v>
      </c>
      <c r="J15" s="2" t="s">
        <v>2583</v>
      </c>
      <c r="K15" s="2" t="s">
        <v>2584</v>
      </c>
      <c r="L15" s="2" t="s">
        <v>23</v>
      </c>
    </row>
    <row r="16" spans="1:12" x14ac:dyDescent="0.3">
      <c r="A16" s="5" t="s">
        <v>2585</v>
      </c>
      <c r="B16" s="5" t="s">
        <v>2586</v>
      </c>
      <c r="C16" s="5" t="s">
        <v>2587</v>
      </c>
      <c r="D16" s="5" t="s">
        <v>2588</v>
      </c>
      <c r="E16" s="5" t="s">
        <v>2589</v>
      </c>
      <c r="F16" s="6">
        <v>45000</v>
      </c>
      <c r="G16" s="5" t="s">
        <v>2590</v>
      </c>
      <c r="H16" s="5" t="s">
        <v>2591</v>
      </c>
      <c r="I16" s="5" t="s">
        <v>912</v>
      </c>
      <c r="J16" s="5" t="s">
        <v>2592</v>
      </c>
      <c r="K16" s="5" t="s">
        <v>2593</v>
      </c>
      <c r="L16" s="5" t="s">
        <v>23</v>
      </c>
    </row>
    <row r="17" spans="1:12" x14ac:dyDescent="0.3">
      <c r="A17" s="2" t="s">
        <v>2594</v>
      </c>
      <c r="B17" s="2" t="s">
        <v>2595</v>
      </c>
      <c r="C17" s="2" t="s">
        <v>2587</v>
      </c>
      <c r="D17" s="2" t="s">
        <v>2596</v>
      </c>
      <c r="E17" s="2" t="s">
        <v>2597</v>
      </c>
      <c r="F17" s="3">
        <v>28000</v>
      </c>
      <c r="G17" s="2" t="s">
        <v>2598</v>
      </c>
      <c r="H17" s="2" t="s">
        <v>2599</v>
      </c>
      <c r="I17" s="2" t="s">
        <v>912</v>
      </c>
      <c r="J17" s="2" t="s">
        <v>2600</v>
      </c>
      <c r="K17" s="2" t="s">
        <v>2601</v>
      </c>
      <c r="L17" s="2" t="s">
        <v>23</v>
      </c>
    </row>
    <row r="18" spans="1:12" x14ac:dyDescent="0.3">
      <c r="A18" s="5" t="s">
        <v>2602</v>
      </c>
      <c r="B18" s="5" t="s">
        <v>2603</v>
      </c>
      <c r="C18" s="5" t="s">
        <v>2587</v>
      </c>
      <c r="D18" s="5" t="s">
        <v>2596</v>
      </c>
      <c r="E18" s="5" t="s">
        <v>2604</v>
      </c>
      <c r="F18" s="6">
        <v>28000</v>
      </c>
      <c r="G18" s="5" t="s">
        <v>2605</v>
      </c>
      <c r="H18" s="5" t="s">
        <v>2606</v>
      </c>
      <c r="I18" s="5" t="s">
        <v>912</v>
      </c>
      <c r="J18" s="5" t="s">
        <v>2607</v>
      </c>
      <c r="K18" s="5" t="s">
        <v>2608</v>
      </c>
      <c r="L18" s="5" t="s">
        <v>23</v>
      </c>
    </row>
    <row r="19" spans="1:12" x14ac:dyDescent="0.3">
      <c r="A19" s="2" t="s">
        <v>2609</v>
      </c>
      <c r="B19" s="2" t="s">
        <v>2610</v>
      </c>
      <c r="C19" s="2" t="s">
        <v>2527</v>
      </c>
      <c r="D19" s="2" t="s">
        <v>2611</v>
      </c>
      <c r="E19" s="2" t="s">
        <v>2612</v>
      </c>
      <c r="F19" s="3">
        <v>40000</v>
      </c>
      <c r="G19" s="2" t="s">
        <v>2613</v>
      </c>
      <c r="H19" s="2" t="s">
        <v>2614</v>
      </c>
      <c r="I19" s="2" t="s">
        <v>912</v>
      </c>
      <c r="J19" s="2" t="s">
        <v>2615</v>
      </c>
      <c r="K19" s="2" t="s">
        <v>2616</v>
      </c>
      <c r="L19" s="2" t="s">
        <v>23</v>
      </c>
    </row>
    <row r="20" spans="1:12" x14ac:dyDescent="0.3">
      <c r="A20" s="5" t="s">
        <v>2617</v>
      </c>
      <c r="B20" s="5" t="s">
        <v>2618</v>
      </c>
      <c r="C20" s="5" t="s">
        <v>2518</v>
      </c>
      <c r="D20" s="5" t="s">
        <v>2619</v>
      </c>
      <c r="E20" s="5" t="s">
        <v>2620</v>
      </c>
      <c r="F20" s="6">
        <v>38000</v>
      </c>
      <c r="G20" s="5" t="s">
        <v>2621</v>
      </c>
      <c r="H20" s="5" t="s">
        <v>2622</v>
      </c>
      <c r="I20" s="5" t="s">
        <v>912</v>
      </c>
      <c r="J20" s="5" t="s">
        <v>2623</v>
      </c>
      <c r="K20" s="5" t="s">
        <v>2624</v>
      </c>
      <c r="L20" s="5" t="s">
        <v>23</v>
      </c>
    </row>
    <row r="21" spans="1:12" x14ac:dyDescent="0.3">
      <c r="A21" s="2" t="s">
        <v>2625</v>
      </c>
      <c r="B21" s="2" t="s">
        <v>2626</v>
      </c>
      <c r="C21" s="2" t="s">
        <v>2500</v>
      </c>
      <c r="D21" s="2" t="s">
        <v>2627</v>
      </c>
      <c r="E21" s="2" t="s">
        <v>2628</v>
      </c>
      <c r="F21" s="3">
        <v>38000</v>
      </c>
      <c r="G21" s="2" t="s">
        <v>2629</v>
      </c>
      <c r="H21" s="2" t="s">
        <v>2630</v>
      </c>
      <c r="I21" s="2" t="s">
        <v>912</v>
      </c>
      <c r="J21" s="2" t="s">
        <v>2631</v>
      </c>
      <c r="K21" s="2" t="s">
        <v>2632</v>
      </c>
      <c r="L21" s="2" t="s">
        <v>23</v>
      </c>
    </row>
    <row r="22" spans="1:12" x14ac:dyDescent="0.3">
      <c r="A22" s="5" t="s">
        <v>2633</v>
      </c>
      <c r="B22" s="5" t="s">
        <v>2634</v>
      </c>
      <c r="C22" s="5" t="s">
        <v>2535</v>
      </c>
      <c r="D22" s="5" t="s">
        <v>2635</v>
      </c>
      <c r="E22" s="5" t="s">
        <v>2636</v>
      </c>
      <c r="F22" s="6">
        <v>40000</v>
      </c>
      <c r="G22" s="5" t="s">
        <v>2637</v>
      </c>
      <c r="H22" s="5" t="s">
        <v>2638</v>
      </c>
      <c r="I22" s="5" t="s">
        <v>912</v>
      </c>
      <c r="J22" s="5" t="s">
        <v>2639</v>
      </c>
      <c r="K22" s="5" t="s">
        <v>2640</v>
      </c>
      <c r="L22" s="5" t="s">
        <v>23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8"/>
  <sheetViews>
    <sheetView zoomScaleNormal="100" workbookViewId="0">
      <selection sqref="A1:F1"/>
    </sheetView>
  </sheetViews>
  <sheetFormatPr defaultColWidth="8.6640625" defaultRowHeight="14.4" x14ac:dyDescent="0.3"/>
  <cols>
    <col min="1" max="1" width="35" customWidth="1"/>
    <col min="2" max="2" width="22" customWidth="1"/>
    <col min="3" max="3" width="5" customWidth="1"/>
    <col min="4" max="4" width="35" customWidth="1"/>
    <col min="5" max="5" width="22" customWidth="1"/>
  </cols>
  <sheetData>
    <row r="1" spans="1:6" ht="34.5" customHeight="1" x14ac:dyDescent="0.3">
      <c r="A1" s="15" t="s">
        <v>2641</v>
      </c>
      <c r="B1" s="15"/>
      <c r="C1" s="15"/>
      <c r="D1" s="15"/>
      <c r="E1" s="15"/>
      <c r="F1" s="15"/>
    </row>
    <row r="3" spans="1:6" x14ac:dyDescent="0.3">
      <c r="A3" s="9"/>
      <c r="B3" s="9"/>
      <c r="C3" s="9"/>
      <c r="D3" s="9"/>
      <c r="E3" s="9"/>
      <c r="F3" s="9"/>
    </row>
    <row r="4" spans="1:6" x14ac:dyDescent="0.3">
      <c r="A4" s="10" t="s">
        <v>2642</v>
      </c>
      <c r="B4" s="11"/>
      <c r="C4" s="10"/>
      <c r="D4" s="10"/>
      <c r="E4" s="11"/>
      <c r="F4" s="10"/>
    </row>
    <row r="5" spans="1:6" x14ac:dyDescent="0.3">
      <c r="A5" s="10" t="s">
        <v>2643</v>
      </c>
      <c r="B5" s="11">
        <f>COUNTA(Products!A3:A1000)-1</f>
        <v>213</v>
      </c>
      <c r="C5" s="10"/>
      <c r="D5" s="10" t="s">
        <v>2644</v>
      </c>
      <c r="E5" s="11">
        <f>COUNTA(Suppliers!A3:A100)-1</f>
        <v>59</v>
      </c>
      <c r="F5" s="10"/>
    </row>
    <row r="6" spans="1:6" x14ac:dyDescent="0.3">
      <c r="A6" s="10" t="s">
        <v>2645</v>
      </c>
      <c r="B6" s="11">
        <f>COUNTA(Customers!A3:A200)-1</f>
        <v>99</v>
      </c>
      <c r="C6" s="10"/>
      <c r="D6" s="10" t="s">
        <v>2646</v>
      </c>
      <c r="E6" s="11">
        <f>COUNTA(Employees!A3:A50)-1</f>
        <v>19</v>
      </c>
      <c r="F6" s="10"/>
    </row>
    <row r="7" spans="1:6" x14ac:dyDescent="0.3">
      <c r="A7" s="12"/>
      <c r="B7" s="12"/>
      <c r="C7" s="12"/>
      <c r="D7" s="12"/>
      <c r="E7" s="12"/>
      <c r="F7" s="12"/>
    </row>
    <row r="8" spans="1:6" x14ac:dyDescent="0.3">
      <c r="A8" s="10" t="s">
        <v>2647</v>
      </c>
      <c r="B8" s="11"/>
      <c r="C8" s="10"/>
      <c r="D8" s="10"/>
      <c r="E8" s="11"/>
      <c r="F8" s="10"/>
    </row>
    <row r="9" spans="1:6" x14ac:dyDescent="0.3">
      <c r="A9" s="10" t="s">
        <v>2648</v>
      </c>
      <c r="B9" s="11">
        <f>COUNTIF(Inventory!K3:K1000,"In Stock")</f>
        <v>202</v>
      </c>
      <c r="C9" s="10"/>
      <c r="D9" s="10" t="s">
        <v>2649</v>
      </c>
      <c r="E9" s="11">
        <f>COUNTIF(Inventory!K3:K1000,"Low Stock")</f>
        <v>12</v>
      </c>
      <c r="F9" s="10"/>
    </row>
    <row r="10" spans="1:6" x14ac:dyDescent="0.3">
      <c r="A10" s="10" t="s">
        <v>2650</v>
      </c>
      <c r="B10" s="11">
        <f>COUNTIF(Inventory!K3:K1000,"Out of Stock")</f>
        <v>0</v>
      </c>
      <c r="C10" s="10"/>
      <c r="D10" s="10" t="s">
        <v>2651</v>
      </c>
      <c r="E10" s="11">
        <f>SUM(Inventory!J3:J1000)</f>
        <v>245258985</v>
      </c>
      <c r="F10" s="10"/>
    </row>
    <row r="11" spans="1:6" x14ac:dyDescent="0.3">
      <c r="A11" s="12"/>
      <c r="B11" s="12"/>
      <c r="C11" s="12"/>
      <c r="D11" s="12"/>
      <c r="E11" s="12"/>
      <c r="F11" s="12"/>
    </row>
    <row r="12" spans="1:6" x14ac:dyDescent="0.3">
      <c r="A12" s="10" t="s">
        <v>2652</v>
      </c>
      <c r="B12" s="11"/>
      <c r="C12" s="10"/>
      <c r="D12" s="10"/>
      <c r="E12" s="11"/>
      <c r="F12" s="10"/>
    </row>
    <row r="13" spans="1:6" x14ac:dyDescent="0.3">
      <c r="A13" s="10" t="s">
        <v>2653</v>
      </c>
      <c r="B13" s="11">
        <f>COUNTA('Sales Orders'!A3:A500)-1</f>
        <v>299</v>
      </c>
      <c r="C13" s="10"/>
      <c r="D13" s="10" t="s">
        <v>2039</v>
      </c>
      <c r="E13" s="11">
        <f>SUM('Sales Orders'!K3:K500)</f>
        <v>150549505</v>
      </c>
      <c r="F13" s="10"/>
    </row>
    <row r="14" spans="1:6" x14ac:dyDescent="0.3">
      <c r="A14" s="10" t="s">
        <v>2654</v>
      </c>
      <c r="B14" s="11">
        <f>SUM('Sales Orders'!L3:L500)</f>
        <v>122431193</v>
      </c>
      <c r="C14" s="10"/>
      <c r="D14" s="10" t="s">
        <v>2655</v>
      </c>
      <c r="E14" s="11">
        <f>SUM('Sales Orders'!M3:M500)</f>
        <v>28118312</v>
      </c>
      <c r="F14" s="10"/>
    </row>
    <row r="15" spans="1:6" x14ac:dyDescent="0.3">
      <c r="A15" s="12"/>
      <c r="B15" s="12"/>
      <c r="C15" s="12"/>
      <c r="D15" s="12"/>
      <c r="E15" s="12"/>
      <c r="F15" s="12"/>
    </row>
    <row r="16" spans="1:6" x14ac:dyDescent="0.3">
      <c r="A16" s="10" t="s">
        <v>2656</v>
      </c>
      <c r="B16" s="11"/>
      <c r="C16" s="10"/>
      <c r="D16" s="10"/>
      <c r="E16" s="11"/>
      <c r="F16" s="10"/>
    </row>
    <row r="17" spans="1:6" x14ac:dyDescent="0.3">
      <c r="A17" s="10" t="s">
        <v>2657</v>
      </c>
      <c r="B17" s="11">
        <f>COUNTA('Purchase Orders'!A3:A500)-1</f>
        <v>199</v>
      </c>
      <c r="C17" s="10"/>
      <c r="D17" s="10" t="s">
        <v>2658</v>
      </c>
      <c r="E17" s="11">
        <f>SUM('Purchase Orders'!J3:J500)</f>
        <v>190014470</v>
      </c>
      <c r="F17" s="10"/>
    </row>
    <row r="18" spans="1:6" x14ac:dyDescent="0.3">
      <c r="A18" s="10" t="s">
        <v>2659</v>
      </c>
      <c r="B18" s="11">
        <f>COUNTIF('Purchase Orders'!K3:K500,"Received")</f>
        <v>43</v>
      </c>
      <c r="C18" s="10"/>
      <c r="D18" s="10" t="s">
        <v>2660</v>
      </c>
      <c r="E18" s="11">
        <f>COUNTIF('Purchase Orders'!K3:K500,"Pending")</f>
        <v>49</v>
      </c>
      <c r="F18" s="10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Sheet1</vt:lpstr>
      <vt:lpstr>Purchase Orders</vt:lpstr>
      <vt:lpstr>Sales History</vt:lpstr>
      <vt:lpstr>Inventory</vt:lpstr>
      <vt:lpstr>Suppliers</vt:lpstr>
      <vt:lpstr>Customers</vt:lpstr>
      <vt:lpstr>Sales Orders</vt:lpstr>
      <vt:lpstr>Employees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 ASHAR SHAFIQUE</cp:lastModifiedBy>
  <cp:revision>0</cp:revision>
  <dcterms:created xsi:type="dcterms:W3CDTF">2026-05-02T20:43:37Z</dcterms:created>
  <dcterms:modified xsi:type="dcterms:W3CDTF">2026-06-09T15:19:57Z</dcterms:modified>
  <dc:language>en-US</dc:language>
</cp:coreProperties>
</file>