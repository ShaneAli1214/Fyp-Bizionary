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  <sheet name="Suppliers" sheetId="2" state="visible" r:id="rId4"/>
    <sheet name="Customers" sheetId="3" state="visible" r:id="rId5"/>
    <sheet name="Purchase Orders" sheetId="4" state="visible" r:id="rId6"/>
    <sheet name="Sales Orders" sheetId="5" state="visible" r:id="rId7"/>
    <sheet name="Inventory" sheetId="6" state="visible" r:id="rId8"/>
    <sheet name="Employees" sheetId="7" state="visible" r:id="rId9"/>
    <sheet name="Summary Dashboar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<sst xmlns="http://schemas.openxmlformats.org/spreadsheetml/2006/main" count="8936" uniqueCount="2661">
  <si>
    <t xml:space="preserve">AL-NOOR TRADING COMPANY — PRODUCT MASTER CATALOG (Lahore, Pakistan)</t>
  </si>
  <si>
    <t xml:space="preserve">Product ID</t>
  </si>
  <si>
    <t xml:space="preserve">Category</t>
  </si>
  <si>
    <t xml:space="preserve">Sub-Category</t>
  </si>
  <si>
    <t xml:space="preserve">Product Name</t>
  </si>
  <si>
    <t xml:space="preserve">SKU</t>
  </si>
  <si>
    <t xml:space="preserve">Unit</t>
  </si>
  <si>
    <t xml:space="preserve">Reorder Level</t>
  </si>
  <si>
    <t xml:space="preserve">Reorder Qty</t>
  </si>
  <si>
    <t xml:space="preserve">Cost Price (PKR)</t>
  </si>
  <si>
    <t xml:space="preserve">Sale Price (PKR)</t>
  </si>
  <si>
    <t xml:space="preserve">Gross Margin (PKR)</t>
  </si>
  <si>
    <t xml:space="preserve">Margin %</t>
  </si>
  <si>
    <t xml:space="preserve">Supplier</t>
  </si>
  <si>
    <t xml:space="preserve">Brand</t>
  </si>
  <si>
    <t xml:space="preserve">Status</t>
  </si>
  <si>
    <t xml:space="preserve">PK-1001</t>
  </si>
  <si>
    <t xml:space="preserve">Electronics &amp; Appliances</t>
  </si>
  <si>
    <t xml:space="preserve">Mobile Phones</t>
  </si>
  <si>
    <t xml:space="preserve">Samsung Galaxy A54</t>
  </si>
  <si>
    <t xml:space="preserve">SMA54</t>
  </si>
  <si>
    <t xml:space="preserve">TechHub Pvt Ltd</t>
  </si>
  <si>
    <t xml:space="preserve">Samsung</t>
  </si>
  <si>
    <t xml:space="preserve">Active</t>
  </si>
  <si>
    <t xml:space="preserve">PK-1002</t>
  </si>
  <si>
    <t xml:space="preserve">Samsung Galaxy A34</t>
  </si>
  <si>
    <t xml:space="preserve">SMA34</t>
  </si>
  <si>
    <t xml:space="preserve">PK-1003</t>
  </si>
  <si>
    <t xml:space="preserve">iPhone 14</t>
  </si>
  <si>
    <t xml:space="preserve">IPH14</t>
  </si>
  <si>
    <t xml:space="preserve">iWorld Pakistan</t>
  </si>
  <si>
    <t xml:space="preserve">Apple</t>
  </si>
  <si>
    <t xml:space="preserve">PK-1004</t>
  </si>
  <si>
    <t xml:space="preserve">iPhone 13</t>
  </si>
  <si>
    <t xml:space="preserve">IPH13</t>
  </si>
  <si>
    <t xml:space="preserve">PK-1005</t>
  </si>
  <si>
    <t xml:space="preserve">Vivo Y36</t>
  </si>
  <si>
    <t xml:space="preserve">VIVY36</t>
  </si>
  <si>
    <t xml:space="preserve">Vivo Pakistan</t>
  </si>
  <si>
    <t xml:space="preserve">Vivo</t>
  </si>
  <si>
    <t xml:space="preserve">PK-1006</t>
  </si>
  <si>
    <t xml:space="preserve">Vivo V27</t>
  </si>
  <si>
    <t xml:space="preserve">VIVV27</t>
  </si>
  <si>
    <t xml:space="preserve">PK-1007</t>
  </si>
  <si>
    <t xml:space="preserve">Oppo A78</t>
  </si>
  <si>
    <t xml:space="preserve">OPPA78</t>
  </si>
  <si>
    <t xml:space="preserve">Oppo Distributors</t>
  </si>
  <si>
    <t xml:space="preserve">Oppo</t>
  </si>
  <si>
    <t xml:space="preserve">PK-1008</t>
  </si>
  <si>
    <t xml:space="preserve">Oppo Reno10</t>
  </si>
  <si>
    <t xml:space="preserve">OPPR10</t>
  </si>
  <si>
    <t xml:space="preserve">PK-1009</t>
  </si>
  <si>
    <t xml:space="preserve">Realme 11 Pro</t>
  </si>
  <si>
    <t xml:space="preserve">RLM11P</t>
  </si>
  <si>
    <t xml:space="preserve">Realme Pakistan</t>
  </si>
  <si>
    <t xml:space="preserve">Realme</t>
  </si>
  <si>
    <t xml:space="preserve">PK-1010</t>
  </si>
  <si>
    <t xml:space="preserve">Xiaomi Redmi 12</t>
  </si>
  <si>
    <t xml:space="preserve">XMR12</t>
  </si>
  <si>
    <t xml:space="preserve">Xiaomi Pakistan</t>
  </si>
  <si>
    <t xml:space="preserve">Xiaomi</t>
  </si>
  <si>
    <t xml:space="preserve">PK-1011</t>
  </si>
  <si>
    <t xml:space="preserve">Laptops &amp; Computers</t>
  </si>
  <si>
    <t xml:space="preserve">Dell Inspiron 15</t>
  </si>
  <si>
    <t xml:space="preserve">DELI15</t>
  </si>
  <si>
    <t xml:space="preserve">Dell Pakistan</t>
  </si>
  <si>
    <t xml:space="preserve">Dell</t>
  </si>
  <si>
    <t xml:space="preserve">PK-1012</t>
  </si>
  <si>
    <t xml:space="preserve">HP Pavilion 14</t>
  </si>
  <si>
    <t xml:space="preserve">HPP14</t>
  </si>
  <si>
    <t xml:space="preserve">HP Distributors</t>
  </si>
  <si>
    <t xml:space="preserve">HP</t>
  </si>
  <si>
    <t xml:space="preserve">PK-1013</t>
  </si>
  <si>
    <t xml:space="preserve">Lenovo IdeaPad 3</t>
  </si>
  <si>
    <t xml:space="preserve">LENIP3</t>
  </si>
  <si>
    <t xml:space="preserve">Lenovo Pakistan</t>
  </si>
  <si>
    <t xml:space="preserve">Lenovo</t>
  </si>
  <si>
    <t xml:space="preserve">PK-1014</t>
  </si>
  <si>
    <t xml:space="preserve">Asus VivoBook 15</t>
  </si>
  <si>
    <t xml:space="preserve">ASVB15</t>
  </si>
  <si>
    <t xml:space="preserve">Asus Pakistan</t>
  </si>
  <si>
    <t xml:space="preserve">Asus</t>
  </si>
  <si>
    <t xml:space="preserve">PK-1015</t>
  </si>
  <si>
    <t xml:space="preserve">Dell Latitude 5520</t>
  </si>
  <si>
    <t xml:space="preserve">DELL5520</t>
  </si>
  <si>
    <t xml:space="preserve">PK-1016</t>
  </si>
  <si>
    <t xml:space="preserve">HP ProBook 450</t>
  </si>
  <si>
    <t xml:space="preserve">HPPB450</t>
  </si>
  <si>
    <t xml:space="preserve">PK-1017</t>
  </si>
  <si>
    <t xml:space="preserve">Apple MacBook Air M2</t>
  </si>
  <si>
    <t xml:space="preserve">MBAIM2</t>
  </si>
  <si>
    <t xml:space="preserve">PK-1018</t>
  </si>
  <si>
    <t xml:space="preserve">Acer Aspire 7</t>
  </si>
  <si>
    <t xml:space="preserve">ACRA7</t>
  </si>
  <si>
    <t xml:space="preserve">Acer Pakistan</t>
  </si>
  <si>
    <t xml:space="preserve">Acer</t>
  </si>
  <si>
    <t xml:space="preserve">PK-1019</t>
  </si>
  <si>
    <t xml:space="preserve">Televisions</t>
  </si>
  <si>
    <t xml:space="preserve">Samsung 43" 4K Smart TV</t>
  </si>
  <si>
    <t xml:space="preserve">SMTV43</t>
  </si>
  <si>
    <t xml:space="preserve">PK-1020</t>
  </si>
  <si>
    <t xml:space="preserve">Samsung 55" QLED</t>
  </si>
  <si>
    <t xml:space="preserve">SMTV55</t>
  </si>
  <si>
    <t xml:space="preserve">PK-1021</t>
  </si>
  <si>
    <t xml:space="preserve">TCL 40" Smart TV</t>
  </si>
  <si>
    <t xml:space="preserve">TCL40</t>
  </si>
  <si>
    <t xml:space="preserve">TCL Pakistan</t>
  </si>
  <si>
    <t xml:space="preserve">TCL</t>
  </si>
  <si>
    <t xml:space="preserve">PK-1022</t>
  </si>
  <si>
    <t xml:space="preserve">TCL 50" 4K TV</t>
  </si>
  <si>
    <t xml:space="preserve">TCL50</t>
  </si>
  <si>
    <t xml:space="preserve">PK-1023</t>
  </si>
  <si>
    <t xml:space="preserve">Haier 32" LED</t>
  </si>
  <si>
    <t xml:space="preserve">HAI32</t>
  </si>
  <si>
    <t xml:space="preserve">Haier Pakistan</t>
  </si>
  <si>
    <t xml:space="preserve">Haier</t>
  </si>
  <si>
    <t xml:space="preserve">PK-1024</t>
  </si>
  <si>
    <t xml:space="preserve">Haier 43" Smart TV</t>
  </si>
  <si>
    <t xml:space="preserve">HAI43</t>
  </si>
  <si>
    <t xml:space="preserve">PK-1025</t>
  </si>
  <si>
    <t xml:space="preserve">LG 55" OLED</t>
  </si>
  <si>
    <t xml:space="preserve">LGOLED55</t>
  </si>
  <si>
    <t xml:space="preserve">LG Pakistan</t>
  </si>
  <si>
    <t xml:space="preserve">LG</t>
  </si>
  <si>
    <t xml:space="preserve">PK-1026</t>
  </si>
  <si>
    <t xml:space="preserve">Sony Bravia 50"</t>
  </si>
  <si>
    <t xml:space="preserve">SONY50</t>
  </si>
  <si>
    <t xml:space="preserve">Sony Pakistan</t>
  </si>
  <si>
    <t xml:space="preserve">Sony</t>
  </si>
  <si>
    <t xml:space="preserve">PK-1027</t>
  </si>
  <si>
    <t xml:space="preserve">Home Appliances</t>
  </si>
  <si>
    <t xml:space="preserve">Dawlance Inverter AC 1.5T</t>
  </si>
  <si>
    <t xml:space="preserve">DWAC15</t>
  </si>
  <si>
    <t xml:space="preserve">Dawlance</t>
  </si>
  <si>
    <t xml:space="preserve">PK-1028</t>
  </si>
  <si>
    <t xml:space="preserve">Haier Inverter AC 1T</t>
  </si>
  <si>
    <t xml:space="preserve">HAAC1</t>
  </si>
  <si>
    <t xml:space="preserve">PK-1029</t>
  </si>
  <si>
    <t xml:space="preserve">Orient AC 1.5T</t>
  </si>
  <si>
    <t xml:space="preserve">ORAC15</t>
  </si>
  <si>
    <t xml:space="preserve">Orient Electronics</t>
  </si>
  <si>
    <t xml:space="preserve">Orient</t>
  </si>
  <si>
    <t xml:space="preserve">PK-1030</t>
  </si>
  <si>
    <t xml:space="preserve">Dawlance Refrigerator 12CF</t>
  </si>
  <si>
    <t xml:space="preserve">DWREF12</t>
  </si>
  <si>
    <t xml:space="preserve">PK-1031</t>
  </si>
  <si>
    <t xml:space="preserve">Haier Fridge 14CF</t>
  </si>
  <si>
    <t xml:space="preserve">HAFR14</t>
  </si>
  <si>
    <t xml:space="preserve">PK-1032</t>
  </si>
  <si>
    <t xml:space="preserve">PEL Refrigerator 16CF</t>
  </si>
  <si>
    <t xml:space="preserve">PELRF16</t>
  </si>
  <si>
    <t xml:space="preserve">PEL Pakistan</t>
  </si>
  <si>
    <t xml:space="preserve">PEL</t>
  </si>
  <si>
    <t xml:space="preserve">PK-1033</t>
  </si>
  <si>
    <t xml:space="preserve">Dawlance Washing Machine</t>
  </si>
  <si>
    <t xml:space="preserve">DWWM</t>
  </si>
  <si>
    <t xml:space="preserve">PK-1034</t>
  </si>
  <si>
    <t xml:space="preserve">Haier Front Load 8kg</t>
  </si>
  <si>
    <t xml:space="preserve">HAFL8</t>
  </si>
  <si>
    <t xml:space="preserve">PK-1035</t>
  </si>
  <si>
    <t xml:space="preserve">National Microwave 30L</t>
  </si>
  <si>
    <t xml:space="preserve">NATMW</t>
  </si>
  <si>
    <t xml:space="preserve">National</t>
  </si>
  <si>
    <t xml:space="preserve">PK-1036</t>
  </si>
  <si>
    <t xml:space="preserve">Kenwood Blender</t>
  </si>
  <si>
    <t xml:space="preserve">KENBL</t>
  </si>
  <si>
    <t xml:space="preserve">Kenwood Pakistan</t>
  </si>
  <si>
    <t xml:space="preserve">Kenwood</t>
  </si>
  <si>
    <t xml:space="preserve">PK-1037</t>
  </si>
  <si>
    <t xml:space="preserve">Grocery &amp; Food Items</t>
  </si>
  <si>
    <t xml:space="preserve">Staple Foods</t>
  </si>
  <si>
    <t xml:space="preserve">Basmati Rice 25kg</t>
  </si>
  <si>
    <t xml:space="preserve">BSRC25</t>
  </si>
  <si>
    <t xml:space="preserve">Falak Foods</t>
  </si>
  <si>
    <t xml:space="preserve">Falak</t>
  </si>
  <si>
    <t xml:space="preserve">PK-1038</t>
  </si>
  <si>
    <t xml:space="preserve">Basmati Rice 5kg</t>
  </si>
  <si>
    <t xml:space="preserve">BSRC5</t>
  </si>
  <si>
    <t xml:space="preserve">PK-1039</t>
  </si>
  <si>
    <t xml:space="preserve">Wheat Flour Atta 10kg</t>
  </si>
  <si>
    <t xml:space="preserve">ATTA10</t>
  </si>
  <si>
    <t xml:space="preserve">Sunridge Foods</t>
  </si>
  <si>
    <t xml:space="preserve">Sunridge</t>
  </si>
  <si>
    <t xml:space="preserve">PK-1040</t>
  </si>
  <si>
    <t xml:space="preserve">Wheat Flour Atta 5kg</t>
  </si>
  <si>
    <t xml:space="preserve">ATTA5</t>
  </si>
  <si>
    <t xml:space="preserve">PK-1041</t>
  </si>
  <si>
    <t xml:space="preserve">Sugar 5kg</t>
  </si>
  <si>
    <t xml:space="preserve">SUGR5</t>
  </si>
  <si>
    <t xml:space="preserve">National Foods</t>
  </si>
  <si>
    <t xml:space="preserve">PK-1042</t>
  </si>
  <si>
    <t xml:space="preserve">Sugar 1kg</t>
  </si>
  <si>
    <t xml:space="preserve">SUGR1</t>
  </si>
  <si>
    <t xml:space="preserve">PK-1043</t>
  </si>
  <si>
    <t xml:space="preserve">Dalda Cooking Oil 5L</t>
  </si>
  <si>
    <t xml:space="preserve">DLDO5</t>
  </si>
  <si>
    <t xml:space="preserve">Dalda Foods</t>
  </si>
  <si>
    <t xml:space="preserve">Dalda</t>
  </si>
  <si>
    <t xml:space="preserve">PK-1044</t>
  </si>
  <si>
    <t xml:space="preserve">Dalda Cooking Oil 1L</t>
  </si>
  <si>
    <t xml:space="preserve">DLDO1</t>
  </si>
  <si>
    <t xml:space="preserve">PK-1045</t>
  </si>
  <si>
    <t xml:space="preserve">Sufi Cooking Oil 5L</t>
  </si>
  <si>
    <t xml:space="preserve">SUFO5</t>
  </si>
  <si>
    <t xml:space="preserve">Sufi Foods</t>
  </si>
  <si>
    <t xml:space="preserve">Sufi</t>
  </si>
  <si>
    <t xml:space="preserve">PK-1046</t>
  </si>
  <si>
    <t xml:space="preserve">Canola Oil 3L</t>
  </si>
  <si>
    <t xml:space="preserve">CNLO3</t>
  </si>
  <si>
    <t xml:space="preserve">Careem Oils</t>
  </si>
  <si>
    <t xml:space="preserve">Careem</t>
  </si>
  <si>
    <t xml:space="preserve">PK-1047</t>
  </si>
  <si>
    <t xml:space="preserve">Spices &amp; Condiments</t>
  </si>
  <si>
    <t xml:space="preserve">National Biryani Masala 50g</t>
  </si>
  <si>
    <t xml:space="preserve">NBRM50</t>
  </si>
  <si>
    <t xml:space="preserve">PK-1048</t>
  </si>
  <si>
    <t xml:space="preserve">Shan Biryani Mix 60g</t>
  </si>
  <si>
    <t xml:space="preserve">SHBM60</t>
  </si>
  <si>
    <t xml:space="preserve">Shan Foods</t>
  </si>
  <si>
    <t xml:space="preserve">Shan</t>
  </si>
  <si>
    <t xml:space="preserve">PK-1049</t>
  </si>
  <si>
    <t xml:space="preserve">Shan Karahi Masala 100g</t>
  </si>
  <si>
    <t xml:space="preserve">SHKR100</t>
  </si>
  <si>
    <t xml:space="preserve">PK-1050</t>
  </si>
  <si>
    <t xml:space="preserve">Mehran Nihari Masala</t>
  </si>
  <si>
    <t xml:space="preserve">MEHNM</t>
  </si>
  <si>
    <t xml:space="preserve">Mehran Foods</t>
  </si>
  <si>
    <t xml:space="preserve">Mehran</t>
  </si>
  <si>
    <t xml:space="preserve">PK-1051</t>
  </si>
  <si>
    <t xml:space="preserve">Turmeric Powder 200g</t>
  </si>
  <si>
    <t xml:space="preserve">TURMRIC</t>
  </si>
  <si>
    <t xml:space="preserve">PK-1052</t>
  </si>
  <si>
    <t xml:space="preserve">Red Chilli Powder 200g</t>
  </si>
  <si>
    <t xml:space="preserve">RCHILLI</t>
  </si>
  <si>
    <t xml:space="preserve">PK-1053</t>
  </si>
  <si>
    <t xml:space="preserve">Garam Masala 100g</t>
  </si>
  <si>
    <t xml:space="preserve">GRAMM</t>
  </si>
  <si>
    <t xml:space="preserve">PK-1054</t>
  </si>
  <si>
    <t xml:space="preserve">Cumin Seeds 100g</t>
  </si>
  <si>
    <t xml:space="preserve">CUMN100</t>
  </si>
  <si>
    <t xml:space="preserve">PK-1055</t>
  </si>
  <si>
    <t xml:space="preserve">Black Pepper 50g</t>
  </si>
  <si>
    <t xml:space="preserve">BLKP50</t>
  </si>
  <si>
    <t xml:space="preserve">PK-1056</t>
  </si>
  <si>
    <t xml:space="preserve">Coriander Powder 200g</t>
  </si>
  <si>
    <t xml:space="preserve">CORP200</t>
  </si>
  <si>
    <t xml:space="preserve">PK-1057</t>
  </si>
  <si>
    <t xml:space="preserve">Beverages</t>
  </si>
  <si>
    <t xml:space="preserve">Nescafé Classic 200g</t>
  </si>
  <si>
    <t xml:space="preserve">NESCF200</t>
  </si>
  <si>
    <t xml:space="preserve">Nestle Pakistan</t>
  </si>
  <si>
    <t xml:space="preserve">Nestle</t>
  </si>
  <si>
    <t xml:space="preserve">PK-1058</t>
  </si>
  <si>
    <t xml:space="preserve">Tapal Danedar 500g</t>
  </si>
  <si>
    <t xml:space="preserve">TAPDN500</t>
  </si>
  <si>
    <t xml:space="preserve">Tapal Tea</t>
  </si>
  <si>
    <t xml:space="preserve">Tapal</t>
  </si>
  <si>
    <t xml:space="preserve">PK-1059</t>
  </si>
  <si>
    <t xml:space="preserve">Lipton Yellow Label 200g</t>
  </si>
  <si>
    <t xml:space="preserve">LIPYL200</t>
  </si>
  <si>
    <t xml:space="preserve">Unilever Pakistan</t>
  </si>
  <si>
    <t xml:space="preserve">Lipton</t>
  </si>
  <si>
    <t xml:space="preserve">PK-1060</t>
  </si>
  <si>
    <t xml:space="preserve">Tang Mango 500g</t>
  </si>
  <si>
    <t xml:space="preserve">TNGMNG</t>
  </si>
  <si>
    <t xml:space="preserve">Mondelez Pak</t>
  </si>
  <si>
    <t xml:space="preserve">Tang</t>
  </si>
  <si>
    <t xml:space="preserve">PK-1061</t>
  </si>
  <si>
    <t xml:space="preserve">Rooh Afza 800ml</t>
  </si>
  <si>
    <t xml:space="preserve">RFAHZA</t>
  </si>
  <si>
    <t xml:space="preserve">Hamdard</t>
  </si>
  <si>
    <t xml:space="preserve">PK-1062</t>
  </si>
  <si>
    <t xml:space="preserve">Pepsi 1.5L</t>
  </si>
  <si>
    <t xml:space="preserve">PEPSI15</t>
  </si>
  <si>
    <t xml:space="preserve">PepsiCo Pak</t>
  </si>
  <si>
    <t xml:space="preserve">Pepsi</t>
  </si>
  <si>
    <t xml:space="preserve">PK-1063</t>
  </si>
  <si>
    <t xml:space="preserve">Coca-Cola 1.5L</t>
  </si>
  <si>
    <t xml:space="preserve">COKE15</t>
  </si>
  <si>
    <t xml:space="preserve">Coca-Cola Pak</t>
  </si>
  <si>
    <t xml:space="preserve">Coca-Cola</t>
  </si>
  <si>
    <t xml:space="preserve">PK-1064</t>
  </si>
  <si>
    <t xml:space="preserve">Minute Maid 1L</t>
  </si>
  <si>
    <t xml:space="preserve">MNJCE1L</t>
  </si>
  <si>
    <t xml:space="preserve">Minute Maid</t>
  </si>
  <si>
    <t xml:space="preserve">PK-1065</t>
  </si>
  <si>
    <t xml:space="preserve">Olper Milk 1L</t>
  </si>
  <si>
    <t xml:space="preserve">OLPRMK</t>
  </si>
  <si>
    <t xml:space="preserve">FrieslandCampina</t>
  </si>
  <si>
    <t xml:space="preserve">Olpers</t>
  </si>
  <si>
    <t xml:space="preserve">PK-1066</t>
  </si>
  <si>
    <t xml:space="preserve">Nurpur Butter 200g</t>
  </si>
  <si>
    <t xml:space="preserve">NURBT200</t>
  </si>
  <si>
    <t xml:space="preserve">Nurpur Dairy</t>
  </si>
  <si>
    <t xml:space="preserve">Nurpur</t>
  </si>
  <si>
    <t xml:space="preserve">PK-1067</t>
  </si>
  <si>
    <t xml:space="preserve">Dairy &amp; Frozen</t>
  </si>
  <si>
    <t xml:space="preserve">Olpers Full Cream Milk 1L</t>
  </si>
  <si>
    <t xml:space="preserve">OLFCM</t>
  </si>
  <si>
    <t xml:space="preserve">PK-1068</t>
  </si>
  <si>
    <t xml:space="preserve">Nestle Everyday Milk Powder 1kg</t>
  </si>
  <si>
    <t xml:space="preserve">NESEDAY</t>
  </si>
  <si>
    <t xml:space="preserve">PK-1069</t>
  </si>
  <si>
    <t xml:space="preserve">Haleeb Milk 1L</t>
  </si>
  <si>
    <t xml:space="preserve">HLBMK</t>
  </si>
  <si>
    <t xml:space="preserve">Haleeb Foods</t>
  </si>
  <si>
    <t xml:space="preserve">Haleeb</t>
  </si>
  <si>
    <t xml:space="preserve">PK-1070</t>
  </si>
  <si>
    <t xml:space="preserve">Sapphire Yogurt 1kg</t>
  </si>
  <si>
    <t xml:space="preserve">SAPPYG</t>
  </si>
  <si>
    <t xml:space="preserve">Sapphire Dairy</t>
  </si>
  <si>
    <t xml:space="preserve">Sapphire</t>
  </si>
  <si>
    <t xml:space="preserve">PK-1071</t>
  </si>
  <si>
    <t xml:space="preserve">Yummy Cheddar Slice 200g</t>
  </si>
  <si>
    <t xml:space="preserve">YUMCHD</t>
  </si>
  <si>
    <t xml:space="preserve">Dawn Foods</t>
  </si>
  <si>
    <t xml:space="preserve">Yummy</t>
  </si>
  <si>
    <t xml:space="preserve">PK-1072</t>
  </si>
  <si>
    <t xml:space="preserve">K&amp;N's Chicken Nuggets 500g</t>
  </si>
  <si>
    <t xml:space="preserve">KNCNG500</t>
  </si>
  <si>
    <t xml:space="preserve">K&amp;Ns Pakistan</t>
  </si>
  <si>
    <t xml:space="preserve">K&amp;N's</t>
  </si>
  <si>
    <t xml:space="preserve">PK-1073</t>
  </si>
  <si>
    <t xml:space="preserve">K&amp;N's Chicken Strips 400g</t>
  </si>
  <si>
    <t xml:space="preserve">KNCST400</t>
  </si>
  <si>
    <t xml:space="preserve">PK-1074</t>
  </si>
  <si>
    <t xml:space="preserve">Dawn Croissant 6pcs</t>
  </si>
  <si>
    <t xml:space="preserve">DWNCRS</t>
  </si>
  <si>
    <t xml:space="preserve">Dawn</t>
  </si>
  <si>
    <t xml:space="preserve">PK-1075</t>
  </si>
  <si>
    <t xml:space="preserve">Clothing &amp; Textiles</t>
  </si>
  <si>
    <t xml:space="preserve">Men's Wear</t>
  </si>
  <si>
    <t xml:space="preserve">Gul Ahmed Lawn Suit 3pc</t>
  </si>
  <si>
    <t xml:space="preserve">GALWN3</t>
  </si>
  <si>
    <t xml:space="preserve">Gul Ahmed</t>
  </si>
  <si>
    <t xml:space="preserve">PK-1076</t>
  </si>
  <si>
    <t xml:space="preserve">Almirah Men Kurta</t>
  </si>
  <si>
    <t xml:space="preserve">ALMKRT</t>
  </si>
  <si>
    <t xml:space="preserve">Almirah</t>
  </si>
  <si>
    <t xml:space="preserve">PK-1077</t>
  </si>
  <si>
    <t xml:space="preserve">Khaadi Men Shalwar Kameez</t>
  </si>
  <si>
    <t xml:space="preserve">KHDSK</t>
  </si>
  <si>
    <t xml:space="preserve">Khaadi</t>
  </si>
  <si>
    <t xml:space="preserve">PK-1078</t>
  </si>
  <si>
    <t xml:space="preserve">J. Men Shirt</t>
  </si>
  <si>
    <t xml:space="preserve">JMSHRT</t>
  </si>
  <si>
    <t xml:space="preserve">J. (Junaid Jamshed)</t>
  </si>
  <si>
    <t xml:space="preserve">J.</t>
  </si>
  <si>
    <t xml:space="preserve">PK-1079</t>
  </si>
  <si>
    <t xml:space="preserve">Bonanza Men Sweater</t>
  </si>
  <si>
    <t xml:space="preserve">BNSSWT</t>
  </si>
  <si>
    <t xml:space="preserve">Bonanza Satrangi</t>
  </si>
  <si>
    <t xml:space="preserve">Bonanza</t>
  </si>
  <si>
    <t xml:space="preserve">PK-1080</t>
  </si>
  <si>
    <t xml:space="preserve">Men Denim Jeans 32</t>
  </si>
  <si>
    <t xml:space="preserve">MDNJNS32</t>
  </si>
  <si>
    <t xml:space="preserve">Outfitters</t>
  </si>
  <si>
    <t xml:space="preserve">PK-1081</t>
  </si>
  <si>
    <t xml:space="preserve">Men Denim Jeans 34</t>
  </si>
  <si>
    <t xml:space="preserve">MDNJNS34</t>
  </si>
  <si>
    <t xml:space="preserve">PK-1082</t>
  </si>
  <si>
    <t xml:space="preserve">Men Formal Trouser</t>
  </si>
  <si>
    <t xml:space="preserve">MFRTRS</t>
  </si>
  <si>
    <t xml:space="preserve">Sana Safinaz</t>
  </si>
  <si>
    <t xml:space="preserve">PK-1083</t>
  </si>
  <si>
    <t xml:space="preserve">Men Polo T-Shirt</t>
  </si>
  <si>
    <t xml:space="preserve">MPTSHRT</t>
  </si>
  <si>
    <t xml:space="preserve">Breakout</t>
  </si>
  <si>
    <t xml:space="preserve">PK-1084</t>
  </si>
  <si>
    <t xml:space="preserve">Men Sports Shorts</t>
  </si>
  <si>
    <t xml:space="preserve">MSPSHRT</t>
  </si>
  <si>
    <t xml:space="preserve">PK-1085</t>
  </si>
  <si>
    <t xml:space="preserve">Women's Wear</t>
  </si>
  <si>
    <t xml:space="preserve">Gul Ahmed Summer Collection 3pc</t>
  </si>
  <si>
    <t xml:space="preserve">GALSC3</t>
  </si>
  <si>
    <t xml:space="preserve">PK-1086</t>
  </si>
  <si>
    <t xml:space="preserve">Sana Safinaz Ready-to-Wear</t>
  </si>
  <si>
    <t xml:space="preserve">SNSFRTW</t>
  </si>
  <si>
    <t xml:space="preserve">PK-1087</t>
  </si>
  <si>
    <t xml:space="preserve">Khaadi Pret Kurta</t>
  </si>
  <si>
    <t xml:space="preserve">KHDPRTKRT</t>
  </si>
  <si>
    <t xml:space="preserve">PK-1088</t>
  </si>
  <si>
    <t xml:space="preserve">Maria B Lawn 3pc</t>
  </si>
  <si>
    <t xml:space="preserve">MBLWN3</t>
  </si>
  <si>
    <t xml:space="preserve">Maria B</t>
  </si>
  <si>
    <t xml:space="preserve">PK-1089</t>
  </si>
  <si>
    <t xml:space="preserve">Nishat Linen Suit</t>
  </si>
  <si>
    <t xml:space="preserve">NSHLNN</t>
  </si>
  <si>
    <t xml:space="preserve">Nishat Linen</t>
  </si>
  <si>
    <t xml:space="preserve">Nishat</t>
  </si>
  <si>
    <t xml:space="preserve">PK-1090</t>
  </si>
  <si>
    <t xml:space="preserve">Zellbury Kurta Set</t>
  </si>
  <si>
    <t xml:space="preserve">ZLBKRT</t>
  </si>
  <si>
    <t xml:space="preserve">Zellbury</t>
  </si>
  <si>
    <t xml:space="preserve">PK-1091</t>
  </si>
  <si>
    <t xml:space="preserve">Women Capri Pants</t>
  </si>
  <si>
    <t xml:space="preserve">WCPRI</t>
  </si>
  <si>
    <t xml:space="preserve">Edenrobe</t>
  </si>
  <si>
    <t xml:space="preserve">PK-1092</t>
  </si>
  <si>
    <t xml:space="preserve">Women Cardigan</t>
  </si>
  <si>
    <t xml:space="preserve">WCRDGN</t>
  </si>
  <si>
    <t xml:space="preserve">PK-1093</t>
  </si>
  <si>
    <t xml:space="preserve">Women Abaya Plain</t>
  </si>
  <si>
    <t xml:space="preserve">WABPLN</t>
  </si>
  <si>
    <t xml:space="preserve">Al-Karam</t>
  </si>
  <si>
    <t xml:space="preserve">PK-1094</t>
  </si>
  <si>
    <t xml:space="preserve">Women Dupatta Lawn</t>
  </si>
  <si>
    <t xml:space="preserve">WDPLWN</t>
  </si>
  <si>
    <t xml:space="preserve">PK-1095</t>
  </si>
  <si>
    <t xml:space="preserve">Footwear</t>
  </si>
  <si>
    <t xml:space="preserve">Bata Men Leather Shoes</t>
  </si>
  <si>
    <t xml:space="preserve">BATMS</t>
  </si>
  <si>
    <t xml:space="preserve">Bata Pakistan</t>
  </si>
  <si>
    <t xml:space="preserve">Bata</t>
  </si>
  <si>
    <t xml:space="preserve">PK-1096</t>
  </si>
  <si>
    <t xml:space="preserve">Bata Women Pumps</t>
  </si>
  <si>
    <t xml:space="preserve">BATWS</t>
  </si>
  <si>
    <t xml:space="preserve">PK-1097</t>
  </si>
  <si>
    <t xml:space="preserve">Servis Men Sandals</t>
  </si>
  <si>
    <t xml:space="preserve">SRVMS</t>
  </si>
  <si>
    <t xml:space="preserve">Servis</t>
  </si>
  <si>
    <t xml:space="preserve">PK-1098</t>
  </si>
  <si>
    <t xml:space="preserve">Servis School Shoes</t>
  </si>
  <si>
    <t xml:space="preserve">SRVSS</t>
  </si>
  <si>
    <t xml:space="preserve">PK-1099</t>
  </si>
  <si>
    <t xml:space="preserve">Nike Air Max (Replica)</t>
  </si>
  <si>
    <t xml:space="preserve">NKAM</t>
  </si>
  <si>
    <t xml:space="preserve">Sports World</t>
  </si>
  <si>
    <t xml:space="preserve">Nike</t>
  </si>
  <si>
    <t xml:space="preserve">PK-1100</t>
  </si>
  <si>
    <t xml:space="preserve">Stylo Women Heels</t>
  </si>
  <si>
    <t xml:space="preserve">STYWH</t>
  </si>
  <si>
    <t xml:space="preserve">Stylo</t>
  </si>
  <si>
    <t xml:space="preserve">PK-1101</t>
  </si>
  <si>
    <t xml:space="preserve">Metro Men Casual</t>
  </si>
  <si>
    <t xml:space="preserve">MTRMC</t>
  </si>
  <si>
    <t xml:space="preserve">Metro Shoes</t>
  </si>
  <si>
    <t xml:space="preserve">Metro</t>
  </si>
  <si>
    <t xml:space="preserve">PK-1102</t>
  </si>
  <si>
    <t xml:space="preserve">Hush Puppies Loafers</t>
  </si>
  <si>
    <t xml:space="preserve">HPLF</t>
  </si>
  <si>
    <t xml:space="preserve">Hush Puppies</t>
  </si>
  <si>
    <t xml:space="preserve">PK-1103</t>
  </si>
  <si>
    <t xml:space="preserve">Fabric &amp; Accessories</t>
  </si>
  <si>
    <t xml:space="preserve">Lawn Fabric per meter</t>
  </si>
  <si>
    <t xml:space="preserve">LWNFBR</t>
  </si>
  <si>
    <t xml:space="preserve">PK-1104</t>
  </si>
  <si>
    <t xml:space="preserve">Chiffon Fabric per meter</t>
  </si>
  <si>
    <t xml:space="preserve">CHFFN</t>
  </si>
  <si>
    <t xml:space="preserve">PK-1105</t>
  </si>
  <si>
    <t xml:space="preserve">Cotton Fabric per meter</t>
  </si>
  <si>
    <t xml:space="preserve">CTNFBR</t>
  </si>
  <si>
    <t xml:space="preserve">PK-1106</t>
  </si>
  <si>
    <t xml:space="preserve">Silk Fabric per meter</t>
  </si>
  <si>
    <t xml:space="preserve">SLKFBR</t>
  </si>
  <si>
    <t xml:space="preserve">PK-1107</t>
  </si>
  <si>
    <t xml:space="preserve">Ladies Handbag</t>
  </si>
  <si>
    <t xml:space="preserve">LHDBG</t>
  </si>
  <si>
    <t xml:space="preserve">Insignia</t>
  </si>
  <si>
    <t xml:space="preserve">PK-1108</t>
  </si>
  <si>
    <t xml:space="preserve">Men Leather Belt</t>
  </si>
  <si>
    <t xml:space="preserve">MLBLT</t>
  </si>
  <si>
    <t xml:space="preserve">PK-1109</t>
  </si>
  <si>
    <t xml:space="preserve">Ladies Scarf</t>
  </si>
  <si>
    <t xml:space="preserve">LDSCRF</t>
  </si>
  <si>
    <t xml:space="preserve">PK-1110</t>
  </si>
  <si>
    <t xml:space="preserve">Men Necktie</t>
  </si>
  <si>
    <t xml:space="preserve">MNTIE</t>
  </si>
  <si>
    <t xml:space="preserve">PK-1111</t>
  </si>
  <si>
    <t xml:space="preserve">Construction &amp; Hardware</t>
  </si>
  <si>
    <t xml:space="preserve">Cement &amp; Building Materials</t>
  </si>
  <si>
    <t xml:space="preserve">DG Khan Cement 50kg</t>
  </si>
  <si>
    <t xml:space="preserve">DGKCEM</t>
  </si>
  <si>
    <t xml:space="preserve">DG Khan Cement</t>
  </si>
  <si>
    <t xml:space="preserve">DG Khan</t>
  </si>
  <si>
    <t xml:space="preserve">PK-1112</t>
  </si>
  <si>
    <t xml:space="preserve">Lucky Cement 50kg</t>
  </si>
  <si>
    <t xml:space="preserve">LKCEM</t>
  </si>
  <si>
    <t xml:space="preserve">Lucky Cement</t>
  </si>
  <si>
    <t xml:space="preserve">Lucky</t>
  </si>
  <si>
    <t xml:space="preserve">PK-1113</t>
  </si>
  <si>
    <t xml:space="preserve">Maple Leaf Cement 50kg</t>
  </si>
  <si>
    <t xml:space="preserve">MLCEM</t>
  </si>
  <si>
    <t xml:space="preserve">Maple Leaf</t>
  </si>
  <si>
    <t xml:space="preserve">PK-1114</t>
  </si>
  <si>
    <t xml:space="preserve">Red Brick (per 1000)</t>
  </si>
  <si>
    <t xml:space="preserve">RDBRIK</t>
  </si>
  <si>
    <t xml:space="preserve">Local Kilns</t>
  </si>
  <si>
    <t xml:space="preserve">Local</t>
  </si>
  <si>
    <t xml:space="preserve">PK-1115</t>
  </si>
  <si>
    <t xml:space="preserve">Block 6 inch (per piece)</t>
  </si>
  <si>
    <t xml:space="preserve">BLK6</t>
  </si>
  <si>
    <t xml:space="preserve">Local Manufacturer</t>
  </si>
  <si>
    <t xml:space="preserve">PK-1116</t>
  </si>
  <si>
    <t xml:space="preserve">River Sand per cubic ft</t>
  </si>
  <si>
    <t xml:space="preserve">RVSND</t>
  </si>
  <si>
    <t xml:space="preserve">Al-Noor Aggregates</t>
  </si>
  <si>
    <t xml:space="preserve">PK-1117</t>
  </si>
  <si>
    <t xml:space="preserve">Crush Stone per cubic ft</t>
  </si>
  <si>
    <t xml:space="preserve">CRSHST</t>
  </si>
  <si>
    <t xml:space="preserve">PK-1118</t>
  </si>
  <si>
    <t xml:space="preserve">Steel Rod 10mm per kg</t>
  </si>
  <si>
    <t xml:space="preserve">STLRD10</t>
  </si>
  <si>
    <t xml:space="preserve">Amreli Steels</t>
  </si>
  <si>
    <t xml:space="preserve">Amreli</t>
  </si>
  <si>
    <t xml:space="preserve">PK-1119</t>
  </si>
  <si>
    <t xml:space="preserve">Paints &amp; Finishes</t>
  </si>
  <si>
    <t xml:space="preserve">ICI Dulux Weathershield 4L</t>
  </si>
  <si>
    <t xml:space="preserve">ICIDWX4</t>
  </si>
  <si>
    <t xml:space="preserve">ICI Pakistan</t>
  </si>
  <si>
    <t xml:space="preserve">ICI Dulux</t>
  </si>
  <si>
    <t xml:space="preserve">PK-1120</t>
  </si>
  <si>
    <t xml:space="preserve">ICI Dulux Interior 4L</t>
  </si>
  <si>
    <t xml:space="preserve">ICIDIN4</t>
  </si>
  <si>
    <t xml:space="preserve">PK-1121</t>
  </si>
  <si>
    <t xml:space="preserve">Berger WeatherCoat 4L</t>
  </si>
  <si>
    <t xml:space="preserve">BRGWC4</t>
  </si>
  <si>
    <t xml:space="preserve">Berger Paints</t>
  </si>
  <si>
    <t xml:space="preserve">Berger</t>
  </si>
  <si>
    <t xml:space="preserve">PK-1122</t>
  </si>
  <si>
    <t xml:space="preserve">Nippon Paint 4L</t>
  </si>
  <si>
    <t xml:space="preserve">NIPN4</t>
  </si>
  <si>
    <t xml:space="preserve">Nippon Paint</t>
  </si>
  <si>
    <t xml:space="preserve">Nippon</t>
  </si>
  <si>
    <t xml:space="preserve">PK-1123</t>
  </si>
  <si>
    <t xml:space="preserve">Wall Putty 20kg</t>
  </si>
  <si>
    <t xml:space="preserve">WLPTY20</t>
  </si>
  <si>
    <t xml:space="preserve">Asian Paints</t>
  </si>
  <si>
    <t xml:space="preserve">Asian</t>
  </si>
  <si>
    <t xml:space="preserve">PK-1124</t>
  </si>
  <si>
    <t xml:space="preserve">Primer 4L</t>
  </si>
  <si>
    <t xml:space="preserve">PRMR4</t>
  </si>
  <si>
    <t xml:space="preserve">ICI</t>
  </si>
  <si>
    <t xml:space="preserve">PK-1125</t>
  </si>
  <si>
    <t xml:space="preserve">Enamel Paint 1L</t>
  </si>
  <si>
    <t xml:space="preserve">ENMPNT1</t>
  </si>
  <si>
    <t xml:space="preserve">PK-1126</t>
  </si>
  <si>
    <t xml:space="preserve">Plumbing &amp; Electrical</t>
  </si>
  <si>
    <t xml:space="preserve">CPVC Pipe 1/2 inch</t>
  </si>
  <si>
    <t xml:space="preserve">CPVCP12</t>
  </si>
  <si>
    <t xml:space="preserve">Supreme Pipes</t>
  </si>
  <si>
    <t xml:space="preserve">Supreme</t>
  </si>
  <si>
    <t xml:space="preserve">PK-1127</t>
  </si>
  <si>
    <t xml:space="preserve">CPVC Pipe 3/4 inch</t>
  </si>
  <si>
    <t xml:space="preserve">CPVCP34</t>
  </si>
  <si>
    <t xml:space="preserve">PK-1128</t>
  </si>
  <si>
    <t xml:space="preserve">Ball Valve 1/2 inch</t>
  </si>
  <si>
    <t xml:space="preserve">BLVLV12</t>
  </si>
  <si>
    <t xml:space="preserve">PK-1129</t>
  </si>
  <si>
    <t xml:space="preserve">Water Pump 0.5HP</t>
  </si>
  <si>
    <t xml:space="preserve">WTPMP05</t>
  </si>
  <si>
    <t xml:space="preserve">Siemens Pakistan</t>
  </si>
  <si>
    <t xml:space="preserve">Siemens</t>
  </si>
  <si>
    <t xml:space="preserve">PK-1130</t>
  </si>
  <si>
    <t xml:space="preserve">Electric Wire 2.5mm (per m)</t>
  </si>
  <si>
    <t xml:space="preserve">EWIRE25</t>
  </si>
  <si>
    <t xml:space="preserve">Pakistan Cables</t>
  </si>
  <si>
    <t xml:space="preserve">Pak Cables</t>
  </si>
  <si>
    <t xml:space="preserve">PK-1131</t>
  </si>
  <si>
    <t xml:space="preserve">Electric Wire 4mm (per m)</t>
  </si>
  <si>
    <t xml:space="preserve">EWIRE4</t>
  </si>
  <si>
    <t xml:space="preserve">PK-1132</t>
  </si>
  <si>
    <t xml:space="preserve">MCB 20A Single</t>
  </si>
  <si>
    <t xml:space="preserve">MCB20S</t>
  </si>
  <si>
    <t xml:space="preserve">PK-1133</t>
  </si>
  <si>
    <t xml:space="preserve">LED Downlight 7W</t>
  </si>
  <si>
    <t xml:space="preserve">LEDDN7</t>
  </si>
  <si>
    <t xml:space="preserve">Philips Pakistan</t>
  </si>
  <si>
    <t xml:space="preserve">Philips</t>
  </si>
  <si>
    <t xml:space="preserve">PK-1134</t>
  </si>
  <si>
    <t xml:space="preserve">LED Bulb 12W</t>
  </si>
  <si>
    <t xml:space="preserve">LEDBL12</t>
  </si>
  <si>
    <t xml:space="preserve">PK-1135</t>
  </si>
  <si>
    <t xml:space="preserve">Fan Ceiling 56"</t>
  </si>
  <si>
    <t xml:space="preserve">FANC56</t>
  </si>
  <si>
    <t xml:space="preserve">GFC Fans</t>
  </si>
  <si>
    <t xml:space="preserve">GFC</t>
  </si>
  <si>
    <t xml:space="preserve">PK-1136</t>
  </si>
  <si>
    <t xml:space="preserve">Tools &amp; Hardware</t>
  </si>
  <si>
    <t xml:space="preserve">Stanley Hammer</t>
  </si>
  <si>
    <t xml:space="preserve">STLHMR</t>
  </si>
  <si>
    <t xml:space="preserve">Stanley Tools</t>
  </si>
  <si>
    <t xml:space="preserve">Stanley</t>
  </si>
  <si>
    <t xml:space="preserve">PK-1137</t>
  </si>
  <si>
    <t xml:space="preserve">Drill Machine 13mm</t>
  </si>
  <si>
    <t xml:space="preserve">DRLM13</t>
  </si>
  <si>
    <t xml:space="preserve">Bosch Pakistan</t>
  </si>
  <si>
    <t xml:space="preserve">Bosch</t>
  </si>
  <si>
    <t xml:space="preserve">PK-1138</t>
  </si>
  <si>
    <t xml:space="preserve">Measuring Tape 5m</t>
  </si>
  <si>
    <t xml:space="preserve">MSTPE5</t>
  </si>
  <si>
    <t xml:space="preserve">PK-1139</t>
  </si>
  <si>
    <t xml:space="preserve">Screw Set 100pcs</t>
  </si>
  <si>
    <t xml:space="preserve">SCRWST</t>
  </si>
  <si>
    <t xml:space="preserve">PK-1140</t>
  </si>
  <si>
    <t xml:space="preserve">Wrench Set 8pcs</t>
  </si>
  <si>
    <t xml:space="preserve">WRNCH8</t>
  </si>
  <si>
    <t xml:space="preserve">PK-1141</t>
  </si>
  <si>
    <t xml:space="preserve">Paint Brush Set 5pcs</t>
  </si>
  <si>
    <t xml:space="preserve">PNTBRSH5</t>
  </si>
  <si>
    <t xml:space="preserve">PK-1142</t>
  </si>
  <si>
    <t xml:space="preserve">Safety Gloves</t>
  </si>
  <si>
    <t xml:space="preserve">SFGLV</t>
  </si>
  <si>
    <t xml:space="preserve">3M Pakistan</t>
  </si>
  <si>
    <t xml:space="preserve">3M</t>
  </si>
  <si>
    <t xml:space="preserve">PK-1143</t>
  </si>
  <si>
    <t xml:space="preserve">Safety Helmet</t>
  </si>
  <si>
    <t xml:space="preserve">SFHLMT</t>
  </si>
  <si>
    <t xml:space="preserve">PK-1144</t>
  </si>
  <si>
    <t xml:space="preserve">Pharmaceuticals &amp; Health</t>
  </si>
  <si>
    <t xml:space="preserve">OTC Medicines</t>
  </si>
  <si>
    <t xml:space="preserve">Panadol Extra 20tabs</t>
  </si>
  <si>
    <t xml:space="preserve">PNDLEX20</t>
  </si>
  <si>
    <t xml:space="preserve">GSK Pakistan</t>
  </si>
  <si>
    <t xml:space="preserve">Panadol</t>
  </si>
  <si>
    <t xml:space="preserve">PK-1145</t>
  </si>
  <si>
    <t xml:space="preserve">Panadol CF 10tabs</t>
  </si>
  <si>
    <t xml:space="preserve">PNDLCF10</t>
  </si>
  <si>
    <t xml:space="preserve">PK-1146</t>
  </si>
  <si>
    <t xml:space="preserve">Brufen 400mg 10tabs</t>
  </si>
  <si>
    <t xml:space="preserve">BRFN400</t>
  </si>
  <si>
    <t xml:space="preserve">Abbott Pakistan</t>
  </si>
  <si>
    <t xml:space="preserve">Brufen</t>
  </si>
  <si>
    <t xml:space="preserve">PK-1147</t>
  </si>
  <si>
    <t xml:space="preserve">Disprin 10tabs</t>
  </si>
  <si>
    <t xml:space="preserve">DSPRN10</t>
  </si>
  <si>
    <t xml:space="preserve">Reckitt Pakistan</t>
  </si>
  <si>
    <t xml:space="preserve">Disprin</t>
  </si>
  <si>
    <t xml:space="preserve">PK-1148</t>
  </si>
  <si>
    <t xml:space="preserve">ORS Sachets x10</t>
  </si>
  <si>
    <t xml:space="preserve">ORSSCHT</t>
  </si>
  <si>
    <t xml:space="preserve">Otsuka Pakistan</t>
  </si>
  <si>
    <t xml:space="preserve">ORS</t>
  </si>
  <si>
    <t xml:space="preserve">PK-1149</t>
  </si>
  <si>
    <t xml:space="preserve">Vitamin C 500mg x30</t>
  </si>
  <si>
    <t xml:space="preserve">VTMC500</t>
  </si>
  <si>
    <t xml:space="preserve">Pharmevo</t>
  </si>
  <si>
    <t xml:space="preserve">PK-1150</t>
  </si>
  <si>
    <t xml:space="preserve">Omeprazole 20mg x14</t>
  </si>
  <si>
    <t xml:space="preserve">OMEPZ20</t>
  </si>
  <si>
    <t xml:space="preserve">Searle Pakistan</t>
  </si>
  <si>
    <t xml:space="preserve">Searle</t>
  </si>
  <si>
    <t xml:space="preserve">PK-1151</t>
  </si>
  <si>
    <t xml:space="preserve">Antacid 100ml Syrup</t>
  </si>
  <si>
    <t xml:space="preserve">ANTACD</t>
  </si>
  <si>
    <t xml:space="preserve">Ferozsons</t>
  </si>
  <si>
    <t xml:space="preserve">PK-1152</t>
  </si>
  <si>
    <t xml:space="preserve">Cough Syrup 100ml</t>
  </si>
  <si>
    <t xml:space="preserve">CGHSRP</t>
  </si>
  <si>
    <t xml:space="preserve">GSK</t>
  </si>
  <si>
    <t xml:space="preserve">PK-1153</t>
  </si>
  <si>
    <t xml:space="preserve">Eye Drops 10ml</t>
  </si>
  <si>
    <t xml:space="preserve">EYEDRP</t>
  </si>
  <si>
    <t xml:space="preserve">Alcon Pakistan</t>
  </si>
  <si>
    <t xml:space="preserve">Alcon</t>
  </si>
  <si>
    <t xml:space="preserve">PK-1154</t>
  </si>
  <si>
    <t xml:space="preserve">Surgical &amp; Medical Supplies</t>
  </si>
  <si>
    <t xml:space="preserve">Surgical Mask Box 50pcs</t>
  </si>
  <si>
    <t xml:space="preserve">SRGMSK50</t>
  </si>
  <si>
    <t xml:space="preserve">PK-1155</t>
  </si>
  <si>
    <t xml:space="preserve">Latex Gloves M Box 100</t>
  </si>
  <si>
    <t xml:space="preserve">LTXGLVM</t>
  </si>
  <si>
    <t xml:space="preserve">Meditech</t>
  </si>
  <si>
    <t xml:space="preserve">PK-1156</t>
  </si>
  <si>
    <t xml:space="preserve">Bandage Roll 5cm</t>
  </si>
  <si>
    <t xml:space="preserve">BNDGRL5</t>
  </si>
  <si>
    <t xml:space="preserve">Johnson &amp; Johnson</t>
  </si>
  <si>
    <t xml:space="preserve">J&amp;J</t>
  </si>
  <si>
    <t xml:space="preserve">PK-1157</t>
  </si>
  <si>
    <t xml:space="preserve">Antiseptic Dettol 500ml</t>
  </si>
  <si>
    <t xml:space="preserve">DETTOL500</t>
  </si>
  <si>
    <t xml:space="preserve">Dettol</t>
  </si>
  <si>
    <t xml:space="preserve">PK-1158</t>
  </si>
  <si>
    <t xml:space="preserve">Cotton 100g</t>
  </si>
  <si>
    <t xml:space="preserve">CTTON100</t>
  </si>
  <si>
    <t xml:space="preserve">PK-1159</t>
  </si>
  <si>
    <t xml:space="preserve">BP Apparatus Digital</t>
  </si>
  <si>
    <t xml:space="preserve">BPAPD</t>
  </si>
  <si>
    <t xml:space="preserve">Omron</t>
  </si>
  <si>
    <t xml:space="preserve">PK-1160</t>
  </si>
  <si>
    <t xml:space="preserve">Thermometer Digital</t>
  </si>
  <si>
    <t xml:space="preserve">THRMD</t>
  </si>
  <si>
    <t xml:space="preserve">PK-1161</t>
  </si>
  <si>
    <t xml:space="preserve">Glucometer</t>
  </si>
  <si>
    <t xml:space="preserve">GLCMTR</t>
  </si>
  <si>
    <t xml:space="preserve">Accu-Chek</t>
  </si>
  <si>
    <t xml:space="preserve">Roche</t>
  </si>
  <si>
    <t xml:space="preserve">PK-1162</t>
  </si>
  <si>
    <t xml:space="preserve">Personal Care</t>
  </si>
  <si>
    <t xml:space="preserve">Head &amp; Shoulders 400ml</t>
  </si>
  <si>
    <t xml:space="preserve">HDSHLD400</t>
  </si>
  <si>
    <t xml:space="preserve">P&amp;G Pakistan</t>
  </si>
  <si>
    <t xml:space="preserve">Head&amp;Shoulders</t>
  </si>
  <si>
    <t xml:space="preserve">PK-1163</t>
  </si>
  <si>
    <t xml:space="preserve">Pantene Shampoo 400ml</t>
  </si>
  <si>
    <t xml:space="preserve">PNTN400</t>
  </si>
  <si>
    <t xml:space="preserve">Pantene</t>
  </si>
  <si>
    <t xml:space="preserve">PK-1164</t>
  </si>
  <si>
    <t xml:space="preserve">Safeguard Soap 175g</t>
  </si>
  <si>
    <t xml:space="preserve">SFGRD175</t>
  </si>
  <si>
    <t xml:space="preserve">Safeguard</t>
  </si>
  <si>
    <t xml:space="preserve">PK-1165</t>
  </si>
  <si>
    <t xml:space="preserve">Dove Body Wash 400ml</t>
  </si>
  <si>
    <t xml:space="preserve">DVEBW400</t>
  </si>
  <si>
    <t xml:space="preserve">Dove</t>
  </si>
  <si>
    <t xml:space="preserve">PK-1166</t>
  </si>
  <si>
    <t xml:space="preserve">Colgate Toothpaste 150g</t>
  </si>
  <si>
    <t xml:space="preserve">COLGTP150</t>
  </si>
  <si>
    <t xml:space="preserve">Colgate Pakistan</t>
  </si>
  <si>
    <t xml:space="preserve">Colgate</t>
  </si>
  <si>
    <t xml:space="preserve">PK-1167</t>
  </si>
  <si>
    <t xml:space="preserve">Close-Up Toothpaste 150g</t>
  </si>
  <si>
    <t xml:space="preserve">CLOSEUP</t>
  </si>
  <si>
    <t xml:space="preserve">Close-Up</t>
  </si>
  <si>
    <t xml:space="preserve">PK-1168</t>
  </si>
  <si>
    <t xml:space="preserve">Gillette Mach3 Blades 4pk</t>
  </si>
  <si>
    <t xml:space="preserve">GLTM34</t>
  </si>
  <si>
    <t xml:space="preserve">Gillette</t>
  </si>
  <si>
    <t xml:space="preserve">PK-1169</t>
  </si>
  <si>
    <t xml:space="preserve">Vaseline Petroleum Jelly 250ml</t>
  </si>
  <si>
    <t xml:space="preserve">VSLN250</t>
  </si>
  <si>
    <t xml:space="preserve">Vaseline</t>
  </si>
  <si>
    <t xml:space="preserve">PK-1170</t>
  </si>
  <si>
    <t xml:space="preserve">Dettol Liquid Soap 250ml</t>
  </si>
  <si>
    <t xml:space="preserve">DTTLSOP</t>
  </si>
  <si>
    <t xml:space="preserve">PK-1171</t>
  </si>
  <si>
    <t xml:space="preserve">Garnier Face Wash 100ml</t>
  </si>
  <si>
    <t xml:space="preserve">GRNRFW</t>
  </si>
  <si>
    <t xml:space="preserve">L'Oreal Pakistan</t>
  </si>
  <si>
    <t xml:space="preserve">Garnier</t>
  </si>
  <si>
    <t xml:space="preserve">PK-1172</t>
  </si>
  <si>
    <t xml:space="preserve">Stationery &amp; Office Supplies</t>
  </si>
  <si>
    <t xml:space="preserve">Paper &amp; Notebooks</t>
  </si>
  <si>
    <t xml:space="preserve">A4 Paper Ream 500 sheets</t>
  </si>
  <si>
    <t xml:space="preserve">A4PRM</t>
  </si>
  <si>
    <t xml:space="preserve">Century Paper</t>
  </si>
  <si>
    <t xml:space="preserve">Century</t>
  </si>
  <si>
    <t xml:space="preserve">PK-1173</t>
  </si>
  <si>
    <t xml:space="preserve">Spiral Notebook A4</t>
  </si>
  <si>
    <t xml:space="preserve">SPNBA4</t>
  </si>
  <si>
    <t xml:space="preserve">Panda Stationers</t>
  </si>
  <si>
    <t xml:space="preserve">Panda</t>
  </si>
  <si>
    <t xml:space="preserve">PK-1174</t>
  </si>
  <si>
    <t xml:space="preserve">Register 200 pages</t>
  </si>
  <si>
    <t xml:space="preserve">REGSTR</t>
  </si>
  <si>
    <t xml:space="preserve">PK-1175</t>
  </si>
  <si>
    <t xml:space="preserve">Carbon Copy Book</t>
  </si>
  <si>
    <t xml:space="preserve">CRBNCPBK</t>
  </si>
  <si>
    <t xml:space="preserve">PK-1176</t>
  </si>
  <si>
    <t xml:space="preserve">Graph Paper 100 sheets</t>
  </si>
  <si>
    <t xml:space="preserve">GRPHP100</t>
  </si>
  <si>
    <t xml:space="preserve">PK-1177</t>
  </si>
  <si>
    <t xml:space="preserve">Sticky Notes Pad 100</t>
  </si>
  <si>
    <t xml:space="preserve">STKYNTS</t>
  </si>
  <si>
    <t xml:space="preserve">PK-1178</t>
  </si>
  <si>
    <t xml:space="preserve">Envelopes A4 Box 50</t>
  </si>
  <si>
    <t xml:space="preserve">ENVLA4</t>
  </si>
  <si>
    <t xml:space="preserve">PK-1179</t>
  </si>
  <si>
    <t xml:space="preserve">Writing Instruments</t>
  </si>
  <si>
    <t xml:space="preserve">Camlin Ballpen Box 10</t>
  </si>
  <si>
    <t xml:space="preserve">CMLBP10</t>
  </si>
  <si>
    <t xml:space="preserve">Camlin</t>
  </si>
  <si>
    <t xml:space="preserve">PK-1180</t>
  </si>
  <si>
    <t xml:space="preserve">Pilot Ballpen 0.7mm</t>
  </si>
  <si>
    <t xml:space="preserve">PLTBP07</t>
  </si>
  <si>
    <t xml:space="preserve">Pilot</t>
  </si>
  <si>
    <t xml:space="preserve">PK-1181</t>
  </si>
  <si>
    <t xml:space="preserve">Parker Pen Set</t>
  </si>
  <si>
    <t xml:space="preserve">PARKR</t>
  </si>
  <si>
    <t xml:space="preserve">Parker</t>
  </si>
  <si>
    <t xml:space="preserve">PK-1182</t>
  </si>
  <si>
    <t xml:space="preserve">Marker Set 10 colors</t>
  </si>
  <si>
    <t xml:space="preserve">MRKRST10</t>
  </si>
  <si>
    <t xml:space="preserve">PK-1183</t>
  </si>
  <si>
    <t xml:space="preserve">Highlighter Set 5pcs</t>
  </si>
  <si>
    <t xml:space="preserve">HLGHTST5</t>
  </si>
  <si>
    <t xml:space="preserve">Staedtler</t>
  </si>
  <si>
    <t xml:space="preserve">PK-1184</t>
  </si>
  <si>
    <t xml:space="preserve">Pencil HB Box 12</t>
  </si>
  <si>
    <t xml:space="preserve">PNCLHB12</t>
  </si>
  <si>
    <t xml:space="preserve">Steadler</t>
  </si>
  <si>
    <t xml:space="preserve">PK-1185</t>
  </si>
  <si>
    <t xml:space="preserve">Eraser Staedtler x2</t>
  </si>
  <si>
    <t xml:space="preserve">ERSRST</t>
  </si>
  <si>
    <t xml:space="preserve">PK-1186</t>
  </si>
  <si>
    <t xml:space="preserve">Office Equipment</t>
  </si>
  <si>
    <t xml:space="preserve">Stapler Full Strip</t>
  </si>
  <si>
    <t xml:space="preserve">STPLR</t>
  </si>
  <si>
    <t xml:space="preserve">Kangaro</t>
  </si>
  <si>
    <t xml:space="preserve">PK-1187</t>
  </si>
  <si>
    <t xml:space="preserve">Staples Box 1000</t>
  </si>
  <si>
    <t xml:space="preserve">STPLS1K</t>
  </si>
  <si>
    <t xml:space="preserve">PK-1188</t>
  </si>
  <si>
    <t xml:space="preserve">Hole Punch 2-Hole</t>
  </si>
  <si>
    <t xml:space="preserve">HLPNCH</t>
  </si>
  <si>
    <t xml:space="preserve">PK-1189</t>
  </si>
  <si>
    <t xml:space="preserve">Scissors Large</t>
  </si>
  <si>
    <t xml:space="preserve">SCSSRL</t>
  </si>
  <si>
    <t xml:space="preserve">Maped</t>
  </si>
  <si>
    <t xml:space="preserve">PK-1190</t>
  </si>
  <si>
    <t xml:space="preserve">Tape Dispenser</t>
  </si>
  <si>
    <t xml:space="preserve">TPDSPS</t>
  </si>
  <si>
    <t xml:space="preserve">PK-1191</t>
  </si>
  <si>
    <t xml:space="preserve">File Folder A4</t>
  </si>
  <si>
    <t xml:space="preserve">FLFDR</t>
  </si>
  <si>
    <t xml:space="preserve">PK-1192</t>
  </si>
  <si>
    <t xml:space="preserve">Binder Clip 25mm Box</t>
  </si>
  <si>
    <t xml:space="preserve">BNDCLP25</t>
  </si>
  <si>
    <t xml:space="preserve">PK-1193</t>
  </si>
  <si>
    <t xml:space="preserve">Whiteboard Marker Set 4</t>
  </si>
  <si>
    <t xml:space="preserve">WBMKR4</t>
  </si>
  <si>
    <t xml:space="preserve">PK-1194</t>
  </si>
  <si>
    <t xml:space="preserve">Calculator Scientific</t>
  </si>
  <si>
    <t xml:space="preserve">CALCSC</t>
  </si>
  <si>
    <t xml:space="preserve">Casio</t>
  </si>
  <si>
    <t xml:space="preserve">PK-1195</t>
  </si>
  <si>
    <t xml:space="preserve">Automobiles &amp; Accessories</t>
  </si>
  <si>
    <t xml:space="preserve">Engine &amp; Maintenance</t>
  </si>
  <si>
    <t xml:space="preserve">Castrol GTX 5W-30 4L</t>
  </si>
  <si>
    <t xml:space="preserve">CSTGTX4L</t>
  </si>
  <si>
    <t xml:space="preserve">Castrol Pakistan</t>
  </si>
  <si>
    <t xml:space="preserve">Castrol</t>
  </si>
  <si>
    <t xml:space="preserve">PK-1196</t>
  </si>
  <si>
    <t xml:space="preserve">Shell Helix 10W-40 4L</t>
  </si>
  <si>
    <t xml:space="preserve">SHHLX4L</t>
  </si>
  <si>
    <t xml:space="preserve">Shell Pakistan</t>
  </si>
  <si>
    <t xml:space="preserve">Shell</t>
  </si>
  <si>
    <t xml:space="preserve">PK-1197</t>
  </si>
  <si>
    <t xml:space="preserve">Total Quartz 5W-40 4L</t>
  </si>
  <si>
    <t xml:space="preserve">TTLQTZ4L</t>
  </si>
  <si>
    <t xml:space="preserve">Total Pakistan</t>
  </si>
  <si>
    <t xml:space="preserve">Total</t>
  </si>
  <si>
    <t xml:space="preserve">PK-1198</t>
  </si>
  <si>
    <t xml:space="preserve">NGK Spark Plug Set 4</t>
  </si>
  <si>
    <t xml:space="preserve">NGKSP4</t>
  </si>
  <si>
    <t xml:space="preserve">NGK Pakistan</t>
  </si>
  <si>
    <t xml:space="preserve">NGK</t>
  </si>
  <si>
    <t xml:space="preserve">PK-1199</t>
  </si>
  <si>
    <t xml:space="preserve">Bosch Oil Filter</t>
  </si>
  <si>
    <t xml:space="preserve">BSCHOFL</t>
  </si>
  <si>
    <t xml:space="preserve">PK-1200</t>
  </si>
  <si>
    <t xml:space="preserve">Air Filter Toyota Corolla</t>
  </si>
  <si>
    <t xml:space="preserve">AFRLYRC</t>
  </si>
  <si>
    <t xml:space="preserve">Local Compatible</t>
  </si>
  <si>
    <t xml:space="preserve">PK-1201</t>
  </si>
  <si>
    <t xml:space="preserve">Coolant 1L</t>
  </si>
  <si>
    <t xml:space="preserve">COOLNT1L</t>
  </si>
  <si>
    <t xml:space="preserve">PK-1202</t>
  </si>
  <si>
    <t xml:space="preserve">Brake Fluid DOT4 500ml</t>
  </si>
  <si>
    <t xml:space="preserve">BRFL500</t>
  </si>
  <si>
    <t xml:space="preserve">PK-1203</t>
  </si>
  <si>
    <t xml:space="preserve">Tyres &amp; Batteries</t>
  </si>
  <si>
    <t xml:space="preserve">General Tyre 175/70 R13</t>
  </si>
  <si>
    <t xml:space="preserve">GNLTYR</t>
  </si>
  <si>
    <t xml:space="preserve">General Tyre</t>
  </si>
  <si>
    <t xml:space="preserve">PK-1204</t>
  </si>
  <si>
    <t xml:space="preserve">Bridgestone 195/65 R15</t>
  </si>
  <si>
    <t xml:space="preserve">BRGSTN</t>
  </si>
  <si>
    <t xml:space="preserve">Bridgestone Pak</t>
  </si>
  <si>
    <t xml:space="preserve">Bridgestone</t>
  </si>
  <si>
    <t xml:space="preserve">PK-1205</t>
  </si>
  <si>
    <t xml:space="preserve">Volta Battery 55Ah</t>
  </si>
  <si>
    <t xml:space="preserve">VLTBT55</t>
  </si>
  <si>
    <t xml:space="preserve">Exide Pakistan</t>
  </si>
  <si>
    <t xml:space="preserve">Volta</t>
  </si>
  <si>
    <t xml:space="preserve">PK-1206</t>
  </si>
  <si>
    <t xml:space="preserve">Exide Battery 65Ah</t>
  </si>
  <si>
    <t xml:space="preserve">EXDBT65</t>
  </si>
  <si>
    <t xml:space="preserve">Exide</t>
  </si>
  <si>
    <t xml:space="preserve">PK-1207</t>
  </si>
  <si>
    <t xml:space="preserve">AGS Battery 40Ah</t>
  </si>
  <si>
    <t xml:space="preserve">AGSBT40</t>
  </si>
  <si>
    <t xml:space="preserve">AGS Pakistan</t>
  </si>
  <si>
    <t xml:space="preserve">AGS</t>
  </si>
  <si>
    <t xml:space="preserve">PK-1208</t>
  </si>
  <si>
    <t xml:space="preserve">Car Accessories</t>
  </si>
  <si>
    <t xml:space="preserve">Car Floor Mat Set 5pc</t>
  </si>
  <si>
    <t xml:space="preserve">CFMTS5</t>
  </si>
  <si>
    <t xml:space="preserve">Autozone</t>
  </si>
  <si>
    <t xml:space="preserve">PK-1209</t>
  </si>
  <si>
    <t xml:space="preserve">Car Seat Cover Full Set</t>
  </si>
  <si>
    <t xml:space="preserve">CSCSFT</t>
  </si>
  <si>
    <t xml:space="preserve">PK-1210</t>
  </si>
  <si>
    <t xml:space="preserve">Car Charger USB Dual</t>
  </si>
  <si>
    <t xml:space="preserve">CCHRG</t>
  </si>
  <si>
    <t xml:space="preserve">PK-1211</t>
  </si>
  <si>
    <t xml:space="preserve">Air Freshener</t>
  </si>
  <si>
    <t xml:space="preserve">ARFRSH</t>
  </si>
  <si>
    <t xml:space="preserve">Little Trees</t>
  </si>
  <si>
    <t xml:space="preserve">PK-1212</t>
  </si>
  <si>
    <t xml:space="preserve">Windshield Wipers Set</t>
  </si>
  <si>
    <t xml:space="preserve">WNSHWP</t>
  </si>
  <si>
    <t xml:space="preserve">PK-1213</t>
  </si>
  <si>
    <t xml:space="preserve">Parking Sensor Kit</t>
  </si>
  <si>
    <t xml:space="preserve">PRKSNS</t>
  </si>
  <si>
    <t xml:space="preserve">PK-1214</t>
  </si>
  <si>
    <t xml:space="preserve">Dashcam 1080p</t>
  </si>
  <si>
    <t xml:space="preserve">DSHCM</t>
  </si>
  <si>
    <t xml:space="preserve">SUPPLIER MASTER — AL-NOOR TRADING COMPANY</t>
  </si>
  <si>
    <t xml:space="preserve">Supplier ID</t>
  </si>
  <si>
    <t xml:space="preserve">Supplier Name</t>
  </si>
  <si>
    <t xml:space="preserve">Contact Person</t>
  </si>
  <si>
    <t xml:space="preserve">Phone</t>
  </si>
  <si>
    <t xml:space="preserve">Email</t>
  </si>
  <si>
    <t xml:space="preserve">City</t>
  </si>
  <si>
    <t xml:space="preserve">Credit Terms (Days)</t>
  </si>
  <si>
    <t xml:space="preserve">Credit Limit (PKR)</t>
  </si>
  <si>
    <t xml:space="preserve">SUP-001</t>
  </si>
  <si>
    <t xml:space="preserve">Electronics</t>
  </si>
  <si>
    <t xml:space="preserve">Ahmed Khan</t>
  </si>
  <si>
    <t xml:space="preserve">0300-1234567</t>
  </si>
  <si>
    <t xml:space="preserve">ahmed@techhub.pk</t>
  </si>
  <si>
    <t xml:space="preserve">Lahore</t>
  </si>
  <si>
    <t xml:space="preserve">SUP-002</t>
  </si>
  <si>
    <t xml:space="preserve">Sara Ali</t>
  </si>
  <si>
    <t xml:space="preserve">0321-2345678</t>
  </si>
  <si>
    <t xml:space="preserve">sara@iworld.pk</t>
  </si>
  <si>
    <t xml:space="preserve">Karachi</t>
  </si>
  <si>
    <t xml:space="preserve">SUP-003</t>
  </si>
  <si>
    <t xml:space="preserve">Bilal Malik</t>
  </si>
  <si>
    <t xml:space="preserve">0333-3456789</t>
  </si>
  <si>
    <t xml:space="preserve">bilal@vivo.pk</t>
  </si>
  <si>
    <t xml:space="preserve">SUP-004</t>
  </si>
  <si>
    <t xml:space="preserve">Zain Raza</t>
  </si>
  <si>
    <t xml:space="preserve">0345-4567890</t>
  </si>
  <si>
    <t xml:space="preserve">zain@oppo.pk</t>
  </si>
  <si>
    <t xml:space="preserve">Islamabad</t>
  </si>
  <si>
    <t xml:space="preserve">SUP-005</t>
  </si>
  <si>
    <t xml:space="preserve">Ayesha Butt</t>
  </si>
  <si>
    <t xml:space="preserve">0301-5678901</t>
  </si>
  <si>
    <t xml:space="preserve">ayesha@realme.pk</t>
  </si>
  <si>
    <t xml:space="preserve">SUP-006</t>
  </si>
  <si>
    <t xml:space="preserve">Kamran Iqbal</t>
  </si>
  <si>
    <t xml:space="preserve">0311-6789012</t>
  </si>
  <si>
    <t xml:space="preserve">kamran@xiaomi.pk</t>
  </si>
  <si>
    <t xml:space="preserve">SUP-007</t>
  </si>
  <si>
    <t xml:space="preserve">Computers</t>
  </si>
  <si>
    <t xml:space="preserve">Sobia Hashmi</t>
  </si>
  <si>
    <t xml:space="preserve">0321-7890123</t>
  </si>
  <si>
    <t xml:space="preserve">sobia@dell.pk</t>
  </si>
  <si>
    <t xml:space="preserve">SUP-008</t>
  </si>
  <si>
    <t xml:space="preserve">Asif Mehmood</t>
  </si>
  <si>
    <t xml:space="preserve">0333-8901234</t>
  </si>
  <si>
    <t xml:space="preserve">asif@hp.pk</t>
  </si>
  <si>
    <t xml:space="preserve">SUP-009</t>
  </si>
  <si>
    <t xml:space="preserve">Rabia Noor</t>
  </si>
  <si>
    <t xml:space="preserve">0300-9012345</t>
  </si>
  <si>
    <t xml:space="preserve">rabia@lenovo.pk</t>
  </si>
  <si>
    <t xml:space="preserve">SUP-010</t>
  </si>
  <si>
    <t xml:space="preserve">Tariq Javed</t>
  </si>
  <si>
    <t xml:space="preserve">0321-0123456</t>
  </si>
  <si>
    <t xml:space="preserve">tariq@asus.pk</t>
  </si>
  <si>
    <t xml:space="preserve">SUP-011</t>
  </si>
  <si>
    <t xml:space="preserve">Hina Shah</t>
  </si>
  <si>
    <t xml:space="preserve">0345-1234567</t>
  </si>
  <si>
    <t xml:space="preserve">hina@acer.pk</t>
  </si>
  <si>
    <t xml:space="preserve">SUP-012</t>
  </si>
  <si>
    <t xml:space="preserve">Usman Ghani</t>
  </si>
  <si>
    <t xml:space="preserve">0301-2345678</t>
  </si>
  <si>
    <t xml:space="preserve">usman@tcl.pk</t>
  </si>
  <si>
    <t xml:space="preserve">SUP-013</t>
  </si>
  <si>
    <t xml:space="preserve">Appliances</t>
  </si>
  <si>
    <t xml:space="preserve">Mehwish Arif</t>
  </si>
  <si>
    <t xml:space="preserve">0311-3456789</t>
  </si>
  <si>
    <t xml:space="preserve">mehwish@haier.pk</t>
  </si>
  <si>
    <t xml:space="preserve">SUP-014</t>
  </si>
  <si>
    <t xml:space="preserve">Faisal Qureshi</t>
  </si>
  <si>
    <t xml:space="preserve">0333-4567890</t>
  </si>
  <si>
    <t xml:space="preserve">faisal@dawlance.pk</t>
  </si>
  <si>
    <t xml:space="preserve">SUP-015</t>
  </si>
  <si>
    <t xml:space="preserve">Nadia Waseem</t>
  </si>
  <si>
    <t xml:space="preserve">0300-5678901</t>
  </si>
  <si>
    <t xml:space="preserve">nadia@pel.pk</t>
  </si>
  <si>
    <t xml:space="preserve">SUP-016</t>
  </si>
  <si>
    <t xml:space="preserve">Rizwan Baig</t>
  </si>
  <si>
    <t xml:space="preserve">0321-6789012</t>
  </si>
  <si>
    <t xml:space="preserve">rizwan@orient.pk</t>
  </si>
  <si>
    <t xml:space="preserve">SUP-017</t>
  </si>
  <si>
    <t xml:space="preserve">Shahida Pervez</t>
  </si>
  <si>
    <t xml:space="preserve">0345-7890123</t>
  </si>
  <si>
    <t xml:space="preserve">shahida@lg.pk</t>
  </si>
  <si>
    <t xml:space="preserve">SUP-018</t>
  </si>
  <si>
    <t xml:space="preserve">Hamza Tariq</t>
  </si>
  <si>
    <t xml:space="preserve">0301-8901234</t>
  </si>
  <si>
    <t xml:space="preserve">hamza@sony.pk</t>
  </si>
  <si>
    <t xml:space="preserve">SUP-019</t>
  </si>
  <si>
    <t xml:space="preserve">Grocery</t>
  </si>
  <si>
    <t xml:space="preserve">Abdul Rehman</t>
  </si>
  <si>
    <t xml:space="preserve">0311-9012345</t>
  </si>
  <si>
    <t xml:space="preserve">ar@falak.pk</t>
  </si>
  <si>
    <t xml:space="preserve">SUP-020</t>
  </si>
  <si>
    <t xml:space="preserve">Razia Sultana</t>
  </si>
  <si>
    <t xml:space="preserve">0333-0123456</t>
  </si>
  <si>
    <t xml:space="preserve">razia@sunridge.pk</t>
  </si>
  <si>
    <t xml:space="preserve">SUP-021</t>
  </si>
  <si>
    <t xml:space="preserve">Saadat Ali</t>
  </si>
  <si>
    <t xml:space="preserve">0300-1234568</t>
  </si>
  <si>
    <t xml:space="preserve">saadat@national.pk</t>
  </si>
  <si>
    <t xml:space="preserve">SUP-022</t>
  </si>
  <si>
    <t xml:space="preserve">Munazza Begum</t>
  </si>
  <si>
    <t xml:space="preserve">0321-2345679</t>
  </si>
  <si>
    <t xml:space="preserve">munazza@shan.pk</t>
  </si>
  <si>
    <t xml:space="preserve">SUP-023</t>
  </si>
  <si>
    <t xml:space="preserve">Irfan Hussain</t>
  </si>
  <si>
    <t xml:space="preserve">0345-3456780</t>
  </si>
  <si>
    <t xml:space="preserve">irfan@dalda.pk</t>
  </si>
  <si>
    <t xml:space="preserve">SUP-024</t>
  </si>
  <si>
    <t xml:space="preserve">Roohi Fatima</t>
  </si>
  <si>
    <t xml:space="preserve">0301-4567891</t>
  </si>
  <si>
    <t xml:space="preserve">roohi@mehran.pk</t>
  </si>
  <si>
    <t xml:space="preserve">SUP-025</t>
  </si>
  <si>
    <t xml:space="preserve">FMCG</t>
  </si>
  <si>
    <t xml:space="preserve">Zubair Ahmed</t>
  </si>
  <si>
    <t xml:space="preserve">0311-5678902</t>
  </si>
  <si>
    <t xml:space="preserve">zubair@nestle.pk</t>
  </si>
  <si>
    <t xml:space="preserve">SUP-026</t>
  </si>
  <si>
    <t xml:space="preserve">Sidra Malik</t>
  </si>
  <si>
    <t xml:space="preserve">0333-6789013</t>
  </si>
  <si>
    <t xml:space="preserve">sidra@unilever.pk</t>
  </si>
  <si>
    <t xml:space="preserve">SUP-027</t>
  </si>
  <si>
    <t xml:space="preserve">Nouman Siddiqui</t>
  </si>
  <si>
    <t xml:space="preserve">0300-7890124</t>
  </si>
  <si>
    <t xml:space="preserve">nouman@pg.pk</t>
  </si>
  <si>
    <t xml:space="preserve">SUP-028</t>
  </si>
  <si>
    <t xml:space="preserve">Ambreen Riaz</t>
  </si>
  <si>
    <t xml:space="preserve">0321-8901235</t>
  </si>
  <si>
    <t xml:space="preserve">ambreen@reckitt.pk</t>
  </si>
  <si>
    <t xml:space="preserve">SUP-029</t>
  </si>
  <si>
    <t xml:space="preserve">Khurram Shah</t>
  </si>
  <si>
    <t xml:space="preserve">0345-9012346</t>
  </si>
  <si>
    <t xml:space="preserve">khurram@tapal.pk</t>
  </si>
  <si>
    <t xml:space="preserve">SUP-030</t>
  </si>
  <si>
    <t xml:space="preserve">Zubaida Begum</t>
  </si>
  <si>
    <t xml:space="preserve">0301-0123457</t>
  </si>
  <si>
    <t xml:space="preserve">zubaida@hamdard.pk</t>
  </si>
  <si>
    <t xml:space="preserve">SUP-031</t>
  </si>
  <si>
    <t xml:space="preserve">Dairy</t>
  </si>
  <si>
    <t xml:space="preserve">Imran Waheed</t>
  </si>
  <si>
    <t xml:space="preserve">0311-1234568</t>
  </si>
  <si>
    <t xml:space="preserve">imran@fclpk.pk</t>
  </si>
  <si>
    <t xml:space="preserve">SUP-032</t>
  </si>
  <si>
    <t xml:space="preserve">Samina Chaudhry</t>
  </si>
  <si>
    <t xml:space="preserve">0333-2345679</t>
  </si>
  <si>
    <t xml:space="preserve">samina@haleeb.pk</t>
  </si>
  <si>
    <t xml:space="preserve">SUP-033</t>
  </si>
  <si>
    <t xml:space="preserve">KNs Pakistan</t>
  </si>
  <si>
    <t xml:space="preserve">Frozen Foods</t>
  </si>
  <si>
    <t xml:space="preserve">Danish Mirza</t>
  </si>
  <si>
    <t xml:space="preserve">0300-3456780</t>
  </si>
  <si>
    <t xml:space="preserve">danish@kns.pk</t>
  </si>
  <si>
    <t xml:space="preserve">SUP-034</t>
  </si>
  <si>
    <t xml:space="preserve">Food</t>
  </si>
  <si>
    <t xml:space="preserve">Sana Rehman</t>
  </si>
  <si>
    <t xml:space="preserve">0321-4567891</t>
  </si>
  <si>
    <t xml:space="preserve">sana@dawn.pk</t>
  </si>
  <si>
    <t xml:space="preserve">SUP-035</t>
  </si>
  <si>
    <t xml:space="preserve">Textiles</t>
  </si>
  <si>
    <t xml:space="preserve">Farida Hanif</t>
  </si>
  <si>
    <t xml:space="preserve">0345-5678902</t>
  </si>
  <si>
    <t xml:space="preserve">farida@gulahmad.pk</t>
  </si>
  <si>
    <t xml:space="preserve">SUP-036</t>
  </si>
  <si>
    <t xml:space="preserve">Amina Qureshi</t>
  </si>
  <si>
    <t xml:space="preserve">0301-6789013</t>
  </si>
  <si>
    <t xml:space="preserve">amina@khaadi.pk</t>
  </si>
  <si>
    <t xml:space="preserve">SUP-037</t>
  </si>
  <si>
    <t xml:space="preserve">Sabiha Yousuf</t>
  </si>
  <si>
    <t xml:space="preserve">0311-7890124</t>
  </si>
  <si>
    <t xml:space="preserve">sabiha@sanasafinaz.pk</t>
  </si>
  <si>
    <t xml:space="preserve">SUP-038</t>
  </si>
  <si>
    <t xml:space="preserve">Shakeel Baig</t>
  </si>
  <si>
    <t xml:space="preserve">0333-8901235</t>
  </si>
  <si>
    <t xml:space="preserve">shakeel@nishat.pk</t>
  </si>
  <si>
    <t xml:space="preserve">SUP-039</t>
  </si>
  <si>
    <t xml:space="preserve">J (Junaid Jamshed)</t>
  </si>
  <si>
    <t xml:space="preserve">Humera Ashraf</t>
  </si>
  <si>
    <t xml:space="preserve">0300-9012346</t>
  </si>
  <si>
    <t xml:space="preserve">humera@junaidjamshed.pk</t>
  </si>
  <si>
    <t xml:space="preserve">SUP-040</t>
  </si>
  <si>
    <t xml:space="preserve">Waqas Hassan</t>
  </si>
  <si>
    <t xml:space="preserve">0321-0123457</t>
  </si>
  <si>
    <t xml:space="preserve">waqas@bata.pk</t>
  </si>
  <si>
    <t xml:space="preserve">SUP-041</t>
  </si>
  <si>
    <t xml:space="preserve">Rukhsana Khatun</t>
  </si>
  <si>
    <t xml:space="preserve">0345-1234568</t>
  </si>
  <si>
    <t xml:space="preserve">rukhsana@servis.pk</t>
  </si>
  <si>
    <t xml:space="preserve">SUP-042</t>
  </si>
  <si>
    <t xml:space="preserve">Construction</t>
  </si>
  <si>
    <t xml:space="preserve">Asad Ullah</t>
  </si>
  <si>
    <t xml:space="preserve">0301-2345679</t>
  </si>
  <si>
    <t xml:space="preserve">asad@dgkcement.pk</t>
  </si>
  <si>
    <t xml:space="preserve">SUP-043</t>
  </si>
  <si>
    <t xml:space="preserve">Shahbaz Khan</t>
  </si>
  <si>
    <t xml:space="preserve">0311-3456780</t>
  </si>
  <si>
    <t xml:space="preserve">shahbaz@lucky.pk</t>
  </si>
  <si>
    <t xml:space="preserve">SUP-044</t>
  </si>
  <si>
    <t xml:space="preserve">Paints</t>
  </si>
  <si>
    <t xml:space="preserve">Nasreen Akhtar</t>
  </si>
  <si>
    <t xml:space="preserve">0333-4567891</t>
  </si>
  <si>
    <t xml:space="preserve">nasreen@ici.pk</t>
  </si>
  <si>
    <t xml:space="preserve">SUP-045</t>
  </si>
  <si>
    <t xml:space="preserve">Kashif Rana</t>
  </si>
  <si>
    <t xml:space="preserve">0300-5678902</t>
  </si>
  <si>
    <t xml:space="preserve">kashif@berger.pk</t>
  </si>
  <si>
    <t xml:space="preserve">SUP-046</t>
  </si>
  <si>
    <t xml:space="preserve">Pervez Amjad</t>
  </si>
  <si>
    <t xml:space="preserve">0321-6789013</t>
  </si>
  <si>
    <t xml:space="preserve">pervez@amreli.pk</t>
  </si>
  <si>
    <t xml:space="preserve">SUP-047</t>
  </si>
  <si>
    <t xml:space="preserve">Electrical</t>
  </si>
  <si>
    <t xml:space="preserve">Iqbal Chaudhry</t>
  </si>
  <si>
    <t xml:space="preserve">0345-7890124</t>
  </si>
  <si>
    <t xml:space="preserve">iqbal@pakcables.pk</t>
  </si>
  <si>
    <t xml:space="preserve">SUP-048</t>
  </si>
  <si>
    <t xml:space="preserve">Tahira Naz</t>
  </si>
  <si>
    <t xml:space="preserve">0301-8901235</t>
  </si>
  <si>
    <t xml:space="preserve">tahira@siemens.pk</t>
  </si>
  <si>
    <t xml:space="preserve">SUP-049</t>
  </si>
  <si>
    <t xml:space="preserve">Lighting</t>
  </si>
  <si>
    <t xml:space="preserve">Raza Hussain</t>
  </si>
  <si>
    <t xml:space="preserve">0311-9012346</t>
  </si>
  <si>
    <t xml:space="preserve">raza@philips.pk</t>
  </si>
  <si>
    <t xml:space="preserve">SUP-050</t>
  </si>
  <si>
    <t xml:space="preserve">Pharma</t>
  </si>
  <si>
    <t xml:space="preserve">Nargis Khanam</t>
  </si>
  <si>
    <t xml:space="preserve">0333-0123457</t>
  </si>
  <si>
    <t xml:space="preserve">nargis@gsk.pk</t>
  </si>
  <si>
    <t xml:space="preserve">SUP-051</t>
  </si>
  <si>
    <t xml:space="preserve">Shafiq Ahmed</t>
  </si>
  <si>
    <t xml:space="preserve">0300-1234569</t>
  </si>
  <si>
    <t xml:space="preserve">shafiq@abbott.pk</t>
  </si>
  <si>
    <t xml:space="preserve">SUP-052</t>
  </si>
  <si>
    <t xml:space="preserve">Tools</t>
  </si>
  <si>
    <t xml:space="preserve">Khalid Mahmood</t>
  </si>
  <si>
    <t xml:space="preserve">0321-2345680</t>
  </si>
  <si>
    <t xml:space="preserve">khalid@bosch.pk</t>
  </si>
  <si>
    <t xml:space="preserve">SUP-053</t>
  </si>
  <si>
    <t xml:space="preserve">Aftab Hussain</t>
  </si>
  <si>
    <t xml:space="preserve">0345-3456781</t>
  </si>
  <si>
    <t xml:space="preserve">aftab@stanley.pk</t>
  </si>
  <si>
    <t xml:space="preserve">SUP-054</t>
  </si>
  <si>
    <t xml:space="preserve">Auto</t>
  </si>
  <si>
    <t xml:space="preserve">Farhan Zafar</t>
  </si>
  <si>
    <t xml:space="preserve">0301-4567892</t>
  </si>
  <si>
    <t xml:space="preserve">farhan@castrol.pk</t>
  </si>
  <si>
    <t xml:space="preserve">SUP-055</t>
  </si>
  <si>
    <t xml:space="preserve">Raheela Bibi</t>
  </si>
  <si>
    <t xml:space="preserve">0311-5678903</t>
  </si>
  <si>
    <t xml:space="preserve">raheela@shell.pk</t>
  </si>
  <si>
    <t xml:space="preserve">SUP-056</t>
  </si>
  <si>
    <t xml:space="preserve">Sohail Mirza</t>
  </si>
  <si>
    <t xml:space="preserve">0333-6789014</t>
  </si>
  <si>
    <t xml:space="preserve">sohail@gentyre.pk</t>
  </si>
  <si>
    <t xml:space="preserve">SUP-057</t>
  </si>
  <si>
    <t xml:space="preserve">Parveen Akhtar</t>
  </si>
  <si>
    <t xml:space="preserve">0300-7890125</t>
  </si>
  <si>
    <t xml:space="preserve">parveen@exide.pk</t>
  </si>
  <si>
    <t xml:space="preserve">SUP-058</t>
  </si>
  <si>
    <t xml:space="preserve">Stationery</t>
  </si>
  <si>
    <t xml:space="preserve">Waqar Ali</t>
  </si>
  <si>
    <t xml:space="preserve">0321-8901236</t>
  </si>
  <si>
    <t xml:space="preserve">waqar@panda.pk</t>
  </si>
  <si>
    <t xml:space="preserve">SUP-059</t>
  </si>
  <si>
    <t xml:space="preserve">Lubna Rafiq</t>
  </si>
  <si>
    <t xml:space="preserve">0345-9012347</t>
  </si>
  <si>
    <t xml:space="preserve">lubna@3m.pk</t>
  </si>
  <si>
    <t xml:space="preserve">SUP-060</t>
  </si>
  <si>
    <t xml:space="preserve">Casio Pakistan</t>
  </si>
  <si>
    <t xml:space="preserve">Tariq Bashir</t>
  </si>
  <si>
    <t xml:space="preserve">0301-0123458</t>
  </si>
  <si>
    <t xml:space="preserve">tariq@casio.pk</t>
  </si>
  <si>
    <t xml:space="preserve">CUSTOMER MASTER — AL-NOOR TRADING COMPANY</t>
  </si>
  <si>
    <t xml:space="preserve">Customer ID</t>
  </si>
  <si>
    <t xml:space="preserve">Customer Name</t>
  </si>
  <si>
    <t xml:space="preserve">Type</t>
  </si>
  <si>
    <t xml:space="preserve">Address</t>
  </si>
  <si>
    <t xml:space="preserve">Total Purchases (PKR)</t>
  </si>
  <si>
    <t xml:space="preserve">CUST-001</t>
  </si>
  <si>
    <t xml:space="preserve">Malik General Store</t>
  </si>
  <si>
    <t xml:space="preserve">Retail</t>
  </si>
  <si>
    <t xml:space="preserve">0300-1111001</t>
  </si>
  <si>
    <t xml:space="preserve">malik.store@gmail.com</t>
  </si>
  <si>
    <t xml:space="preserve">Shop 5, Hall Road, Lahore</t>
  </si>
  <si>
    <t xml:space="preserve">CUST-002</t>
  </si>
  <si>
    <t xml:space="preserve">Ahmed Electronics</t>
  </si>
  <si>
    <t xml:space="preserve">Wholesale</t>
  </si>
  <si>
    <t xml:space="preserve">0321-2222002</t>
  </si>
  <si>
    <t xml:space="preserve">ahmed.elec@gmail.com</t>
  </si>
  <si>
    <t xml:space="preserve">Plot 12, Brandreth Road</t>
  </si>
  <si>
    <t xml:space="preserve">CUST-003</t>
  </si>
  <si>
    <t xml:space="preserve">City Supermarket</t>
  </si>
  <si>
    <t xml:space="preserve">0333-3333003</t>
  </si>
  <si>
    <t xml:space="preserve">city.super@gmail.com</t>
  </si>
  <si>
    <t xml:space="preserve">Main Boulevard, Gulberg</t>
  </si>
  <si>
    <t xml:space="preserve">CUST-004</t>
  </si>
  <si>
    <t xml:space="preserve">Punjab Traders</t>
  </si>
  <si>
    <t xml:space="preserve">0345-4444004</t>
  </si>
  <si>
    <t xml:space="preserve">punjab.traders@hotmail.com</t>
  </si>
  <si>
    <t xml:space="preserve">Anarkali Bazaar, Lahore</t>
  </si>
  <si>
    <t xml:space="preserve">CUST-005</t>
  </si>
  <si>
    <t xml:space="preserve">Karachi Distributors</t>
  </si>
  <si>
    <t xml:space="preserve">Distributor</t>
  </si>
  <si>
    <t xml:space="preserve">0301-5555005</t>
  </si>
  <si>
    <t xml:space="preserve">khi.dist@gmail.com</t>
  </si>
  <si>
    <t xml:space="preserve">Saddar, Karachi</t>
  </si>
  <si>
    <t xml:space="preserve">CUST-006</t>
  </si>
  <si>
    <t xml:space="preserve">Islamabad Stores</t>
  </si>
  <si>
    <t xml:space="preserve">0311-6666006</t>
  </si>
  <si>
    <t xml:space="preserve">isb.stores@gmail.com</t>
  </si>
  <si>
    <t xml:space="preserve">F-10 Markaz, Islamabad</t>
  </si>
  <si>
    <t xml:space="preserve">CUST-007</t>
  </si>
  <si>
    <t xml:space="preserve">Al-Fatah Department Store</t>
  </si>
  <si>
    <t xml:space="preserve">Corporate</t>
  </si>
  <si>
    <t xml:space="preserve">0333-7777007</t>
  </si>
  <si>
    <t xml:space="preserve">alfatah@gmail.com</t>
  </si>
  <si>
    <t xml:space="preserve">Mall Road, Lahore</t>
  </si>
  <si>
    <t xml:space="preserve">CUST-008</t>
  </si>
  <si>
    <t xml:space="preserve">Imtiaz Super Market</t>
  </si>
  <si>
    <t xml:space="preserve">0300-8888008</t>
  </si>
  <si>
    <t xml:space="preserve">imtiaz.super@gmail.com</t>
  </si>
  <si>
    <t xml:space="preserve">Bahadurabad, Karachi</t>
  </si>
  <si>
    <t xml:space="preserve">CUST-009</t>
  </si>
  <si>
    <t xml:space="preserve">Rawalpindi Wholesale</t>
  </si>
  <si>
    <t xml:space="preserve">0321-9999009</t>
  </si>
  <si>
    <t xml:space="preserve">rwp.whole@gmail.com</t>
  </si>
  <si>
    <t xml:space="preserve">Rawalpindi</t>
  </si>
  <si>
    <t xml:space="preserve">Raja Bazaar, Rawalpindi</t>
  </si>
  <si>
    <t xml:space="preserve">CUST-010</t>
  </si>
  <si>
    <t xml:space="preserve">Faisalabad Cloth Merchant</t>
  </si>
  <si>
    <t xml:space="preserve">0345-1010010</t>
  </si>
  <si>
    <t xml:space="preserve">fsd.cloth@gmail.com</t>
  </si>
  <si>
    <t xml:space="preserve">Faisalabad</t>
  </si>
  <si>
    <t xml:space="preserve">Clock Tower, Faisalabad</t>
  </si>
  <si>
    <t xml:space="preserve">CUST-011</t>
  </si>
  <si>
    <t xml:space="preserve">Imran Khan Enterprises</t>
  </si>
  <si>
    <t xml:space="preserve">0302-2719583</t>
  </si>
  <si>
    <t xml:space="preserve">imran.khan@gmail.com</t>
  </si>
  <si>
    <t xml:space="preserve">Street 6, Rawalpindi</t>
  </si>
  <si>
    <t xml:space="preserve">CUST-012</t>
  </si>
  <si>
    <t xml:space="preserve">Sobia Ali General Store</t>
  </si>
  <si>
    <t xml:space="preserve">0303-4903402</t>
  </si>
  <si>
    <t xml:space="preserve">sobia.ali@gmail.com</t>
  </si>
  <si>
    <t xml:space="preserve">Street 36, Karachi</t>
  </si>
  <si>
    <t xml:space="preserve">CUST-013</t>
  </si>
  <si>
    <t xml:space="preserve">Bilal Qureshi Pvt Ltd</t>
  </si>
  <si>
    <t xml:space="preserve">0307-5667265</t>
  </si>
  <si>
    <t xml:space="preserve">bilal.qureshi@gmail.com</t>
  </si>
  <si>
    <t xml:space="preserve">Street 45, Rawalpindi</t>
  </si>
  <si>
    <t xml:space="preserve">CUST-014</t>
  </si>
  <si>
    <t xml:space="preserve">Sara Hussain Enterprises</t>
  </si>
  <si>
    <t xml:space="preserve">0305-2714803</t>
  </si>
  <si>
    <t xml:space="preserve">sara.hussain@gmail.com</t>
  </si>
  <si>
    <t xml:space="preserve">Street 7, Rawalpindi</t>
  </si>
  <si>
    <t xml:space="preserve">CUST-015</t>
  </si>
  <si>
    <t xml:space="preserve">Shahid Hussain &amp; Co</t>
  </si>
  <si>
    <t xml:space="preserve">0307-9996414</t>
  </si>
  <si>
    <t xml:space="preserve">shahid.hussain@gmail.com</t>
  </si>
  <si>
    <t xml:space="preserve">Street 6, Lahore</t>
  </si>
  <si>
    <t xml:space="preserve">CUST-016</t>
  </si>
  <si>
    <t xml:space="preserve">Rabia Shah &amp; Co</t>
  </si>
  <si>
    <t xml:space="preserve">0303-2166941</t>
  </si>
  <si>
    <t xml:space="preserve">rabia.shah@gmail.com</t>
  </si>
  <si>
    <t xml:space="preserve">Gujranwala</t>
  </si>
  <si>
    <t xml:space="preserve">Street 50, Gujranwala</t>
  </si>
  <si>
    <t xml:space="preserve">CUST-017</t>
  </si>
  <si>
    <t xml:space="preserve">Faisal Malik Distributors</t>
  </si>
  <si>
    <t xml:space="preserve">0304-8606962</t>
  </si>
  <si>
    <t xml:space="preserve">faisal.malik@gmail.com</t>
  </si>
  <si>
    <t xml:space="preserve">Peshawar</t>
  </si>
  <si>
    <t xml:space="preserve">Street 11, Peshawar</t>
  </si>
  <si>
    <t xml:space="preserve">CUST-018</t>
  </si>
  <si>
    <t xml:space="preserve">Shahid Hussain Distributors</t>
  </si>
  <si>
    <t xml:space="preserve">0309-3871230</t>
  </si>
  <si>
    <t xml:space="preserve">Street 11, Karachi</t>
  </si>
  <si>
    <t xml:space="preserve">CUST-019</t>
  </si>
  <si>
    <t xml:space="preserve">Sana Ali Enterprises</t>
  </si>
  <si>
    <t xml:space="preserve">0300-4842788</t>
  </si>
  <si>
    <t xml:space="preserve">sana.ali@gmail.com</t>
  </si>
  <si>
    <t xml:space="preserve">Multan</t>
  </si>
  <si>
    <t xml:space="preserve">Street 26, Multan</t>
  </si>
  <si>
    <t xml:space="preserve">CUST-020</t>
  </si>
  <si>
    <t xml:space="preserve">Usman Malik Distributors</t>
  </si>
  <si>
    <t xml:space="preserve">0307-7637601</t>
  </si>
  <si>
    <t xml:space="preserve">usman.malik@gmail.com</t>
  </si>
  <si>
    <t xml:space="preserve">Street 10, Rawalpindi</t>
  </si>
  <si>
    <t xml:space="preserve">CUST-021</t>
  </si>
  <si>
    <t xml:space="preserve">Usman Butt Distributors</t>
  </si>
  <si>
    <t xml:space="preserve">0306-7700828</t>
  </si>
  <si>
    <t xml:space="preserve">usman.butt@gmail.com</t>
  </si>
  <si>
    <t xml:space="preserve">Street 9, Gujranwala</t>
  </si>
  <si>
    <t xml:space="preserve">CUST-022</t>
  </si>
  <si>
    <t xml:space="preserve">Nadia Iqbal Traders</t>
  </si>
  <si>
    <t xml:space="preserve">0302-3684052</t>
  </si>
  <si>
    <t xml:space="preserve">nadia.iqbal@gmail.com</t>
  </si>
  <si>
    <t xml:space="preserve">Street 39, Karachi</t>
  </si>
  <si>
    <t xml:space="preserve">CUST-023</t>
  </si>
  <si>
    <t xml:space="preserve">Hassan Ali Sons</t>
  </si>
  <si>
    <t xml:space="preserve">0304-1192619</t>
  </si>
  <si>
    <t xml:space="preserve">hassan.ali@gmail.com</t>
  </si>
  <si>
    <t xml:space="preserve">Sialkot</t>
  </si>
  <si>
    <t xml:space="preserve">Street 44, Sialkot</t>
  </si>
  <si>
    <t xml:space="preserve">CUST-024</t>
  </si>
  <si>
    <t xml:space="preserve">Rabia Shah Brothers</t>
  </si>
  <si>
    <t xml:space="preserve">0306-3653446</t>
  </si>
  <si>
    <t xml:space="preserve">Street 47, Faisalabad</t>
  </si>
  <si>
    <t xml:space="preserve">CUST-025</t>
  </si>
  <si>
    <t xml:space="preserve">Usman Rehman Merchants</t>
  </si>
  <si>
    <t xml:space="preserve">0308-4337174</t>
  </si>
  <si>
    <t xml:space="preserve">usman.rehman@gmail.com</t>
  </si>
  <si>
    <t xml:space="preserve">Street 49, Faisalabad</t>
  </si>
  <si>
    <t xml:space="preserve">CUST-026</t>
  </si>
  <si>
    <t xml:space="preserve">Tariq Rehman Pvt Ltd</t>
  </si>
  <si>
    <t xml:space="preserve">0305-9197443</t>
  </si>
  <si>
    <t xml:space="preserve">tariq.rehman@gmail.com</t>
  </si>
  <si>
    <t xml:space="preserve">Street 24, Gujranwala</t>
  </si>
  <si>
    <t xml:space="preserve">CUST-027</t>
  </si>
  <si>
    <t xml:space="preserve">Faisal Raza General Store</t>
  </si>
  <si>
    <t xml:space="preserve">0301-2437026</t>
  </si>
  <si>
    <t xml:space="preserve">faisal.raza@gmail.com</t>
  </si>
  <si>
    <t xml:space="preserve">Street 5, Gujranwala</t>
  </si>
  <si>
    <t xml:space="preserve">CUST-028</t>
  </si>
  <si>
    <t xml:space="preserve">Rabia Butt Merchants</t>
  </si>
  <si>
    <t xml:space="preserve">0302-5446912</t>
  </si>
  <si>
    <t xml:space="preserve">rabia.butt@gmail.com</t>
  </si>
  <si>
    <t xml:space="preserve">Street 14, Sialkot</t>
  </si>
  <si>
    <t xml:space="preserve">CUST-029</t>
  </si>
  <si>
    <t xml:space="preserve">Rabia Qureshi Distributors</t>
  </si>
  <si>
    <t xml:space="preserve">0305-8350099</t>
  </si>
  <si>
    <t xml:space="preserve">rabia.qureshi@gmail.com</t>
  </si>
  <si>
    <t xml:space="preserve">Street 8, Peshawar</t>
  </si>
  <si>
    <t xml:space="preserve">CUST-030</t>
  </si>
  <si>
    <t xml:space="preserve">Zain Raza Traders</t>
  </si>
  <si>
    <t xml:space="preserve">0309-4860684</t>
  </si>
  <si>
    <t xml:space="preserve">zain.raza@gmail.com</t>
  </si>
  <si>
    <t xml:space="preserve">Street 1, Lahore</t>
  </si>
  <si>
    <t xml:space="preserve">CUST-031</t>
  </si>
  <si>
    <t xml:space="preserve">Hassan Qureshi General Store</t>
  </si>
  <si>
    <t xml:space="preserve">0300-6543670</t>
  </si>
  <si>
    <t xml:space="preserve">hassan.qureshi@gmail.com</t>
  </si>
  <si>
    <t xml:space="preserve">Street 16, Karachi</t>
  </si>
  <si>
    <t xml:space="preserve">CUST-032</t>
  </si>
  <si>
    <t xml:space="preserve">Usman Siddiqui Co.</t>
  </si>
  <si>
    <t xml:space="preserve">0302-8930103</t>
  </si>
  <si>
    <t xml:space="preserve">usman.siddiqui@gmail.com</t>
  </si>
  <si>
    <t xml:space="preserve">Street 27, Sialkot</t>
  </si>
  <si>
    <t xml:space="preserve">CUST-033</t>
  </si>
  <si>
    <t xml:space="preserve">Bilal Malik Traders</t>
  </si>
  <si>
    <t xml:space="preserve">0306-7897151</t>
  </si>
  <si>
    <t xml:space="preserve">bilal.malik@gmail.com</t>
  </si>
  <si>
    <t xml:space="preserve">Street 44, Multan</t>
  </si>
  <si>
    <t xml:space="preserve">CUST-034</t>
  </si>
  <si>
    <t xml:space="preserve">Imran Khan Sons</t>
  </si>
  <si>
    <t xml:space="preserve">0303-4214348</t>
  </si>
  <si>
    <t xml:space="preserve">Street 29, Karachi</t>
  </si>
  <si>
    <t xml:space="preserve">CUST-035</t>
  </si>
  <si>
    <t xml:space="preserve">Kashif Ali Merchants</t>
  </si>
  <si>
    <t xml:space="preserve">0303-2264748</t>
  </si>
  <si>
    <t xml:space="preserve">kashif.ali@gmail.com</t>
  </si>
  <si>
    <t xml:space="preserve">Quetta</t>
  </si>
  <si>
    <t xml:space="preserve">Street 7, Quetta</t>
  </si>
  <si>
    <t xml:space="preserve">CUST-036</t>
  </si>
  <si>
    <t xml:space="preserve">Ahmed Siddiqui Pvt Ltd</t>
  </si>
  <si>
    <t xml:space="preserve">0303-3790237</t>
  </si>
  <si>
    <t xml:space="preserve">ahmed.siddiqui@gmail.com</t>
  </si>
  <si>
    <t xml:space="preserve">Street 31, Karachi</t>
  </si>
  <si>
    <t xml:space="preserve">CUST-037</t>
  </si>
  <si>
    <t xml:space="preserve">Bilal Ali General Store</t>
  </si>
  <si>
    <t xml:space="preserve">0300-7550190</t>
  </si>
  <si>
    <t xml:space="preserve">bilal.ali@gmail.com</t>
  </si>
  <si>
    <t xml:space="preserve">Street 19, Peshawar</t>
  </si>
  <si>
    <t xml:space="preserve">CUST-038</t>
  </si>
  <si>
    <t xml:space="preserve">Sara Qureshi Pvt Ltd</t>
  </si>
  <si>
    <t xml:space="preserve">0303-5977931</t>
  </si>
  <si>
    <t xml:space="preserve">sara.qureshi@gmail.com</t>
  </si>
  <si>
    <t xml:space="preserve">Street 38, Islamabad</t>
  </si>
  <si>
    <t xml:space="preserve">CUST-039</t>
  </si>
  <si>
    <t xml:space="preserve">Rabia Khan Brothers</t>
  </si>
  <si>
    <t xml:space="preserve">0309-8999183</t>
  </si>
  <si>
    <t xml:space="preserve">rabia.khan@gmail.com</t>
  </si>
  <si>
    <t xml:space="preserve">Street 11, Lahore</t>
  </si>
  <si>
    <t xml:space="preserve">CUST-040</t>
  </si>
  <si>
    <t xml:space="preserve">Ahmed Rehman Traders</t>
  </si>
  <si>
    <t xml:space="preserve">0309-2140194</t>
  </si>
  <si>
    <t xml:space="preserve">ahmed.rehman@gmail.com</t>
  </si>
  <si>
    <t xml:space="preserve">Street 26, Karachi</t>
  </si>
  <si>
    <t xml:space="preserve">CUST-041</t>
  </si>
  <si>
    <t xml:space="preserve">Imran Chaudhry Distributors</t>
  </si>
  <si>
    <t xml:space="preserve">0301-8033426</t>
  </si>
  <si>
    <t xml:space="preserve">imran.chaudhry@gmail.com</t>
  </si>
  <si>
    <t xml:space="preserve">Street 37, Gujranwala</t>
  </si>
  <si>
    <t xml:space="preserve">CUST-042</t>
  </si>
  <si>
    <t xml:space="preserve">Nadia Hussain Enterprises</t>
  </si>
  <si>
    <t xml:space="preserve">0303-5456272</t>
  </si>
  <si>
    <t xml:space="preserve">nadia.hussain@gmail.com</t>
  </si>
  <si>
    <t xml:space="preserve">Street 43, Multan</t>
  </si>
  <si>
    <t xml:space="preserve">CUST-043</t>
  </si>
  <si>
    <t xml:space="preserve">Faisal Iqbal Brothers</t>
  </si>
  <si>
    <t xml:space="preserve">0307-2677407</t>
  </si>
  <si>
    <t xml:space="preserve">faisal.iqbal@gmail.com</t>
  </si>
  <si>
    <t xml:space="preserve">Street 14, Lahore</t>
  </si>
  <si>
    <t xml:space="preserve">CUST-044</t>
  </si>
  <si>
    <t xml:space="preserve">Nadia Shah Merchants</t>
  </si>
  <si>
    <t xml:space="preserve">0303-7199635</t>
  </si>
  <si>
    <t xml:space="preserve">nadia.shah@gmail.com</t>
  </si>
  <si>
    <t xml:space="preserve">CUST-045</t>
  </si>
  <si>
    <t xml:space="preserve">Rabia Qureshi Enterprises</t>
  </si>
  <si>
    <t xml:space="preserve">0304-2737893</t>
  </si>
  <si>
    <t xml:space="preserve">Street 8, Sialkot</t>
  </si>
  <si>
    <t xml:space="preserve">CUST-046</t>
  </si>
  <si>
    <t xml:space="preserve">Imran Qureshi Pvt Ltd</t>
  </si>
  <si>
    <t xml:space="preserve">0304-4533779</t>
  </si>
  <si>
    <t xml:space="preserve">imran.qureshi@gmail.com</t>
  </si>
  <si>
    <t xml:space="preserve">Street 14, Faisalabad</t>
  </si>
  <si>
    <t xml:space="preserve">CUST-047</t>
  </si>
  <si>
    <t xml:space="preserve">Usman Rehman Co.</t>
  </si>
  <si>
    <t xml:space="preserve">0301-8106422</t>
  </si>
  <si>
    <t xml:space="preserve">CUST-048</t>
  </si>
  <si>
    <t xml:space="preserve">Amir Butt Enterprises</t>
  </si>
  <si>
    <t xml:space="preserve">0308-8175395</t>
  </si>
  <si>
    <t xml:space="preserve">amir.butt@gmail.com</t>
  </si>
  <si>
    <t xml:space="preserve">Street 8, Quetta</t>
  </si>
  <si>
    <t xml:space="preserve">CUST-049</t>
  </si>
  <si>
    <t xml:space="preserve">Hassan Qureshi Merchants</t>
  </si>
  <si>
    <t xml:space="preserve">0309-3484601</t>
  </si>
  <si>
    <t xml:space="preserve">Street 3, Multan</t>
  </si>
  <si>
    <t xml:space="preserve">CUST-050</t>
  </si>
  <si>
    <t xml:space="preserve">Faisal Hussain General Store</t>
  </si>
  <si>
    <t xml:space="preserve">0303-2724590</t>
  </si>
  <si>
    <t xml:space="preserve">faisal.hussain@gmail.com</t>
  </si>
  <si>
    <t xml:space="preserve">Street 27, Rawalpindi</t>
  </si>
  <si>
    <t xml:space="preserve">CUST-051</t>
  </si>
  <si>
    <t xml:space="preserve">Mehwish Qureshi Merchants</t>
  </si>
  <si>
    <t xml:space="preserve">0302-7917152</t>
  </si>
  <si>
    <t xml:space="preserve">mehwish.qureshi@gmail.com</t>
  </si>
  <si>
    <t xml:space="preserve">Street 48, Islamabad</t>
  </si>
  <si>
    <t xml:space="preserve">CUST-052</t>
  </si>
  <si>
    <t xml:space="preserve">Amir Ali Distributors</t>
  </si>
  <si>
    <t xml:space="preserve">0301-7417985</t>
  </si>
  <si>
    <t xml:space="preserve">amir.ali@gmail.com</t>
  </si>
  <si>
    <t xml:space="preserve">Street 15, Islamabad</t>
  </si>
  <si>
    <t xml:space="preserve">CUST-053</t>
  </si>
  <si>
    <t xml:space="preserve">Bilal Iqbal Brothers</t>
  </si>
  <si>
    <t xml:space="preserve">0303-1397023</t>
  </si>
  <si>
    <t xml:space="preserve">bilal.iqbal@gmail.com</t>
  </si>
  <si>
    <t xml:space="preserve">Street 26, Rawalpindi</t>
  </si>
  <si>
    <t xml:space="preserve">CUST-054</t>
  </si>
  <si>
    <t xml:space="preserve">Amir Shah Traders</t>
  </si>
  <si>
    <t xml:space="preserve">0308-7705490</t>
  </si>
  <si>
    <t xml:space="preserve">amir.shah@gmail.com</t>
  </si>
  <si>
    <t xml:space="preserve">Street 22, Multan</t>
  </si>
  <si>
    <t xml:space="preserve">CUST-055</t>
  </si>
  <si>
    <t xml:space="preserve">Ali Malik Enterprises</t>
  </si>
  <si>
    <t xml:space="preserve">0304-1641849</t>
  </si>
  <si>
    <t xml:space="preserve">ali.malik@gmail.com</t>
  </si>
  <si>
    <t xml:space="preserve">Street 23, Gujranwala</t>
  </si>
  <si>
    <t xml:space="preserve">CUST-056</t>
  </si>
  <si>
    <t xml:space="preserve">Amir Ali &amp; Co</t>
  </si>
  <si>
    <t xml:space="preserve">0309-4188992</t>
  </si>
  <si>
    <t xml:space="preserve">Street 46, Peshawar</t>
  </si>
  <si>
    <t xml:space="preserve">CUST-057</t>
  </si>
  <si>
    <t xml:space="preserve">Sara Khan Pvt Ltd</t>
  </si>
  <si>
    <t xml:space="preserve">0306-2173965</t>
  </si>
  <si>
    <t xml:space="preserve">sara.khan@gmail.com</t>
  </si>
  <si>
    <t xml:space="preserve">Street 40, Multan</t>
  </si>
  <si>
    <t xml:space="preserve">CUST-058</t>
  </si>
  <si>
    <t xml:space="preserve">Amir Siddiqui Traders</t>
  </si>
  <si>
    <t xml:space="preserve">0304-7851696</t>
  </si>
  <si>
    <t xml:space="preserve">amir.siddiqui@gmail.com</t>
  </si>
  <si>
    <t xml:space="preserve">Street 45, Sialkot</t>
  </si>
  <si>
    <t xml:space="preserve">CUST-059</t>
  </si>
  <si>
    <t xml:space="preserve">Faisal Rehman Merchants</t>
  </si>
  <si>
    <t xml:space="preserve">0306-3919694</t>
  </si>
  <si>
    <t xml:space="preserve">faisal.rehman@gmail.com</t>
  </si>
  <si>
    <t xml:space="preserve">Street 20, Peshawar</t>
  </si>
  <si>
    <t xml:space="preserve">CUST-060</t>
  </si>
  <si>
    <t xml:space="preserve">Hina Rehman General Store</t>
  </si>
  <si>
    <t xml:space="preserve">0303-8212326</t>
  </si>
  <si>
    <t xml:space="preserve">hina.rehman@gmail.com</t>
  </si>
  <si>
    <t xml:space="preserve">Street 30, Faisalabad</t>
  </si>
  <si>
    <t xml:space="preserve">CUST-061</t>
  </si>
  <si>
    <t xml:space="preserve">Sana Iqbal Distributors</t>
  </si>
  <si>
    <t xml:space="preserve">0301-5761145</t>
  </si>
  <si>
    <t xml:space="preserve">sana.iqbal@gmail.com</t>
  </si>
  <si>
    <t xml:space="preserve">Street 6, Islamabad</t>
  </si>
  <si>
    <t xml:space="preserve">CUST-062</t>
  </si>
  <si>
    <t xml:space="preserve">Zain Siddiqui Enterprises</t>
  </si>
  <si>
    <t xml:space="preserve">0302-1409790</t>
  </si>
  <si>
    <t xml:space="preserve">zain.siddiqui@gmail.com</t>
  </si>
  <si>
    <t xml:space="preserve">Street 31, Rawalpindi</t>
  </si>
  <si>
    <t xml:space="preserve">CUST-063</t>
  </si>
  <si>
    <t xml:space="preserve">Mehwish Malik Co.</t>
  </si>
  <si>
    <t xml:space="preserve">0303-7442089</t>
  </si>
  <si>
    <t xml:space="preserve">mehwish.malik@gmail.com</t>
  </si>
  <si>
    <t xml:space="preserve">Street 16, Gujranwala</t>
  </si>
  <si>
    <t xml:space="preserve">CUST-064</t>
  </si>
  <si>
    <t xml:space="preserve">Kashif Siddiqui General Store</t>
  </si>
  <si>
    <t xml:space="preserve">0303-3950888</t>
  </si>
  <si>
    <t xml:space="preserve">kashif.siddiqui@gmail.com</t>
  </si>
  <si>
    <t xml:space="preserve">Street 30, Peshawar</t>
  </si>
  <si>
    <t xml:space="preserve">CUST-065</t>
  </si>
  <si>
    <t xml:space="preserve">Ahmed Rehman Distributors</t>
  </si>
  <si>
    <t xml:space="preserve">0302-8795419</t>
  </si>
  <si>
    <t xml:space="preserve">Street 36, Quetta</t>
  </si>
  <si>
    <t xml:space="preserve">CUST-066</t>
  </si>
  <si>
    <t xml:space="preserve">Mehwish Hussain Co.</t>
  </si>
  <si>
    <t xml:space="preserve">0307-3670226</t>
  </si>
  <si>
    <t xml:space="preserve">mehwish.hussain@gmail.com</t>
  </si>
  <si>
    <t xml:space="preserve">Street 29, Sialkot</t>
  </si>
  <si>
    <t xml:space="preserve">CUST-067</t>
  </si>
  <si>
    <t xml:space="preserve">Usman Raza Enterprises</t>
  </si>
  <si>
    <t xml:space="preserve">0304-8379837</t>
  </si>
  <si>
    <t xml:space="preserve">usman.raza@gmail.com</t>
  </si>
  <si>
    <t xml:space="preserve">Street 16, Rawalpindi</t>
  </si>
  <si>
    <t xml:space="preserve">CUST-068</t>
  </si>
  <si>
    <t xml:space="preserve">Usman Hussain Brothers</t>
  </si>
  <si>
    <t xml:space="preserve">0302-4879923</t>
  </si>
  <si>
    <t xml:space="preserve">usman.hussain@gmail.com</t>
  </si>
  <si>
    <t xml:space="preserve">Street 46, Islamabad</t>
  </si>
  <si>
    <t xml:space="preserve">CUST-069</t>
  </si>
  <si>
    <t xml:space="preserve">Bilal Malik Sons</t>
  </si>
  <si>
    <t xml:space="preserve">0308-8816912</t>
  </si>
  <si>
    <t xml:space="preserve">Street 14, Multan</t>
  </si>
  <si>
    <t xml:space="preserve">CUST-070</t>
  </si>
  <si>
    <t xml:space="preserve">Sara Ali &amp; Co</t>
  </si>
  <si>
    <t xml:space="preserve">0306-9002392</t>
  </si>
  <si>
    <t xml:space="preserve">sara.ali@gmail.com</t>
  </si>
  <si>
    <t xml:space="preserve">Street 20, Gujranwala</t>
  </si>
  <si>
    <t xml:space="preserve">CUST-071</t>
  </si>
  <si>
    <t xml:space="preserve">Hina Ali Pvt Ltd</t>
  </si>
  <si>
    <t xml:space="preserve">0303-5579094</t>
  </si>
  <si>
    <t xml:space="preserve">hina.ali@gmail.com</t>
  </si>
  <si>
    <t xml:space="preserve">Street 2, Quetta</t>
  </si>
  <si>
    <t xml:space="preserve">CUST-072</t>
  </si>
  <si>
    <t xml:space="preserve">Hina Hussain Sons</t>
  </si>
  <si>
    <t xml:space="preserve">0302-9961107</t>
  </si>
  <si>
    <t xml:space="preserve">hina.hussain@gmail.com</t>
  </si>
  <si>
    <t xml:space="preserve">Street 38, Quetta</t>
  </si>
  <si>
    <t xml:space="preserve">CUST-073</t>
  </si>
  <si>
    <t xml:space="preserve">Sobia Siddiqui General Store</t>
  </si>
  <si>
    <t xml:space="preserve">0302-8746014</t>
  </si>
  <si>
    <t xml:space="preserve">sobia.siddiqui@gmail.com</t>
  </si>
  <si>
    <t xml:space="preserve">Street 17, Peshawar</t>
  </si>
  <si>
    <t xml:space="preserve">CUST-074</t>
  </si>
  <si>
    <t xml:space="preserve">Hina Hussain Distributors</t>
  </si>
  <si>
    <t xml:space="preserve">0305-7360682</t>
  </si>
  <si>
    <t xml:space="preserve">Street 17, Multan</t>
  </si>
  <si>
    <t xml:space="preserve">CUST-075</t>
  </si>
  <si>
    <t xml:space="preserve">Hassan Iqbal General Store</t>
  </si>
  <si>
    <t xml:space="preserve">0303-2151225</t>
  </si>
  <si>
    <t xml:space="preserve">hassan.iqbal@gmail.com</t>
  </si>
  <si>
    <t xml:space="preserve">Street 49, Multan</t>
  </si>
  <si>
    <t xml:space="preserve">CUST-076</t>
  </si>
  <si>
    <t xml:space="preserve">Ali Raza Distributors</t>
  </si>
  <si>
    <t xml:space="preserve">0302-5002120</t>
  </si>
  <si>
    <t xml:space="preserve">ali.raza@gmail.com</t>
  </si>
  <si>
    <t xml:space="preserve">Street 43, Gujranwala</t>
  </si>
  <si>
    <t xml:space="preserve">CUST-077</t>
  </si>
  <si>
    <t xml:space="preserve">0305-3815034</t>
  </si>
  <si>
    <t xml:space="preserve">Street 50, Faisalabad</t>
  </si>
  <si>
    <t xml:space="preserve">CUST-078</t>
  </si>
  <si>
    <t xml:space="preserve">Tariq Shah Traders</t>
  </si>
  <si>
    <t xml:space="preserve">0309-7296605</t>
  </si>
  <si>
    <t xml:space="preserve">tariq.shah@gmail.com</t>
  </si>
  <si>
    <t xml:space="preserve">Street 5, Faisalabad</t>
  </si>
  <si>
    <t xml:space="preserve">CUST-079</t>
  </si>
  <si>
    <t xml:space="preserve">Sobia Qureshi Distributors</t>
  </si>
  <si>
    <t xml:space="preserve">0309-3030966</t>
  </si>
  <si>
    <t xml:space="preserve">sobia.qureshi@gmail.com</t>
  </si>
  <si>
    <t xml:space="preserve">Street 23, Faisalabad</t>
  </si>
  <si>
    <t xml:space="preserve">CUST-080</t>
  </si>
  <si>
    <t xml:space="preserve">Rabia Ali Brothers</t>
  </si>
  <si>
    <t xml:space="preserve">0305-1212267</t>
  </si>
  <si>
    <t xml:space="preserve">rabia.ali@gmail.com</t>
  </si>
  <si>
    <t xml:space="preserve">Street 7, Sialkot</t>
  </si>
  <si>
    <t xml:space="preserve">CUST-081</t>
  </si>
  <si>
    <t xml:space="preserve">Sara Hussain Co.</t>
  </si>
  <si>
    <t xml:space="preserve">0302-9753457</t>
  </si>
  <si>
    <t xml:space="preserve">Street 40, Peshawar</t>
  </si>
  <si>
    <t xml:space="preserve">CUST-082</t>
  </si>
  <si>
    <t xml:space="preserve">Rabia Iqbal Co.</t>
  </si>
  <si>
    <t xml:space="preserve">0304-6407373</t>
  </si>
  <si>
    <t xml:space="preserve">rabia.iqbal@gmail.com</t>
  </si>
  <si>
    <t xml:space="preserve">Street 18, Gujranwala</t>
  </si>
  <si>
    <t xml:space="preserve">CUST-083</t>
  </si>
  <si>
    <t xml:space="preserve">Sana Raza Co.</t>
  </si>
  <si>
    <t xml:space="preserve">0300-9293086</t>
  </si>
  <si>
    <t xml:space="preserve">sana.raza@gmail.com</t>
  </si>
  <si>
    <t xml:space="preserve">Street 32, Multan</t>
  </si>
  <si>
    <t xml:space="preserve">CUST-084</t>
  </si>
  <si>
    <t xml:space="preserve">Bilal Hussain Enterprises</t>
  </si>
  <si>
    <t xml:space="preserve">0309-5635017</t>
  </si>
  <si>
    <t xml:space="preserve">bilal.hussain@gmail.com</t>
  </si>
  <si>
    <t xml:space="preserve">Street 34, Faisalabad</t>
  </si>
  <si>
    <t xml:space="preserve">CUST-085</t>
  </si>
  <si>
    <t xml:space="preserve">Bilal Malik Distributors</t>
  </si>
  <si>
    <t xml:space="preserve">0308-5031966</t>
  </si>
  <si>
    <t xml:space="preserve">Street 42, Quetta</t>
  </si>
  <si>
    <t xml:space="preserve">CUST-086</t>
  </si>
  <si>
    <t xml:space="preserve">Ayesha Iqbal General Store</t>
  </si>
  <si>
    <t xml:space="preserve">0303-7784725</t>
  </si>
  <si>
    <t xml:space="preserve">ayesha.iqbal@gmail.com</t>
  </si>
  <si>
    <t xml:space="preserve">Street 20, Faisalabad</t>
  </si>
  <si>
    <t xml:space="preserve">CUST-087</t>
  </si>
  <si>
    <t xml:space="preserve">Sobia Hussain Co.</t>
  </si>
  <si>
    <t xml:space="preserve">0308-6549757</t>
  </si>
  <si>
    <t xml:space="preserve">sobia.hussain@gmail.com</t>
  </si>
  <si>
    <t xml:space="preserve">Street 18, Peshawar</t>
  </si>
  <si>
    <t xml:space="preserve">CUST-088</t>
  </si>
  <si>
    <t xml:space="preserve">Faisal Shah Distributors</t>
  </si>
  <si>
    <t xml:space="preserve">0305-3005795</t>
  </si>
  <si>
    <t xml:space="preserve">faisal.shah@gmail.com</t>
  </si>
  <si>
    <t xml:space="preserve">Street 49, Rawalpindi</t>
  </si>
  <si>
    <t xml:space="preserve">CUST-089</t>
  </si>
  <si>
    <t xml:space="preserve">Tariq Raza Distributors</t>
  </si>
  <si>
    <t xml:space="preserve">0309-9801946</t>
  </si>
  <si>
    <t xml:space="preserve">tariq.raza@gmail.com</t>
  </si>
  <si>
    <t xml:space="preserve">Street 7, Faisalabad</t>
  </si>
  <si>
    <t xml:space="preserve">CUST-090</t>
  </si>
  <si>
    <t xml:space="preserve">Bilal Shah Distributors</t>
  </si>
  <si>
    <t xml:space="preserve">0304-1237370</t>
  </si>
  <si>
    <t xml:space="preserve">bilal.shah@gmail.com</t>
  </si>
  <si>
    <t xml:space="preserve">Street 9, Islamabad</t>
  </si>
  <si>
    <t xml:space="preserve">CUST-091</t>
  </si>
  <si>
    <t xml:space="preserve">Usman Khan General Store</t>
  </si>
  <si>
    <t xml:space="preserve">0307-2721135</t>
  </si>
  <si>
    <t xml:space="preserve">usman.khan@gmail.com</t>
  </si>
  <si>
    <t xml:space="preserve">Street 19, Islamabad</t>
  </si>
  <si>
    <t xml:space="preserve">CUST-092</t>
  </si>
  <si>
    <t xml:space="preserve">Ayesha Iqbal Co.</t>
  </si>
  <si>
    <t xml:space="preserve">0300-5235884</t>
  </si>
  <si>
    <t xml:space="preserve">Street 5, Islamabad</t>
  </si>
  <si>
    <t xml:space="preserve">CUST-093</t>
  </si>
  <si>
    <t xml:space="preserve">Hina Iqbal Traders</t>
  </si>
  <si>
    <t xml:space="preserve">0302-6097514</t>
  </si>
  <si>
    <t xml:space="preserve">hina.iqbal@gmail.com</t>
  </si>
  <si>
    <t xml:space="preserve">Street 8, Islamabad</t>
  </si>
  <si>
    <t xml:space="preserve">CUST-094</t>
  </si>
  <si>
    <t xml:space="preserve">Rabia Ali &amp; Co</t>
  </si>
  <si>
    <t xml:space="preserve">0306-8558378</t>
  </si>
  <si>
    <t xml:space="preserve">Street 38, Sialkot</t>
  </si>
  <si>
    <t xml:space="preserve">CUST-095</t>
  </si>
  <si>
    <t xml:space="preserve">Sara Shah &amp; Co</t>
  </si>
  <si>
    <t xml:space="preserve">0301-4486102</t>
  </si>
  <si>
    <t xml:space="preserve">sara.shah@gmail.com</t>
  </si>
  <si>
    <t xml:space="preserve">Street 17, Gujranwala</t>
  </si>
  <si>
    <t xml:space="preserve">CUST-096</t>
  </si>
  <si>
    <t xml:space="preserve">Hassan Butt Distributors</t>
  </si>
  <si>
    <t xml:space="preserve">0301-3626181</t>
  </si>
  <si>
    <t xml:space="preserve">hassan.butt@gmail.com</t>
  </si>
  <si>
    <t xml:space="preserve">CUST-097</t>
  </si>
  <si>
    <t xml:space="preserve">Mehwish Iqbal Enterprises</t>
  </si>
  <si>
    <t xml:space="preserve">0304-5743227</t>
  </si>
  <si>
    <t xml:space="preserve">mehwish.iqbal@gmail.com</t>
  </si>
  <si>
    <t xml:space="preserve">Street 5, Rawalpindi</t>
  </si>
  <si>
    <t xml:space="preserve">CUST-098</t>
  </si>
  <si>
    <t xml:space="preserve">Zain Shah &amp; Co</t>
  </si>
  <si>
    <t xml:space="preserve">0301-4771676</t>
  </si>
  <si>
    <t xml:space="preserve">zain.shah@gmail.com</t>
  </si>
  <si>
    <t xml:space="preserve">CUST-099</t>
  </si>
  <si>
    <t xml:space="preserve">Kashif Malik General Store</t>
  </si>
  <si>
    <t xml:space="preserve">0309-5842082</t>
  </si>
  <si>
    <t xml:space="preserve">kashif.malik@gmail.com</t>
  </si>
  <si>
    <t xml:space="preserve">CUST-100</t>
  </si>
  <si>
    <t xml:space="preserve">Faisal Qureshi Sons</t>
  </si>
  <si>
    <t xml:space="preserve">0308-9284509</t>
  </si>
  <si>
    <t xml:space="preserve">faisal.qureshi@gmail.com</t>
  </si>
  <si>
    <t xml:space="preserve">Street 39, Sialkot</t>
  </si>
  <si>
    <t xml:space="preserve">PURCHASE ORDERS — AL-NOOR TRADING COMPANY (Jan–Dec 2024)</t>
  </si>
  <si>
    <t xml:space="preserve">PO Number</t>
  </si>
  <si>
    <t xml:space="preserve">Date</t>
  </si>
  <si>
    <t xml:space="preserve">Qty Ordered</t>
  </si>
  <si>
    <t xml:space="preserve">Unit Cost (PKR)</t>
  </si>
  <si>
    <t xml:space="preserve">Total Cost (PKR)</t>
  </si>
  <si>
    <t xml:space="preserve">Payment Status</t>
  </si>
  <si>
    <t xml:space="preserve">PO-2024001</t>
  </si>
  <si>
    <t xml:space="preserve">2024-10-19</t>
  </si>
  <si>
    <t xml:space="preserve">Received</t>
  </si>
  <si>
    <t xml:space="preserve">Paid</t>
  </si>
  <si>
    <t xml:space="preserve">PO-2024002</t>
  </si>
  <si>
    <t xml:space="preserve">2024-08-24</t>
  </si>
  <si>
    <t xml:space="preserve">Partially Received</t>
  </si>
  <si>
    <t xml:space="preserve">PO-2024003</t>
  </si>
  <si>
    <t xml:space="preserve">2024-09-23</t>
  </si>
  <si>
    <t xml:space="preserve">Unpaid</t>
  </si>
  <si>
    <t xml:space="preserve">PO-2024004</t>
  </si>
  <si>
    <t xml:space="preserve">2024-07-03</t>
  </si>
  <si>
    <t xml:space="preserve">Pending</t>
  </si>
  <si>
    <t xml:space="preserve">Partially Paid</t>
  </si>
  <si>
    <t xml:space="preserve">PO-2024005</t>
  </si>
  <si>
    <t xml:space="preserve">2024-08-03</t>
  </si>
  <si>
    <t xml:space="preserve">Cancelled</t>
  </si>
  <si>
    <t xml:space="preserve">PO-2024006</t>
  </si>
  <si>
    <t xml:space="preserve">2024-12-17</t>
  </si>
  <si>
    <t xml:space="preserve">PO-2024007</t>
  </si>
  <si>
    <t xml:space="preserve">2024-05-02</t>
  </si>
  <si>
    <t xml:space="preserve">PO-2024008</t>
  </si>
  <si>
    <t xml:space="preserve">2024-01-03</t>
  </si>
  <si>
    <t xml:space="preserve">PO-2024009</t>
  </si>
  <si>
    <t xml:space="preserve">2024-07-06</t>
  </si>
  <si>
    <t xml:space="preserve">PO-2024010</t>
  </si>
  <si>
    <t xml:space="preserve">2024-08-28</t>
  </si>
  <si>
    <t xml:space="preserve">PO-2024011</t>
  </si>
  <si>
    <t xml:space="preserve">2024-03-21</t>
  </si>
  <si>
    <t xml:space="preserve">PO-2024012</t>
  </si>
  <si>
    <t xml:space="preserve">2024-09-11</t>
  </si>
  <si>
    <t xml:space="preserve">PO-2024013</t>
  </si>
  <si>
    <t xml:space="preserve">2024-02-11</t>
  </si>
  <si>
    <t xml:space="preserve">PO-2024014</t>
  </si>
  <si>
    <t xml:space="preserve">2024-03-17</t>
  </si>
  <si>
    <t xml:space="preserve">PO-2024015</t>
  </si>
  <si>
    <t xml:space="preserve">2024-06-27</t>
  </si>
  <si>
    <t xml:space="preserve">PO-2024016</t>
  </si>
  <si>
    <t xml:space="preserve">2024-05-20</t>
  </si>
  <si>
    <t xml:space="preserve">PO-2024017</t>
  </si>
  <si>
    <t xml:space="preserve">2024-05-16</t>
  </si>
  <si>
    <t xml:space="preserve">PO-2024018</t>
  </si>
  <si>
    <t xml:space="preserve">2024-09-02</t>
  </si>
  <si>
    <t xml:space="preserve">PO-2024019</t>
  </si>
  <si>
    <t xml:space="preserve">PO-2024020</t>
  </si>
  <si>
    <t xml:space="preserve">2024-05-04</t>
  </si>
  <si>
    <t xml:space="preserve">PO-2024021</t>
  </si>
  <si>
    <t xml:space="preserve">2024-03-22</t>
  </si>
  <si>
    <t xml:space="preserve">PO-2024022</t>
  </si>
  <si>
    <t xml:space="preserve">2024-09-25</t>
  </si>
  <si>
    <t xml:space="preserve">PO-2024023</t>
  </si>
  <si>
    <t xml:space="preserve">2024-03-26</t>
  </si>
  <si>
    <t xml:space="preserve">PO-2024024</t>
  </si>
  <si>
    <t xml:space="preserve">PO-2024025</t>
  </si>
  <si>
    <t xml:space="preserve">2024-12-25</t>
  </si>
  <si>
    <t xml:space="preserve">PO-2024026</t>
  </si>
  <si>
    <t xml:space="preserve">2024-01-19</t>
  </si>
  <si>
    <t xml:space="preserve">PO-2024027</t>
  </si>
  <si>
    <t xml:space="preserve">2024-06-28</t>
  </si>
  <si>
    <t xml:space="preserve">PO-2024028</t>
  </si>
  <si>
    <t xml:space="preserve">2024-03-12</t>
  </si>
  <si>
    <t xml:space="preserve">PO-2024029</t>
  </si>
  <si>
    <t xml:space="preserve">2024-05-12</t>
  </si>
  <si>
    <t xml:space="preserve">PO-2024030</t>
  </si>
  <si>
    <t xml:space="preserve">2024-11-28</t>
  </si>
  <si>
    <t xml:space="preserve">PO-2024031</t>
  </si>
  <si>
    <t xml:space="preserve">2024-11-12</t>
  </si>
  <si>
    <t xml:space="preserve">PO-2024032</t>
  </si>
  <si>
    <t xml:space="preserve">2024-02-29</t>
  </si>
  <si>
    <t xml:space="preserve">PO-2024033</t>
  </si>
  <si>
    <t xml:space="preserve">2024-01-24</t>
  </si>
  <si>
    <t xml:space="preserve">PO-2024034</t>
  </si>
  <si>
    <t xml:space="preserve">2024-12-09</t>
  </si>
  <si>
    <t xml:space="preserve">PO-2024035</t>
  </si>
  <si>
    <t xml:space="preserve">PO-2024036</t>
  </si>
  <si>
    <t xml:space="preserve">2024-04-16</t>
  </si>
  <si>
    <t xml:space="preserve">PO-2024037</t>
  </si>
  <si>
    <t xml:space="preserve">2024-12-21</t>
  </si>
  <si>
    <t xml:space="preserve">PO-2024038</t>
  </si>
  <si>
    <t xml:space="preserve">2024-12-06</t>
  </si>
  <si>
    <t xml:space="preserve">PO-2024039</t>
  </si>
  <si>
    <t xml:space="preserve">2024-11-17</t>
  </si>
  <si>
    <t xml:space="preserve">PO-2024040</t>
  </si>
  <si>
    <t xml:space="preserve">2024-11-08</t>
  </si>
  <si>
    <t xml:space="preserve">PO-2024041</t>
  </si>
  <si>
    <t xml:space="preserve">2024-08-04</t>
  </si>
  <si>
    <t xml:space="preserve">PO-2024042</t>
  </si>
  <si>
    <t xml:space="preserve">PO-2024043</t>
  </si>
  <si>
    <t xml:space="preserve">PO-2024044</t>
  </si>
  <si>
    <t xml:space="preserve">2024-08-14</t>
  </si>
  <si>
    <t xml:space="preserve">PO-2024045</t>
  </si>
  <si>
    <t xml:space="preserve">2024-08-16</t>
  </si>
  <si>
    <t xml:space="preserve">PO-2024046</t>
  </si>
  <si>
    <t xml:space="preserve">2024-10-03</t>
  </si>
  <si>
    <t xml:space="preserve">PO-2024047</t>
  </si>
  <si>
    <t xml:space="preserve">2024-11-04</t>
  </si>
  <si>
    <t xml:space="preserve">PO-2024048</t>
  </si>
  <si>
    <t xml:space="preserve">2024-06-05</t>
  </si>
  <si>
    <t xml:space="preserve">PO-2024049</t>
  </si>
  <si>
    <t xml:space="preserve">2024-07-22</t>
  </si>
  <si>
    <t xml:space="preserve">PO-2024050</t>
  </si>
  <si>
    <t xml:space="preserve">2024-03-27</t>
  </si>
  <si>
    <t xml:space="preserve">PO-2024051</t>
  </si>
  <si>
    <t xml:space="preserve">2024-10-18</t>
  </si>
  <si>
    <t xml:space="preserve">PO-2024052</t>
  </si>
  <si>
    <t xml:space="preserve">PO-2024053</t>
  </si>
  <si>
    <t xml:space="preserve">2024-06-22</t>
  </si>
  <si>
    <t xml:space="preserve">PO-2024054</t>
  </si>
  <si>
    <t xml:space="preserve">2024-12-02</t>
  </si>
  <si>
    <t xml:space="preserve">PO-2024055</t>
  </si>
  <si>
    <t xml:space="preserve">2024-06-15</t>
  </si>
  <si>
    <t xml:space="preserve">PO-2024056</t>
  </si>
  <si>
    <t xml:space="preserve">2024-11-06</t>
  </si>
  <si>
    <t xml:space="preserve">PO-2024057</t>
  </si>
  <si>
    <t xml:space="preserve">2024-10-01</t>
  </si>
  <si>
    <t xml:space="preserve">PO-2024058</t>
  </si>
  <si>
    <t xml:space="preserve">2024-10-22</t>
  </si>
  <si>
    <t xml:space="preserve">PO-2024059</t>
  </si>
  <si>
    <t xml:space="preserve">2024-08-29</t>
  </si>
  <si>
    <t xml:space="preserve">PO-2024060</t>
  </si>
  <si>
    <t xml:space="preserve">2024-03-30</t>
  </si>
  <si>
    <t xml:space="preserve">PO-2024061</t>
  </si>
  <si>
    <t xml:space="preserve">2024-04-09</t>
  </si>
  <si>
    <t xml:space="preserve">PO-2024062</t>
  </si>
  <si>
    <t xml:space="preserve">2024-04-05</t>
  </si>
  <si>
    <t xml:space="preserve">PO-2024063</t>
  </si>
  <si>
    <t xml:space="preserve">2024-10-13</t>
  </si>
  <si>
    <t xml:space="preserve">PO-2024064</t>
  </si>
  <si>
    <t xml:space="preserve">2024-06-08</t>
  </si>
  <si>
    <t xml:space="preserve">PO-2024065</t>
  </si>
  <si>
    <t xml:space="preserve">2024-11-21</t>
  </si>
  <si>
    <t xml:space="preserve">PO-2024066</t>
  </si>
  <si>
    <t xml:space="preserve">2024-07-21</t>
  </si>
  <si>
    <t xml:space="preserve">PO-2024067</t>
  </si>
  <si>
    <t xml:space="preserve">2024-09-08</t>
  </si>
  <si>
    <t xml:space="preserve">PO-2024068</t>
  </si>
  <si>
    <t xml:space="preserve">2024-01-20</t>
  </si>
  <si>
    <t xml:space="preserve">PO-2024069</t>
  </si>
  <si>
    <t xml:space="preserve">2024-09-19</t>
  </si>
  <si>
    <t xml:space="preserve">PO-2024070</t>
  </si>
  <si>
    <t xml:space="preserve">2024-03-01</t>
  </si>
  <si>
    <t xml:space="preserve">PO-2024071</t>
  </si>
  <si>
    <t xml:space="preserve">2024-05-28</t>
  </si>
  <si>
    <t xml:space="preserve">PO-2024072</t>
  </si>
  <si>
    <t xml:space="preserve">2024-11-13</t>
  </si>
  <si>
    <t xml:space="preserve">PO-2024073</t>
  </si>
  <si>
    <t xml:space="preserve">PO-2024074</t>
  </si>
  <si>
    <t xml:space="preserve">2024-09-18</t>
  </si>
  <si>
    <t xml:space="preserve">PO-2024075</t>
  </si>
  <si>
    <t xml:space="preserve">2024-04-21</t>
  </si>
  <si>
    <t xml:space="preserve">PO-2024076</t>
  </si>
  <si>
    <t xml:space="preserve">2024-10-12</t>
  </si>
  <si>
    <t xml:space="preserve">PO-2024077</t>
  </si>
  <si>
    <t xml:space="preserve">2024-01-09</t>
  </si>
  <si>
    <t xml:space="preserve">PO-2024078</t>
  </si>
  <si>
    <t xml:space="preserve">2024-01-25</t>
  </si>
  <si>
    <t xml:space="preserve">PO-2024079</t>
  </si>
  <si>
    <t xml:space="preserve">2024-01-10</t>
  </si>
  <si>
    <t xml:space="preserve">PO-2024080</t>
  </si>
  <si>
    <t xml:space="preserve">2024-05-06</t>
  </si>
  <si>
    <t xml:space="preserve">PO-2024081</t>
  </si>
  <si>
    <t xml:space="preserve">2024-01-16</t>
  </si>
  <si>
    <t xml:space="preserve">PO-2024082</t>
  </si>
  <si>
    <t xml:space="preserve">PO-2024083</t>
  </si>
  <si>
    <t xml:space="preserve">2024-01-08</t>
  </si>
  <si>
    <t xml:space="preserve">PO-2024084</t>
  </si>
  <si>
    <t xml:space="preserve">PO-2024085</t>
  </si>
  <si>
    <t xml:space="preserve">2024-07-11</t>
  </si>
  <si>
    <t xml:space="preserve">PO-2024086</t>
  </si>
  <si>
    <t xml:space="preserve">2024-01-18</t>
  </si>
  <si>
    <t xml:space="preserve">PO-2024087</t>
  </si>
  <si>
    <t xml:space="preserve">2024-07-05</t>
  </si>
  <si>
    <t xml:space="preserve">PO-2024088</t>
  </si>
  <si>
    <t xml:space="preserve">2024-03-31</t>
  </si>
  <si>
    <t xml:space="preserve">PO-2024089</t>
  </si>
  <si>
    <t xml:space="preserve">2024-02-10</t>
  </si>
  <si>
    <t xml:space="preserve">PO-2024090</t>
  </si>
  <si>
    <t xml:space="preserve">2024-03-02</t>
  </si>
  <si>
    <t xml:space="preserve">PO-2024091</t>
  </si>
  <si>
    <t xml:space="preserve">2024-10-21</t>
  </si>
  <si>
    <t xml:space="preserve">PO-2024092</t>
  </si>
  <si>
    <t xml:space="preserve">2024-03-15</t>
  </si>
  <si>
    <t xml:space="preserve">PO-2024093</t>
  </si>
  <si>
    <t xml:space="preserve">2024-01-31</t>
  </si>
  <si>
    <t xml:space="preserve">PO-2024094</t>
  </si>
  <si>
    <t xml:space="preserve">2024-03-16</t>
  </si>
  <si>
    <t xml:space="preserve">PO-2024095</t>
  </si>
  <si>
    <t xml:space="preserve">2024-07-10</t>
  </si>
  <si>
    <t xml:space="preserve">PO-2024096</t>
  </si>
  <si>
    <t xml:space="preserve">2024-06-02</t>
  </si>
  <si>
    <t xml:space="preserve">PO-2024097</t>
  </si>
  <si>
    <t xml:space="preserve">2024-07-25</t>
  </si>
  <si>
    <t xml:space="preserve">PO-2024098</t>
  </si>
  <si>
    <t xml:space="preserve">2024-09-16</t>
  </si>
  <si>
    <t xml:space="preserve">PO-2024099</t>
  </si>
  <si>
    <t xml:space="preserve">2024-10-29</t>
  </si>
  <si>
    <t xml:space="preserve">PO-2024100</t>
  </si>
  <si>
    <t xml:space="preserve">2024-09-10</t>
  </si>
  <si>
    <t xml:space="preserve">PO-2024101</t>
  </si>
  <si>
    <t xml:space="preserve">2024-11-24</t>
  </si>
  <si>
    <t xml:space="preserve">PO-2024102</t>
  </si>
  <si>
    <t xml:space="preserve">2024-08-22</t>
  </si>
  <si>
    <t xml:space="preserve">PO-2024103</t>
  </si>
  <si>
    <t xml:space="preserve">PO-2024104</t>
  </si>
  <si>
    <t xml:space="preserve">PO-2024105</t>
  </si>
  <si>
    <t xml:space="preserve">2024-09-01</t>
  </si>
  <si>
    <t xml:space="preserve">PO-2024106</t>
  </si>
  <si>
    <t xml:space="preserve">2024-02-04</t>
  </si>
  <si>
    <t xml:space="preserve">PO-2024107</t>
  </si>
  <si>
    <t xml:space="preserve">2024-03-05</t>
  </si>
  <si>
    <t xml:space="preserve">PO-2024108</t>
  </si>
  <si>
    <t xml:space="preserve">2024-05-03</t>
  </si>
  <si>
    <t xml:space="preserve">PO-2024109</t>
  </si>
  <si>
    <t xml:space="preserve">2024-11-02</t>
  </si>
  <si>
    <t xml:space="preserve">PO-2024110</t>
  </si>
  <si>
    <t xml:space="preserve">PO-2024111</t>
  </si>
  <si>
    <t xml:space="preserve">PO-2024112</t>
  </si>
  <si>
    <t xml:space="preserve">2024-02-15</t>
  </si>
  <si>
    <t xml:space="preserve">PO-2024113</t>
  </si>
  <si>
    <t xml:space="preserve">2024-03-28</t>
  </si>
  <si>
    <t xml:space="preserve">PO-2024114</t>
  </si>
  <si>
    <t xml:space="preserve">2024-06-19</t>
  </si>
  <si>
    <t xml:space="preserve">PO-2024115</t>
  </si>
  <si>
    <t xml:space="preserve">2024-09-05</t>
  </si>
  <si>
    <t xml:space="preserve">PO-2024116</t>
  </si>
  <si>
    <t xml:space="preserve">2024-12-11</t>
  </si>
  <si>
    <t xml:space="preserve">PO-2024117</t>
  </si>
  <si>
    <t xml:space="preserve">2024-05-25</t>
  </si>
  <si>
    <t xml:space="preserve">PO-2024118</t>
  </si>
  <si>
    <t xml:space="preserve">2024-02-17</t>
  </si>
  <si>
    <t xml:space="preserve">PO-2024119</t>
  </si>
  <si>
    <t xml:space="preserve">2024-09-29</t>
  </si>
  <si>
    <t xml:space="preserve">PO-2024120</t>
  </si>
  <si>
    <t xml:space="preserve">2024-09-04</t>
  </si>
  <si>
    <t xml:space="preserve">PO-2024121</t>
  </si>
  <si>
    <t xml:space="preserve">2024-04-23</t>
  </si>
  <si>
    <t xml:space="preserve">PO-2024122</t>
  </si>
  <si>
    <t xml:space="preserve">2024-10-17</t>
  </si>
  <si>
    <t xml:space="preserve">PO-2024123</t>
  </si>
  <si>
    <t xml:space="preserve">2024-10-14</t>
  </si>
  <si>
    <t xml:space="preserve">PO-2024124</t>
  </si>
  <si>
    <t xml:space="preserve">PO-2024125</t>
  </si>
  <si>
    <t xml:space="preserve">2024-10-09</t>
  </si>
  <si>
    <t xml:space="preserve">PO-2024126</t>
  </si>
  <si>
    <t xml:space="preserve">2024-12-26</t>
  </si>
  <si>
    <t xml:space="preserve">PO-2024127</t>
  </si>
  <si>
    <t xml:space="preserve">2024-04-24</t>
  </si>
  <si>
    <t xml:space="preserve">PO-2024128</t>
  </si>
  <si>
    <t xml:space="preserve">2024-10-16</t>
  </si>
  <si>
    <t xml:space="preserve">PO-2024129</t>
  </si>
  <si>
    <t xml:space="preserve">2024-06-06</t>
  </si>
  <si>
    <t xml:space="preserve">PO-2024130</t>
  </si>
  <si>
    <t xml:space="preserve">2024-06-09</t>
  </si>
  <si>
    <t xml:space="preserve">PO-2024131</t>
  </si>
  <si>
    <t xml:space="preserve">2024-03-13</t>
  </si>
  <si>
    <t xml:space="preserve">PO-2024132</t>
  </si>
  <si>
    <t xml:space="preserve">PO-2024133</t>
  </si>
  <si>
    <t xml:space="preserve">2024-03-20</t>
  </si>
  <si>
    <t xml:space="preserve">PO-2024134</t>
  </si>
  <si>
    <t xml:space="preserve">2024-09-20</t>
  </si>
  <si>
    <t xml:space="preserve">PO-2024135</t>
  </si>
  <si>
    <t xml:space="preserve">PO-2024136</t>
  </si>
  <si>
    <t xml:space="preserve">2024-01-29</t>
  </si>
  <si>
    <t xml:space="preserve">PO-2024137</t>
  </si>
  <si>
    <t xml:space="preserve">2024-08-11</t>
  </si>
  <si>
    <t xml:space="preserve">PO-2024138</t>
  </si>
  <si>
    <t xml:space="preserve">2024-04-07</t>
  </si>
  <si>
    <t xml:space="preserve">PO-2024139</t>
  </si>
  <si>
    <t xml:space="preserve">2024-10-26</t>
  </si>
  <si>
    <t xml:space="preserve">PO-2024140</t>
  </si>
  <si>
    <t xml:space="preserve">PO-2024141</t>
  </si>
  <si>
    <t xml:space="preserve">2024-04-13</t>
  </si>
  <si>
    <t xml:space="preserve">PO-2024142</t>
  </si>
  <si>
    <t xml:space="preserve">2024-05-11</t>
  </si>
  <si>
    <t xml:space="preserve">PO-2024143</t>
  </si>
  <si>
    <t xml:space="preserve">2024-11-27</t>
  </si>
  <si>
    <t xml:space="preserve">PO-2024144</t>
  </si>
  <si>
    <t xml:space="preserve">PO-2024145</t>
  </si>
  <si>
    <t xml:space="preserve">2024-07-30</t>
  </si>
  <si>
    <t xml:space="preserve">PO-2024146</t>
  </si>
  <si>
    <t xml:space="preserve">2024-12-30</t>
  </si>
  <si>
    <t xml:space="preserve">PO-2024147</t>
  </si>
  <si>
    <t xml:space="preserve">2024-12-16</t>
  </si>
  <si>
    <t xml:space="preserve">PO-2024148</t>
  </si>
  <si>
    <t xml:space="preserve">2024-07-20</t>
  </si>
  <si>
    <t xml:space="preserve">PO-2024149</t>
  </si>
  <si>
    <t xml:space="preserve">2024-09-14</t>
  </si>
  <si>
    <t xml:space="preserve">PO-2024150</t>
  </si>
  <si>
    <t xml:space="preserve">PO-2024151</t>
  </si>
  <si>
    <t xml:space="preserve">PO-2024152</t>
  </si>
  <si>
    <t xml:space="preserve">PO-2024153</t>
  </si>
  <si>
    <t xml:space="preserve">2024-02-25</t>
  </si>
  <si>
    <t xml:space="preserve">PO-2024154</t>
  </si>
  <si>
    <t xml:space="preserve">2024-12-24</t>
  </si>
  <si>
    <t xml:space="preserve">PO-2024155</t>
  </si>
  <si>
    <t xml:space="preserve">PO-2024156</t>
  </si>
  <si>
    <t xml:space="preserve">2024-02-06</t>
  </si>
  <si>
    <t xml:space="preserve">PO-2024157</t>
  </si>
  <si>
    <t xml:space="preserve">2024-11-10</t>
  </si>
  <si>
    <t xml:space="preserve">PO-2024158</t>
  </si>
  <si>
    <t xml:space="preserve">PO-2024159</t>
  </si>
  <si>
    <t xml:space="preserve">2024-06-24</t>
  </si>
  <si>
    <t xml:space="preserve">PO-2024160</t>
  </si>
  <si>
    <t xml:space="preserve">2024-01-30</t>
  </si>
  <si>
    <t xml:space="preserve">PO-2024161</t>
  </si>
  <si>
    <t xml:space="preserve">2024-01-28</t>
  </si>
  <si>
    <t xml:space="preserve">PO-2024162</t>
  </si>
  <si>
    <t xml:space="preserve">PO-2024163</t>
  </si>
  <si>
    <t xml:space="preserve">2024-10-30</t>
  </si>
  <si>
    <t xml:space="preserve">PO-2024164</t>
  </si>
  <si>
    <t xml:space="preserve">2024-02-05</t>
  </si>
  <si>
    <t xml:space="preserve">PO-2024165</t>
  </si>
  <si>
    <t xml:space="preserve">PO-2024166</t>
  </si>
  <si>
    <t xml:space="preserve">2024-08-25</t>
  </si>
  <si>
    <t xml:space="preserve">PO-2024167</t>
  </si>
  <si>
    <t xml:space="preserve">PO-2024168</t>
  </si>
  <si>
    <t xml:space="preserve">PO-2024169</t>
  </si>
  <si>
    <t xml:space="preserve">2024-12-14</t>
  </si>
  <si>
    <t xml:space="preserve">PO-2024170</t>
  </si>
  <si>
    <t xml:space="preserve">PO-2024171</t>
  </si>
  <si>
    <t xml:space="preserve">PO-2024172</t>
  </si>
  <si>
    <t xml:space="preserve">PO-2024173</t>
  </si>
  <si>
    <t xml:space="preserve">PO-2024174</t>
  </si>
  <si>
    <t xml:space="preserve">2024-10-04</t>
  </si>
  <si>
    <t xml:space="preserve">PO-2024175</t>
  </si>
  <si>
    <t xml:space="preserve">2024-12-10</t>
  </si>
  <si>
    <t xml:space="preserve">PO-2024176</t>
  </si>
  <si>
    <t xml:space="preserve">PO-2024177</t>
  </si>
  <si>
    <t xml:space="preserve">2024-06-20</t>
  </si>
  <si>
    <t xml:space="preserve">PO-2024178</t>
  </si>
  <si>
    <t xml:space="preserve">PO-2024179</t>
  </si>
  <si>
    <t xml:space="preserve">2024-04-27</t>
  </si>
  <si>
    <t xml:space="preserve">PO-2024180</t>
  </si>
  <si>
    <t xml:space="preserve">2024-06-23</t>
  </si>
  <si>
    <t xml:space="preserve">PO-2024181</t>
  </si>
  <si>
    <t xml:space="preserve">2024-04-30</t>
  </si>
  <si>
    <t xml:space="preserve">PO-2024182</t>
  </si>
  <si>
    <t xml:space="preserve">PO-2024183</t>
  </si>
  <si>
    <t xml:space="preserve">2024-10-20</t>
  </si>
  <si>
    <t xml:space="preserve">PO-2024184</t>
  </si>
  <si>
    <t xml:space="preserve">2024-06-10</t>
  </si>
  <si>
    <t xml:space="preserve">PO-2024185</t>
  </si>
  <si>
    <t xml:space="preserve">PO-2024186</t>
  </si>
  <si>
    <t xml:space="preserve">PO-2024187</t>
  </si>
  <si>
    <t xml:space="preserve">PO-2024188</t>
  </si>
  <si>
    <t xml:space="preserve">2024-07-18</t>
  </si>
  <si>
    <t xml:space="preserve">PO-2024189</t>
  </si>
  <si>
    <t xml:space="preserve">2024-08-09</t>
  </si>
  <si>
    <t xml:space="preserve">PO-2024190</t>
  </si>
  <si>
    <t xml:space="preserve">2024-10-25</t>
  </si>
  <si>
    <t xml:space="preserve">PO-2024191</t>
  </si>
  <si>
    <t xml:space="preserve">PO-2024192</t>
  </si>
  <si>
    <t xml:space="preserve">2024-05-01</t>
  </si>
  <si>
    <t xml:space="preserve">PO-2024193</t>
  </si>
  <si>
    <t xml:space="preserve">PO-2024194</t>
  </si>
  <si>
    <t xml:space="preserve">2024-03-08</t>
  </si>
  <si>
    <t xml:space="preserve">PO-2024195</t>
  </si>
  <si>
    <t xml:space="preserve">PO-2024196</t>
  </si>
  <si>
    <t xml:space="preserve">2024-01-02</t>
  </si>
  <si>
    <t xml:space="preserve">PO-2024197</t>
  </si>
  <si>
    <t xml:space="preserve">PO-2024198</t>
  </si>
  <si>
    <t xml:space="preserve">PO-2024199</t>
  </si>
  <si>
    <t xml:space="preserve">PO-2024200</t>
  </si>
  <si>
    <t xml:space="preserve">SALES ORDERS — AL-NOOR TRADING COMPANY (Jan–Dec 2024)</t>
  </si>
  <si>
    <t xml:space="preserve">SO Number</t>
  </si>
  <si>
    <t xml:space="preserve">Qty Sold</t>
  </si>
  <si>
    <t xml:space="preserve">Total Revenue (PKR)</t>
  </si>
  <si>
    <t xml:space="preserve">Gross Profit (PKR)</t>
  </si>
  <si>
    <t xml:space="preserve">SO-2024001</t>
  </si>
  <si>
    <t xml:space="preserve">SO-2024002</t>
  </si>
  <si>
    <t xml:space="preserve">2024-05-13</t>
  </si>
  <si>
    <t xml:space="preserve">SO-2024003</t>
  </si>
  <si>
    <t xml:space="preserve">2024-06-16</t>
  </si>
  <si>
    <t xml:space="preserve">SO-2024004</t>
  </si>
  <si>
    <t xml:space="preserve">2024-07-29</t>
  </si>
  <si>
    <t xml:space="preserve">SO-2024005</t>
  </si>
  <si>
    <t xml:space="preserve">SO-2024006</t>
  </si>
  <si>
    <t xml:space="preserve">2024-08-18</t>
  </si>
  <si>
    <t xml:space="preserve">SO-2024007</t>
  </si>
  <si>
    <t xml:space="preserve">2024-06-11</t>
  </si>
  <si>
    <t xml:space="preserve">SO-2024008</t>
  </si>
  <si>
    <t xml:space="preserve">2024-06-17</t>
  </si>
  <si>
    <t xml:space="preserve">SO-2024009</t>
  </si>
  <si>
    <t xml:space="preserve">2024-09-22</t>
  </si>
  <si>
    <t xml:space="preserve">SO-2024010</t>
  </si>
  <si>
    <t xml:space="preserve">SO-2024011</t>
  </si>
  <si>
    <t xml:space="preserve">SO-2024012</t>
  </si>
  <si>
    <t xml:space="preserve">SO-2024013</t>
  </si>
  <si>
    <t xml:space="preserve">SO-2024014</t>
  </si>
  <si>
    <t xml:space="preserve">2024-03-24</t>
  </si>
  <si>
    <t xml:space="preserve">SO-2024015</t>
  </si>
  <si>
    <t xml:space="preserve">SO-2024016</t>
  </si>
  <si>
    <t xml:space="preserve">SO-2024017</t>
  </si>
  <si>
    <t xml:space="preserve">2024-11-26</t>
  </si>
  <si>
    <t xml:space="preserve">SO-2024018</t>
  </si>
  <si>
    <t xml:space="preserve">2024-03-11</t>
  </si>
  <si>
    <t xml:space="preserve">SO-2024019</t>
  </si>
  <si>
    <t xml:space="preserve">2024-11-03</t>
  </si>
  <si>
    <t xml:space="preserve">SO-2024020</t>
  </si>
  <si>
    <t xml:space="preserve">2024-11-22</t>
  </si>
  <si>
    <t xml:space="preserve">SO-2024021</t>
  </si>
  <si>
    <t xml:space="preserve">SO-2024022</t>
  </si>
  <si>
    <t xml:space="preserve">SO-2024023</t>
  </si>
  <si>
    <t xml:space="preserve">2024-10-24</t>
  </si>
  <si>
    <t xml:space="preserve">SO-2024024</t>
  </si>
  <si>
    <t xml:space="preserve">SO-2024025</t>
  </si>
  <si>
    <t xml:space="preserve">SO-2024026</t>
  </si>
  <si>
    <t xml:space="preserve">SO-2024027</t>
  </si>
  <si>
    <t xml:space="preserve">2024-11-29</t>
  </si>
  <si>
    <t xml:space="preserve">SO-2024028</t>
  </si>
  <si>
    <t xml:space="preserve">2024-07-24</t>
  </si>
  <si>
    <t xml:space="preserve">SO-2024029</t>
  </si>
  <si>
    <t xml:space="preserve">SO-2024030</t>
  </si>
  <si>
    <t xml:space="preserve">SO-2024031</t>
  </si>
  <si>
    <t xml:space="preserve">2024-01-07</t>
  </si>
  <si>
    <t xml:space="preserve">SO-2024032</t>
  </si>
  <si>
    <t xml:space="preserve">SO-2024033</t>
  </si>
  <si>
    <t xml:space="preserve">2024-11-25</t>
  </si>
  <si>
    <t xml:space="preserve">SO-2024034</t>
  </si>
  <si>
    <t xml:space="preserve">2024-06-03</t>
  </si>
  <si>
    <t xml:space="preserve">SO-2024035</t>
  </si>
  <si>
    <t xml:space="preserve">SO-2024036</t>
  </si>
  <si>
    <t xml:space="preserve">SO-2024037</t>
  </si>
  <si>
    <t xml:space="preserve">2024-12-07</t>
  </si>
  <si>
    <t xml:space="preserve">SO-2024038</t>
  </si>
  <si>
    <t xml:space="preserve">SO-2024039</t>
  </si>
  <si>
    <t xml:space="preserve">SO-2024040</t>
  </si>
  <si>
    <t xml:space="preserve">SO-2024041</t>
  </si>
  <si>
    <t xml:space="preserve">SO-2024042</t>
  </si>
  <si>
    <t xml:space="preserve">SO-2024043</t>
  </si>
  <si>
    <t xml:space="preserve">2024-09-06</t>
  </si>
  <si>
    <t xml:space="preserve">SO-2024044</t>
  </si>
  <si>
    <t xml:space="preserve">2024-11-20</t>
  </si>
  <si>
    <t xml:space="preserve">SO-2024045</t>
  </si>
  <si>
    <t xml:space="preserve">2024-05-31</t>
  </si>
  <si>
    <t xml:space="preserve">SO-2024046</t>
  </si>
  <si>
    <t xml:space="preserve">2024-06-01</t>
  </si>
  <si>
    <t xml:space="preserve">SO-2024047</t>
  </si>
  <si>
    <t xml:space="preserve">2024-02-20</t>
  </si>
  <si>
    <t xml:space="preserve">SO-2024048</t>
  </si>
  <si>
    <t xml:space="preserve">2024-07-17</t>
  </si>
  <si>
    <t xml:space="preserve">SO-2024049</t>
  </si>
  <si>
    <t xml:space="preserve">SO-2024050</t>
  </si>
  <si>
    <t xml:space="preserve">SO-2024051</t>
  </si>
  <si>
    <t xml:space="preserve">SO-2024052</t>
  </si>
  <si>
    <t xml:space="preserve">2024-10-07</t>
  </si>
  <si>
    <t xml:space="preserve">SO-2024053</t>
  </si>
  <si>
    <t xml:space="preserve">SO-2024054</t>
  </si>
  <si>
    <t xml:space="preserve">2024-11-07</t>
  </si>
  <si>
    <t xml:space="preserve">SO-2024055</t>
  </si>
  <si>
    <t xml:space="preserve">2024-04-18</t>
  </si>
  <si>
    <t xml:space="preserve">SO-2024056</t>
  </si>
  <si>
    <t xml:space="preserve">2024-07-26</t>
  </si>
  <si>
    <t xml:space="preserve">SO-2024057</t>
  </si>
  <si>
    <t xml:space="preserve">SO-2024058</t>
  </si>
  <si>
    <t xml:space="preserve">2024-01-26</t>
  </si>
  <si>
    <t xml:space="preserve">SO-2024059</t>
  </si>
  <si>
    <t xml:space="preserve">2024-11-14</t>
  </si>
  <si>
    <t xml:space="preserve">SO-2024060</t>
  </si>
  <si>
    <t xml:space="preserve">SO-2024061</t>
  </si>
  <si>
    <t xml:space="preserve">SO-2024062</t>
  </si>
  <si>
    <t xml:space="preserve">2024-06-12</t>
  </si>
  <si>
    <t xml:space="preserve">SO-2024063</t>
  </si>
  <si>
    <t xml:space="preserve">2024-05-29</t>
  </si>
  <si>
    <t xml:space="preserve">SO-2024064</t>
  </si>
  <si>
    <t xml:space="preserve">2024-04-15</t>
  </si>
  <si>
    <t xml:space="preserve">SO-2024065</t>
  </si>
  <si>
    <t xml:space="preserve">2024-03-10</t>
  </si>
  <si>
    <t xml:space="preserve">SO-2024066</t>
  </si>
  <si>
    <t xml:space="preserve">2024-01-11</t>
  </si>
  <si>
    <t xml:space="preserve">SO-2024067</t>
  </si>
  <si>
    <t xml:space="preserve">SO-2024068</t>
  </si>
  <si>
    <t xml:space="preserve">2024-01-04</t>
  </si>
  <si>
    <t xml:space="preserve">SO-2024069</t>
  </si>
  <si>
    <t xml:space="preserve">SO-2024070</t>
  </si>
  <si>
    <t xml:space="preserve">SO-2024071</t>
  </si>
  <si>
    <t xml:space="preserve">SO-2024072</t>
  </si>
  <si>
    <t xml:space="preserve">SO-2024073</t>
  </si>
  <si>
    <t xml:space="preserve">SO-2024074</t>
  </si>
  <si>
    <t xml:space="preserve">SO-2024075</t>
  </si>
  <si>
    <t xml:space="preserve">2024-11-30</t>
  </si>
  <si>
    <t xml:space="preserve">SO-2024076</t>
  </si>
  <si>
    <t xml:space="preserve">SO-2024077</t>
  </si>
  <si>
    <t xml:space="preserve">SO-2024078</t>
  </si>
  <si>
    <t xml:space="preserve">SO-2024079</t>
  </si>
  <si>
    <t xml:space="preserve">2024-11-23</t>
  </si>
  <si>
    <t xml:space="preserve">SO-2024080</t>
  </si>
  <si>
    <t xml:space="preserve">2024-12-15</t>
  </si>
  <si>
    <t xml:space="preserve">SO-2024081</t>
  </si>
  <si>
    <t xml:space="preserve">2024-03-04</t>
  </si>
  <si>
    <t xml:space="preserve">SO-2024082</t>
  </si>
  <si>
    <t xml:space="preserve">SO-2024083</t>
  </si>
  <si>
    <t xml:space="preserve">2024-07-19</t>
  </si>
  <si>
    <t xml:space="preserve">SO-2024084</t>
  </si>
  <si>
    <t xml:space="preserve">SO-2024085</t>
  </si>
  <si>
    <t xml:space="preserve">2024-04-01</t>
  </si>
  <si>
    <t xml:space="preserve">SO-2024086</t>
  </si>
  <si>
    <t xml:space="preserve">2024-01-13</t>
  </si>
  <si>
    <t xml:space="preserve">SO-2024087</t>
  </si>
  <si>
    <t xml:space="preserve">SO-2024088</t>
  </si>
  <si>
    <t xml:space="preserve">2024-12-04</t>
  </si>
  <si>
    <t xml:space="preserve">SO-2024089</t>
  </si>
  <si>
    <t xml:space="preserve">2024-05-15</t>
  </si>
  <si>
    <t xml:space="preserve">SO-2024090</t>
  </si>
  <si>
    <t xml:space="preserve">2024-06-04</t>
  </si>
  <si>
    <t xml:space="preserve">SO-2024091</t>
  </si>
  <si>
    <t xml:space="preserve">2024-09-15</t>
  </si>
  <si>
    <t xml:space="preserve">SO-2024092</t>
  </si>
  <si>
    <t xml:space="preserve">SO-2024093</t>
  </si>
  <si>
    <t xml:space="preserve">SO-2024094</t>
  </si>
  <si>
    <t xml:space="preserve">SO-2024095</t>
  </si>
  <si>
    <t xml:space="preserve">2024-08-02</t>
  </si>
  <si>
    <t xml:space="preserve">SO-2024096</t>
  </si>
  <si>
    <t xml:space="preserve">SO-2024097</t>
  </si>
  <si>
    <t xml:space="preserve">2024-03-19</t>
  </si>
  <si>
    <t xml:space="preserve">SO-2024098</t>
  </si>
  <si>
    <t xml:space="preserve">SO-2024099</t>
  </si>
  <si>
    <t xml:space="preserve">SO-2024100</t>
  </si>
  <si>
    <t xml:space="preserve">SO-2024101</t>
  </si>
  <si>
    <t xml:space="preserve">SO-2024102</t>
  </si>
  <si>
    <t xml:space="preserve">SO-2024103</t>
  </si>
  <si>
    <t xml:space="preserve">SO-2024104</t>
  </si>
  <si>
    <t xml:space="preserve">SO-2024105</t>
  </si>
  <si>
    <t xml:space="preserve">SO-2024106</t>
  </si>
  <si>
    <t xml:space="preserve">2024-03-18</t>
  </si>
  <si>
    <t xml:space="preserve">SO-2024107</t>
  </si>
  <si>
    <t xml:space="preserve">SO-2024108</t>
  </si>
  <si>
    <t xml:space="preserve">2024-03-06</t>
  </si>
  <si>
    <t xml:space="preserve">SO-2024109</t>
  </si>
  <si>
    <t xml:space="preserve">2024-10-31</t>
  </si>
  <si>
    <t xml:space="preserve">SO-2024110</t>
  </si>
  <si>
    <t xml:space="preserve">SO-2024111</t>
  </si>
  <si>
    <t xml:space="preserve">2024-10-15</t>
  </si>
  <si>
    <t xml:space="preserve">SO-2024112</t>
  </si>
  <si>
    <t xml:space="preserve">SO-2024113</t>
  </si>
  <si>
    <t xml:space="preserve">2024-07-27</t>
  </si>
  <si>
    <t xml:space="preserve">SO-2024114</t>
  </si>
  <si>
    <t xml:space="preserve">SO-2024115</t>
  </si>
  <si>
    <t xml:space="preserve">SO-2024116</t>
  </si>
  <si>
    <t xml:space="preserve">SO-2024117</t>
  </si>
  <si>
    <t xml:space="preserve">SO-2024118</t>
  </si>
  <si>
    <t xml:space="preserve">2024-10-08</t>
  </si>
  <si>
    <t xml:space="preserve">SO-2024119</t>
  </si>
  <si>
    <t xml:space="preserve">SO-2024120</t>
  </si>
  <si>
    <t xml:space="preserve">SO-2024121</t>
  </si>
  <si>
    <t xml:space="preserve">SO-2024122</t>
  </si>
  <si>
    <t xml:space="preserve">SO-2024123</t>
  </si>
  <si>
    <t xml:space="preserve">2024-07-02</t>
  </si>
  <si>
    <t xml:space="preserve">SO-2024124</t>
  </si>
  <si>
    <t xml:space="preserve">SO-2024125</t>
  </si>
  <si>
    <t xml:space="preserve">2024-12-12</t>
  </si>
  <si>
    <t xml:space="preserve">SO-2024126</t>
  </si>
  <si>
    <t xml:space="preserve">SO-2024127</t>
  </si>
  <si>
    <t xml:space="preserve">SO-2024128</t>
  </si>
  <si>
    <t xml:space="preserve">2024-08-13</t>
  </si>
  <si>
    <t xml:space="preserve">SO-2024129</t>
  </si>
  <si>
    <t xml:space="preserve">SO-2024130</t>
  </si>
  <si>
    <t xml:space="preserve">SO-2024131</t>
  </si>
  <si>
    <t xml:space="preserve">2024-05-26</t>
  </si>
  <si>
    <t xml:space="preserve">SO-2024132</t>
  </si>
  <si>
    <t xml:space="preserve">SO-2024133</t>
  </si>
  <si>
    <t xml:space="preserve">SO-2024134</t>
  </si>
  <si>
    <t xml:space="preserve">SO-2024135</t>
  </si>
  <si>
    <t xml:space="preserve">SO-2024136</t>
  </si>
  <si>
    <t xml:space="preserve">SO-2024137</t>
  </si>
  <si>
    <t xml:space="preserve">2024-01-01</t>
  </si>
  <si>
    <t xml:space="preserve">SO-2024138</t>
  </si>
  <si>
    <t xml:space="preserve">2024-08-06</t>
  </si>
  <si>
    <t xml:space="preserve">SO-2024139</t>
  </si>
  <si>
    <t xml:space="preserve">2024-07-12</t>
  </si>
  <si>
    <t xml:space="preserve">SO-2024140</t>
  </si>
  <si>
    <t xml:space="preserve">SO-2024141</t>
  </si>
  <si>
    <t xml:space="preserve">2024-10-05</t>
  </si>
  <si>
    <t xml:space="preserve">SO-2024142</t>
  </si>
  <si>
    <t xml:space="preserve">2024-01-06</t>
  </si>
  <si>
    <t xml:space="preserve">SO-2024143</t>
  </si>
  <si>
    <t xml:space="preserve">2024-09-26</t>
  </si>
  <si>
    <t xml:space="preserve">SO-2024144</t>
  </si>
  <si>
    <t xml:space="preserve">2024-04-17</t>
  </si>
  <si>
    <t xml:space="preserve">SO-2024145</t>
  </si>
  <si>
    <t xml:space="preserve">SO-2024146</t>
  </si>
  <si>
    <t xml:space="preserve">SO-2024147</t>
  </si>
  <si>
    <t xml:space="preserve">2024-04-14</t>
  </si>
  <si>
    <t xml:space="preserve">SO-2024148</t>
  </si>
  <si>
    <t xml:space="preserve">2024-01-14</t>
  </si>
  <si>
    <t xml:space="preserve">SO-2024149</t>
  </si>
  <si>
    <t xml:space="preserve">2024-06-29</t>
  </si>
  <si>
    <t xml:space="preserve">SO-2024150</t>
  </si>
  <si>
    <t xml:space="preserve">2024-01-12</t>
  </si>
  <si>
    <t xml:space="preserve">SO-2024151</t>
  </si>
  <si>
    <t xml:space="preserve">SO-2024152</t>
  </si>
  <si>
    <t xml:space="preserve">SO-2024153</t>
  </si>
  <si>
    <t xml:space="preserve">2024-01-27</t>
  </si>
  <si>
    <t xml:space="preserve">SO-2024154</t>
  </si>
  <si>
    <t xml:space="preserve">SO-2024155</t>
  </si>
  <si>
    <t xml:space="preserve">2024-05-23</t>
  </si>
  <si>
    <t xml:space="preserve">SO-2024156</t>
  </si>
  <si>
    <t xml:space="preserve">2024-02-13</t>
  </si>
  <si>
    <t xml:space="preserve">SO-2024157</t>
  </si>
  <si>
    <t xml:space="preserve">2024-12-27</t>
  </si>
  <si>
    <t xml:space="preserve">SO-2024158</t>
  </si>
  <si>
    <t xml:space="preserve">SO-2024159</t>
  </si>
  <si>
    <t xml:space="preserve">SO-2024160</t>
  </si>
  <si>
    <t xml:space="preserve">SO-2024161</t>
  </si>
  <si>
    <t xml:space="preserve">2024-02-22</t>
  </si>
  <si>
    <t xml:space="preserve">SO-2024162</t>
  </si>
  <si>
    <t xml:space="preserve">SO-2024163</t>
  </si>
  <si>
    <t xml:space="preserve">SO-2024164</t>
  </si>
  <si>
    <t xml:space="preserve">2024-12-03</t>
  </si>
  <si>
    <t xml:space="preserve">SO-2024165</t>
  </si>
  <si>
    <t xml:space="preserve">SO-2024166</t>
  </si>
  <si>
    <t xml:space="preserve">2024-07-09</t>
  </si>
  <si>
    <t xml:space="preserve">SO-2024167</t>
  </si>
  <si>
    <t xml:space="preserve">2024-09-24</t>
  </si>
  <si>
    <t xml:space="preserve">SO-2024168</t>
  </si>
  <si>
    <t xml:space="preserve">2024-02-03</t>
  </si>
  <si>
    <t xml:space="preserve">SO-2024169</t>
  </si>
  <si>
    <t xml:space="preserve">SO-2024170</t>
  </si>
  <si>
    <t xml:space="preserve">2024-01-21</t>
  </si>
  <si>
    <t xml:space="preserve">SO-2024171</t>
  </si>
  <si>
    <t xml:space="preserve">SO-2024172</t>
  </si>
  <si>
    <t xml:space="preserve">SO-2024173</t>
  </si>
  <si>
    <t xml:space="preserve">SO-2024174</t>
  </si>
  <si>
    <t xml:space="preserve">2024-05-05</t>
  </si>
  <si>
    <t xml:space="preserve">SO-2024175</t>
  </si>
  <si>
    <t xml:space="preserve">SO-2024176</t>
  </si>
  <si>
    <t xml:space="preserve">2024-11-01</t>
  </si>
  <si>
    <t xml:space="preserve">SO-2024177</t>
  </si>
  <si>
    <t xml:space="preserve">2024-08-12</t>
  </si>
  <si>
    <t xml:space="preserve">SO-2024178</t>
  </si>
  <si>
    <t xml:space="preserve">SO-2024179</t>
  </si>
  <si>
    <t xml:space="preserve">2024-04-11</t>
  </si>
  <si>
    <t xml:space="preserve">SO-2024180</t>
  </si>
  <si>
    <t xml:space="preserve">SO-2024181</t>
  </si>
  <si>
    <t xml:space="preserve">2024-09-28</t>
  </si>
  <si>
    <t xml:space="preserve">SO-2024182</t>
  </si>
  <si>
    <t xml:space="preserve">2024-05-10</t>
  </si>
  <si>
    <t xml:space="preserve">SO-2024183</t>
  </si>
  <si>
    <t xml:space="preserve">SO-2024184</t>
  </si>
  <si>
    <t xml:space="preserve">2024-02-24</t>
  </si>
  <si>
    <t xml:space="preserve">SO-2024185</t>
  </si>
  <si>
    <t xml:space="preserve">SO-2024186</t>
  </si>
  <si>
    <t xml:space="preserve">SO-2024187</t>
  </si>
  <si>
    <t xml:space="preserve">2024-06-18</t>
  </si>
  <si>
    <t xml:space="preserve">SO-2024188</t>
  </si>
  <si>
    <t xml:space="preserve">SO-2024189</t>
  </si>
  <si>
    <t xml:space="preserve">SO-2024190</t>
  </si>
  <si>
    <t xml:space="preserve">SO-2024191</t>
  </si>
  <si>
    <t xml:space="preserve">SO-2024192</t>
  </si>
  <si>
    <t xml:space="preserve">2024-07-23</t>
  </si>
  <si>
    <t xml:space="preserve">SO-2024193</t>
  </si>
  <si>
    <t xml:space="preserve">2024-03-14</t>
  </si>
  <si>
    <t xml:space="preserve">SO-2024194</t>
  </si>
  <si>
    <t xml:space="preserve">SO-2024195</t>
  </si>
  <si>
    <t xml:space="preserve">SO-2024196</t>
  </si>
  <si>
    <t xml:space="preserve">SO-2024197</t>
  </si>
  <si>
    <t xml:space="preserve">2024-04-25</t>
  </si>
  <si>
    <t xml:space="preserve">SO-2024198</t>
  </si>
  <si>
    <t xml:space="preserve">2024-03-09</t>
  </si>
  <si>
    <t xml:space="preserve">SO-2024199</t>
  </si>
  <si>
    <t xml:space="preserve">SO-2024200</t>
  </si>
  <si>
    <t xml:space="preserve">SO-2024201</t>
  </si>
  <si>
    <t xml:space="preserve">SO-2024202</t>
  </si>
  <si>
    <t xml:space="preserve">SO-2024203</t>
  </si>
  <si>
    <t xml:space="preserve">2024-05-09</t>
  </si>
  <si>
    <t xml:space="preserve">SO-2024204</t>
  </si>
  <si>
    <t xml:space="preserve">SO-2024205</t>
  </si>
  <si>
    <t xml:space="preserve">SO-2024206</t>
  </si>
  <si>
    <t xml:space="preserve">2024-07-08</t>
  </si>
  <si>
    <t xml:space="preserve">SO-2024207</t>
  </si>
  <si>
    <t xml:space="preserve">SO-2024208</t>
  </si>
  <si>
    <t xml:space="preserve">SO-2024209</t>
  </si>
  <si>
    <t xml:space="preserve">2024-01-23</t>
  </si>
  <si>
    <t xml:space="preserve">SO-2024210</t>
  </si>
  <si>
    <t xml:space="preserve">SO-2024211</t>
  </si>
  <si>
    <t xml:space="preserve">2024-02-16</t>
  </si>
  <si>
    <t xml:space="preserve">SO-2024212</t>
  </si>
  <si>
    <t xml:space="preserve">SO-2024213</t>
  </si>
  <si>
    <t xml:space="preserve">SO-2024214</t>
  </si>
  <si>
    <t xml:space="preserve">SO-2024215</t>
  </si>
  <si>
    <t xml:space="preserve">SO-2024216</t>
  </si>
  <si>
    <t xml:space="preserve">2024-08-05</t>
  </si>
  <si>
    <t xml:space="preserve">SO-2024217</t>
  </si>
  <si>
    <t xml:space="preserve">2024-11-19</t>
  </si>
  <si>
    <t xml:space="preserve">SO-2024218</t>
  </si>
  <si>
    <t xml:space="preserve">SO-2024219</t>
  </si>
  <si>
    <t xml:space="preserve">2024-09-13</t>
  </si>
  <si>
    <t xml:space="preserve">SO-2024220</t>
  </si>
  <si>
    <t xml:space="preserve">SO-2024221</t>
  </si>
  <si>
    <t xml:space="preserve">2024-04-06</t>
  </si>
  <si>
    <t xml:space="preserve">SO-2024222</t>
  </si>
  <si>
    <t xml:space="preserve">2024-06-21</t>
  </si>
  <si>
    <t xml:space="preserve">SO-2024223</t>
  </si>
  <si>
    <t xml:space="preserve">SO-2024224</t>
  </si>
  <si>
    <t xml:space="preserve">SO-2024225</t>
  </si>
  <si>
    <t xml:space="preserve">SO-2024226</t>
  </si>
  <si>
    <t xml:space="preserve">SO-2024227</t>
  </si>
  <si>
    <t xml:space="preserve">SO-2024228</t>
  </si>
  <si>
    <t xml:space="preserve">SO-2024229</t>
  </si>
  <si>
    <t xml:space="preserve">2024-12-01</t>
  </si>
  <si>
    <t xml:space="preserve">SO-2024230</t>
  </si>
  <si>
    <t xml:space="preserve">SO-2024231</t>
  </si>
  <si>
    <t xml:space="preserve">SO-2024232</t>
  </si>
  <si>
    <t xml:space="preserve">2024-08-01</t>
  </si>
  <si>
    <t xml:space="preserve">SO-2024233</t>
  </si>
  <si>
    <t xml:space="preserve">SO-2024234</t>
  </si>
  <si>
    <t xml:space="preserve">SO-2024235</t>
  </si>
  <si>
    <t xml:space="preserve">SO-2024236</t>
  </si>
  <si>
    <t xml:space="preserve">SO-2024237</t>
  </si>
  <si>
    <t xml:space="preserve">2024-07-15</t>
  </si>
  <si>
    <t xml:space="preserve">SO-2024238</t>
  </si>
  <si>
    <t xml:space="preserve">2024-11-09</t>
  </si>
  <si>
    <t xml:space="preserve">SO-2024239</t>
  </si>
  <si>
    <t xml:space="preserve">SO-2024240</t>
  </si>
  <si>
    <t xml:space="preserve">2024-03-07</t>
  </si>
  <si>
    <t xml:space="preserve">SO-2024241</t>
  </si>
  <si>
    <t xml:space="preserve">SO-2024242</t>
  </si>
  <si>
    <t xml:space="preserve">2024-10-11</t>
  </si>
  <si>
    <t xml:space="preserve">SO-2024243</t>
  </si>
  <si>
    <t xml:space="preserve">2024-08-26</t>
  </si>
  <si>
    <t xml:space="preserve">SO-2024244</t>
  </si>
  <si>
    <t xml:space="preserve">SO-2024245</t>
  </si>
  <si>
    <t xml:space="preserve">2024-06-30</t>
  </si>
  <si>
    <t xml:space="preserve">SO-2024246</t>
  </si>
  <si>
    <t xml:space="preserve">SO-2024247</t>
  </si>
  <si>
    <t xml:space="preserve">SO-2024248</t>
  </si>
  <si>
    <t xml:space="preserve">SO-2024249</t>
  </si>
  <si>
    <t xml:space="preserve">SO-2024250</t>
  </si>
  <si>
    <t xml:space="preserve">SO-2024251</t>
  </si>
  <si>
    <t xml:space="preserve">SO-2024252</t>
  </si>
  <si>
    <t xml:space="preserve">SO-2024253</t>
  </si>
  <si>
    <t xml:space="preserve">SO-2024254</t>
  </si>
  <si>
    <t xml:space="preserve">SO-2024255</t>
  </si>
  <si>
    <t xml:space="preserve">SO-2024256</t>
  </si>
  <si>
    <t xml:space="preserve">2024-11-05</t>
  </si>
  <si>
    <t xml:space="preserve">SO-2024257</t>
  </si>
  <si>
    <t xml:space="preserve">SO-2024258</t>
  </si>
  <si>
    <t xml:space="preserve">SO-2024259</t>
  </si>
  <si>
    <t xml:space="preserve">SO-2024260</t>
  </si>
  <si>
    <t xml:space="preserve">SO-2024261</t>
  </si>
  <si>
    <t xml:space="preserve">SO-2024262</t>
  </si>
  <si>
    <t xml:space="preserve">2024-04-28</t>
  </si>
  <si>
    <t xml:space="preserve">SO-2024263</t>
  </si>
  <si>
    <t xml:space="preserve">SO-2024264</t>
  </si>
  <si>
    <t xml:space="preserve">SO-2024265</t>
  </si>
  <si>
    <t xml:space="preserve">SO-2024266</t>
  </si>
  <si>
    <t xml:space="preserve">SO-2024267</t>
  </si>
  <si>
    <t xml:space="preserve">2024-10-10</t>
  </si>
  <si>
    <t xml:space="preserve">SO-2024268</t>
  </si>
  <si>
    <t xml:space="preserve">SO-2024269</t>
  </si>
  <si>
    <t xml:space="preserve">SO-2024270</t>
  </si>
  <si>
    <t xml:space="preserve">SO-2024271</t>
  </si>
  <si>
    <t xml:space="preserve">SO-2024272</t>
  </si>
  <si>
    <t xml:space="preserve">SO-2024273</t>
  </si>
  <si>
    <t xml:space="preserve">SO-2024274</t>
  </si>
  <si>
    <t xml:space="preserve">SO-2024275</t>
  </si>
  <si>
    <t xml:space="preserve">SO-2024276</t>
  </si>
  <si>
    <t xml:space="preserve">SO-2024277</t>
  </si>
  <si>
    <t xml:space="preserve">2024-07-07</t>
  </si>
  <si>
    <t xml:space="preserve">SO-2024278</t>
  </si>
  <si>
    <t xml:space="preserve">2024-04-22</t>
  </si>
  <si>
    <t xml:space="preserve">SO-2024279</t>
  </si>
  <si>
    <t xml:space="preserve">2024-08-15</t>
  </si>
  <si>
    <t xml:space="preserve">SO-2024280</t>
  </si>
  <si>
    <t xml:space="preserve">SO-2024281</t>
  </si>
  <si>
    <t xml:space="preserve">2024-05-27</t>
  </si>
  <si>
    <t xml:space="preserve">SO-2024282</t>
  </si>
  <si>
    <t xml:space="preserve">2024-12-18</t>
  </si>
  <si>
    <t xml:space="preserve">SO-2024283</t>
  </si>
  <si>
    <t xml:space="preserve">2024-09-03</t>
  </si>
  <si>
    <t xml:space="preserve">SO-2024284</t>
  </si>
  <si>
    <t xml:space="preserve">SO-2024285</t>
  </si>
  <si>
    <t xml:space="preserve">SO-2024286</t>
  </si>
  <si>
    <t xml:space="preserve">SO-2024287</t>
  </si>
  <si>
    <t xml:space="preserve">SO-2024288</t>
  </si>
  <si>
    <t xml:space="preserve">SO-2024289</t>
  </si>
  <si>
    <t xml:space="preserve">2024-09-09</t>
  </si>
  <si>
    <t xml:space="preserve">SO-2024290</t>
  </si>
  <si>
    <t xml:space="preserve">2024-02-01</t>
  </si>
  <si>
    <t xml:space="preserve">SO-2024291</t>
  </si>
  <si>
    <t xml:space="preserve">SO-2024292</t>
  </si>
  <si>
    <t xml:space="preserve">2024-03-25</t>
  </si>
  <si>
    <t xml:space="preserve">SO-2024293</t>
  </si>
  <si>
    <t xml:space="preserve">2024-07-16</t>
  </si>
  <si>
    <t xml:space="preserve">SO-2024294</t>
  </si>
  <si>
    <t xml:space="preserve">2024-04-29</t>
  </si>
  <si>
    <t xml:space="preserve">SO-2024295</t>
  </si>
  <si>
    <t xml:space="preserve">2024-02-21</t>
  </si>
  <si>
    <t xml:space="preserve">SO-2024296</t>
  </si>
  <si>
    <t xml:space="preserve">SO-2024297</t>
  </si>
  <si>
    <t xml:space="preserve">SO-2024298</t>
  </si>
  <si>
    <t xml:space="preserve">SO-2024299</t>
  </si>
  <si>
    <t xml:space="preserve">SO-2024300</t>
  </si>
  <si>
    <t xml:space="preserve">CURRENT INVENTORY STOCK — AL-NOOR TRADING COMPANY</t>
  </si>
  <si>
    <t xml:space="preserve">Qty in Hand</t>
  </si>
  <si>
    <t xml:space="preserve">Stock Value (PKR)</t>
  </si>
  <si>
    <t xml:space="preserve">Stock Status</t>
  </si>
  <si>
    <t xml:space="preserve">In Stock</t>
  </si>
  <si>
    <t xml:space="preserve">Low Stock</t>
  </si>
  <si>
    <t xml:space="preserve">EMPLOYEE MASTER — AL-NOOR TRADING COMPANY</t>
  </si>
  <si>
    <t xml:space="preserve">Employee ID</t>
  </si>
  <si>
    <t xml:space="preserve">Name</t>
  </si>
  <si>
    <t xml:space="preserve">Department</t>
  </si>
  <si>
    <t xml:space="preserve">Designation</t>
  </si>
  <si>
    <t xml:space="preserve">Date of Joining</t>
  </si>
  <si>
    <t xml:space="preserve">Salary (PKR)</t>
  </si>
  <si>
    <t xml:space="preserve">CNIC</t>
  </si>
  <si>
    <t xml:space="preserve">Bank Account</t>
  </si>
  <si>
    <t xml:space="preserve">EMP-001</t>
  </si>
  <si>
    <t xml:space="preserve">Muhammad Aslam</t>
  </si>
  <si>
    <t xml:space="preserve">Management</t>
  </si>
  <si>
    <t xml:space="preserve">CEO</t>
  </si>
  <si>
    <t xml:space="preserve">2015-01-01</t>
  </si>
  <si>
    <t xml:space="preserve">0300-1001001</t>
  </si>
  <si>
    <t xml:space="preserve">m.aslam@alnoor.pk</t>
  </si>
  <si>
    <t xml:space="preserve">35201-1234567-1</t>
  </si>
  <si>
    <t xml:space="preserve">0010001234567</t>
  </si>
  <si>
    <t xml:space="preserve">EMP-002</t>
  </si>
  <si>
    <t xml:space="preserve">Tariq Nawaz</t>
  </si>
  <si>
    <t xml:space="preserve">CFO</t>
  </si>
  <si>
    <t xml:space="preserve">2016-03-15</t>
  </si>
  <si>
    <t xml:space="preserve">0321-2002002</t>
  </si>
  <si>
    <t xml:space="preserve">t.nawaz@alnoor.pk</t>
  </si>
  <si>
    <t xml:space="preserve">35202-2345678-2</t>
  </si>
  <si>
    <t xml:space="preserve">0010002345678</t>
  </si>
  <si>
    <t xml:space="preserve">EMP-003</t>
  </si>
  <si>
    <t xml:space="preserve">Shahida Perveen</t>
  </si>
  <si>
    <t xml:space="preserve">HR</t>
  </si>
  <si>
    <t xml:space="preserve">HR Manager</t>
  </si>
  <si>
    <t xml:space="preserve">2017-06-01</t>
  </si>
  <si>
    <t xml:space="preserve">0333-3003003</t>
  </si>
  <si>
    <t xml:space="preserve">s.perveen@alnoor.pk</t>
  </si>
  <si>
    <t xml:space="preserve">35203-3456789-3</t>
  </si>
  <si>
    <t xml:space="preserve">0010003456789</t>
  </si>
  <si>
    <t xml:space="preserve">EMP-004</t>
  </si>
  <si>
    <t xml:space="preserve">Bilal Ahmed</t>
  </si>
  <si>
    <t xml:space="preserve">Sales</t>
  </si>
  <si>
    <t xml:space="preserve">Sales Manager</t>
  </si>
  <si>
    <t xml:space="preserve">2018-02-10</t>
  </si>
  <si>
    <t xml:space="preserve">0345-4004004</t>
  </si>
  <si>
    <t xml:space="preserve">b.ahmed@alnoor.pk</t>
  </si>
  <si>
    <t xml:space="preserve">35204-4567890-4</t>
  </si>
  <si>
    <t xml:space="preserve">0010004567890</t>
  </si>
  <si>
    <t xml:space="preserve">EMP-005</t>
  </si>
  <si>
    <t xml:space="preserve">Farrukh Saleem</t>
  </si>
  <si>
    <t xml:space="preserve">Purchase</t>
  </si>
  <si>
    <t xml:space="preserve">Purchase Manager</t>
  </si>
  <si>
    <t xml:space="preserve">2018-05-20</t>
  </si>
  <si>
    <t xml:space="preserve">0301-5005005</t>
  </si>
  <si>
    <t xml:space="preserve">f.saleem@alnoor.pk</t>
  </si>
  <si>
    <t xml:space="preserve">35205-5678901-5</t>
  </si>
  <si>
    <t xml:space="preserve">0010005678901</t>
  </si>
  <si>
    <t xml:space="preserve">EMP-006</t>
  </si>
  <si>
    <t xml:space="preserve">Hina Qureshi</t>
  </si>
  <si>
    <t xml:space="preserve">Finance</t>
  </si>
  <si>
    <t xml:space="preserve">Senior Accountant</t>
  </si>
  <si>
    <t xml:space="preserve">2019-01-15</t>
  </si>
  <si>
    <t xml:space="preserve">0311-6006006</t>
  </si>
  <si>
    <t xml:space="preserve">h.qureshi@alnoor.pk</t>
  </si>
  <si>
    <t xml:space="preserve">35206-6789012-6</t>
  </si>
  <si>
    <t xml:space="preserve">0010006789012</t>
  </si>
  <si>
    <t xml:space="preserve">EMP-007</t>
  </si>
  <si>
    <t xml:space="preserve">IT</t>
  </si>
  <si>
    <t xml:space="preserve">IT Manager</t>
  </si>
  <si>
    <t xml:space="preserve">2019-07-01</t>
  </si>
  <si>
    <t xml:space="preserve">0333-7007007</t>
  </si>
  <si>
    <t xml:space="preserve">k.iqbal@alnoor.pk</t>
  </si>
  <si>
    <t xml:space="preserve">35207-7890123-7</t>
  </si>
  <si>
    <t xml:space="preserve">0010007890123</t>
  </si>
  <si>
    <t xml:space="preserve">EMP-008</t>
  </si>
  <si>
    <t xml:space="preserve">Sana Malik</t>
  </si>
  <si>
    <t xml:space="preserve">Sales Executive</t>
  </si>
  <si>
    <t xml:space="preserve">2020-03-01</t>
  </si>
  <si>
    <t xml:space="preserve">0300-8008008</t>
  </si>
  <si>
    <t xml:space="preserve">s.malik@alnoor.pk</t>
  </si>
  <si>
    <t xml:space="preserve">35208-8901234-8</t>
  </si>
  <si>
    <t xml:space="preserve">0010008901234</t>
  </si>
  <si>
    <t xml:space="preserve">EMP-009</t>
  </si>
  <si>
    <t xml:space="preserve">2020-06-15</t>
  </si>
  <si>
    <t xml:space="preserve">0321-9009009</t>
  </si>
  <si>
    <t xml:space="preserve">u.ghani@alnoor.pk</t>
  </si>
  <si>
    <t xml:space="preserve">35209-9012345-9</t>
  </si>
  <si>
    <t xml:space="preserve">0010009012345</t>
  </si>
  <si>
    <t xml:space="preserve">EMP-010</t>
  </si>
  <si>
    <t xml:space="preserve">2020-09-01</t>
  </si>
  <si>
    <t xml:space="preserve">n.waseem@alnoor.pk</t>
  </si>
  <si>
    <t xml:space="preserve">35210-0123456-0</t>
  </si>
  <si>
    <t xml:space="preserve">0010000123456</t>
  </si>
  <si>
    <t xml:space="preserve">EMP-011</t>
  </si>
  <si>
    <t xml:space="preserve">Asif Raza</t>
  </si>
  <si>
    <t xml:space="preserve">Warehouse</t>
  </si>
  <si>
    <t xml:space="preserve">Warehouse Manager</t>
  </si>
  <si>
    <t xml:space="preserve">2017-04-01</t>
  </si>
  <si>
    <t xml:space="preserve">0301-1111011</t>
  </si>
  <si>
    <t xml:space="preserve">a.raza@alnoor.pk</t>
  </si>
  <si>
    <t xml:space="preserve">35201-1111111-1</t>
  </si>
  <si>
    <t xml:space="preserve">0010001111111</t>
  </si>
  <si>
    <t xml:space="preserve">EMP-012</t>
  </si>
  <si>
    <t xml:space="preserve">Imran Butt</t>
  </si>
  <si>
    <t xml:space="preserve">Store Keeper</t>
  </si>
  <si>
    <t xml:space="preserve">2019-11-01</t>
  </si>
  <si>
    <t xml:space="preserve">0311-1212012</t>
  </si>
  <si>
    <t xml:space="preserve">i.butt@alnoor.pk</t>
  </si>
  <si>
    <t xml:space="preserve">35201-2222222-2</t>
  </si>
  <si>
    <t xml:space="preserve">0010002222222</t>
  </si>
  <si>
    <t xml:space="preserve">EMP-013</t>
  </si>
  <si>
    <t xml:space="preserve">Rashid Mehmood</t>
  </si>
  <si>
    <t xml:space="preserve">2021-01-15</t>
  </si>
  <si>
    <t xml:space="preserve">0333-1313013</t>
  </si>
  <si>
    <t xml:space="preserve">r.mehmood@alnoor.pk</t>
  </si>
  <si>
    <t xml:space="preserve">35201-3333333-3</t>
  </si>
  <si>
    <t xml:space="preserve">0010003333333</t>
  </si>
  <si>
    <t xml:space="preserve">EMP-014</t>
  </si>
  <si>
    <t xml:space="preserve">Zubair Ali</t>
  </si>
  <si>
    <t xml:space="preserve">Delivery</t>
  </si>
  <si>
    <t xml:space="preserve">Delivery Supervisor</t>
  </si>
  <si>
    <t xml:space="preserve">2018-08-01</t>
  </si>
  <si>
    <t xml:space="preserve">0300-1414014</t>
  </si>
  <si>
    <t xml:space="preserve">z.ali@alnoor.pk</t>
  </si>
  <si>
    <t xml:space="preserve">35201-4444444-4</t>
  </si>
  <si>
    <t xml:space="preserve">0010004444444</t>
  </si>
  <si>
    <t xml:space="preserve">EMP-015</t>
  </si>
  <si>
    <t xml:space="preserve">Saeed Ahmad</t>
  </si>
  <si>
    <t xml:space="preserve">Driver</t>
  </si>
  <si>
    <t xml:space="preserve">2019-05-01</t>
  </si>
  <si>
    <t xml:space="preserve">0321-1515015</t>
  </si>
  <si>
    <t xml:space="preserve">s.ahmad@alnoor.pk</t>
  </si>
  <si>
    <t xml:space="preserve">35201-5555555-5</t>
  </si>
  <si>
    <t xml:space="preserve">0010005555555</t>
  </si>
  <si>
    <t xml:space="preserve">EMP-016</t>
  </si>
  <si>
    <t xml:space="preserve">Tanveer Hussain</t>
  </si>
  <si>
    <t xml:space="preserve">2020-02-01</t>
  </si>
  <si>
    <t xml:space="preserve">0345-1616016</t>
  </si>
  <si>
    <t xml:space="preserve">t.hussain@alnoor.pk</t>
  </si>
  <si>
    <t xml:space="preserve">35201-6666666-6</t>
  </si>
  <si>
    <t xml:space="preserve">0010006666666</t>
  </si>
  <si>
    <t xml:space="preserve">EMP-017</t>
  </si>
  <si>
    <t xml:space="preserve">Rehana Bibi</t>
  </si>
  <si>
    <t xml:space="preserve">Accounts Executive</t>
  </si>
  <si>
    <t xml:space="preserve">2021-04-01</t>
  </si>
  <si>
    <t xml:space="preserve">0301-1717017</t>
  </si>
  <si>
    <t xml:space="preserve">r.bibi@alnoor.pk</t>
  </si>
  <si>
    <t xml:space="preserve">35201-7777777-7</t>
  </si>
  <si>
    <t xml:space="preserve">0010007777777</t>
  </si>
  <si>
    <t xml:space="preserve">EMP-018</t>
  </si>
  <si>
    <t xml:space="preserve">Waqas Tariq</t>
  </si>
  <si>
    <t xml:space="preserve">Purchase Executive</t>
  </si>
  <si>
    <t xml:space="preserve">2021-07-01</t>
  </si>
  <si>
    <t xml:space="preserve">0311-1818018</t>
  </si>
  <si>
    <t xml:space="preserve">w.tariq@alnoor.pk</t>
  </si>
  <si>
    <t xml:space="preserve">35201-8888888-8</t>
  </si>
  <si>
    <t xml:space="preserve">0010008888888</t>
  </si>
  <si>
    <t xml:space="preserve">EMP-019</t>
  </si>
  <si>
    <t xml:space="preserve">Lubna Farooq</t>
  </si>
  <si>
    <t xml:space="preserve">HR Executive</t>
  </si>
  <si>
    <t xml:space="preserve">2022-01-01</t>
  </si>
  <si>
    <t xml:space="preserve">0333-1919019</t>
  </si>
  <si>
    <t xml:space="preserve">l.farooq@alnoor.pk</t>
  </si>
  <si>
    <t xml:space="preserve">35201-9999999-9</t>
  </si>
  <si>
    <t xml:space="preserve">0010009999999</t>
  </si>
  <si>
    <t xml:space="preserve">EMP-020</t>
  </si>
  <si>
    <t xml:space="preserve">Aamir Khan</t>
  </si>
  <si>
    <t xml:space="preserve">IT Support</t>
  </si>
  <si>
    <t xml:space="preserve">2022-06-01</t>
  </si>
  <si>
    <t xml:space="preserve">0300-2020020</t>
  </si>
  <si>
    <t xml:space="preserve">a.khan@alnoor.pk</t>
  </si>
  <si>
    <t xml:space="preserve">35202-0000000-0</t>
  </si>
  <si>
    <t xml:space="preserve">0010000000000</t>
  </si>
  <si>
    <t xml:space="preserve">ERP SUMMARY DASHBOARD — AL-NOOR TRADING CO. (FY 2024)</t>
  </si>
  <si>
    <t xml:space="preserve">BUSINESS OVERVIEW</t>
  </si>
  <si>
    <t xml:space="preserve">Total Products in Catalog</t>
  </si>
  <si>
    <t xml:space="preserve">Total Suppliers</t>
  </si>
  <si>
    <t xml:space="preserve">Total Customers</t>
  </si>
  <si>
    <t xml:space="preserve">Total Employees</t>
  </si>
  <si>
    <t xml:space="preserve">INVENTORY SUMMARY</t>
  </si>
  <si>
    <t xml:space="preserve">Total SKUs In Stock</t>
  </si>
  <si>
    <t xml:space="preserve">Low Stock Items</t>
  </si>
  <si>
    <t xml:space="preserve">Out of Stock Items</t>
  </si>
  <si>
    <t xml:space="preserve">Total Stock Value (PKR)</t>
  </si>
  <si>
    <t xml:space="preserve">SALES SUMMARY (2024)</t>
  </si>
  <si>
    <t xml:space="preserve">Total Sales Orders</t>
  </si>
  <si>
    <t xml:space="preserve">Total Cost of Goods (PKR)</t>
  </si>
  <si>
    <t xml:space="preserve">Total Gross Profit (PKR)</t>
  </si>
  <si>
    <t xml:space="preserve">PURCHASE SUMMARY (2024)</t>
  </si>
  <si>
    <t xml:space="preserve">Total Purchase Orders</t>
  </si>
  <si>
    <t xml:space="preserve">Total Purchases Value (PKR)</t>
  </si>
  <si>
    <t xml:space="preserve">Received Orders</t>
  </si>
  <si>
    <t xml:space="preserve">Pending Orders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</si>
</sst>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EBF5FB"/>
      </patternFill>
    </fill>
    <fill>
      <patternFill patternType="solid">
        <fgColor rgb="FFEBF5FB"/>
        <bgColor rgb="FFFFFFFF"/>
      </patternFill>
    </fill>
    <fill>
      <patternFill patternType="solid">
        <fgColor rgb="FFFFF2CC"/>
        <bgColor rgb="FFEBF5FB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B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8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10" min="9" style="0" width="16"/>
    <col collapsed="false" customWidth="true" hidden="false" outlineLevel="0" max="11" min="11" style="0" width="18"/>
    <col collapsed="false" customWidth="true" hidden="false" outlineLevel="0" max="12" min="12" style="0" width="10"/>
    <col collapsed="false" customWidth="true" hidden="false" outlineLevel="0" max="13" min="13" style="0" width="28"/>
    <col collapsed="false" customWidth="true" hidden="false" outlineLevel="0" max="14" min="14" style="0" width="18"/>
    <col collapsed="false" customWidth="true" hidden="false" outlineLevel="0" max="15" min="15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1.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</row>
    <row r="3" customFormat="false" ht="15" hidden="false" customHeight="false" outlineLevel="0" collapsed="false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  <c r="F3" s="3" t="s">
        <v>6</v>
      </c>
      <c r="G3" s="3" t="n">
        <v>1</v>
      </c>
      <c r="H3" s="3" t="n">
        <v>10</v>
      </c>
      <c r="I3" s="4" t="n">
        <v>75000</v>
      </c>
      <c r="J3" s="4" t="n">
        <v>95000</v>
      </c>
      <c r="K3" s="4" t="n">
        <f aca="false">J3-I3</f>
        <v>20000</v>
      </c>
      <c r="L3" s="5" t="n">
        <f aca="false">IF(J3&gt;0,(J3-I3)/J3,0)</f>
        <v>0.210526315789474</v>
      </c>
      <c r="M3" s="3" t="s">
        <v>21</v>
      </c>
      <c r="N3" s="3" t="s">
        <v>22</v>
      </c>
      <c r="O3" s="3" t="s">
        <v>23</v>
      </c>
    </row>
    <row r="4" customFormat="false" ht="15" hidden="false" customHeight="false" outlineLevel="0" collapsed="false">
      <c r="A4" s="6" t="s">
        <v>24</v>
      </c>
      <c r="B4" s="6" t="s">
        <v>17</v>
      </c>
      <c r="C4" s="6" t="s">
        <v>18</v>
      </c>
      <c r="D4" s="6" t="s">
        <v>25</v>
      </c>
      <c r="E4" s="6" t="s">
        <v>26</v>
      </c>
      <c r="F4" s="6" t="s">
        <v>6</v>
      </c>
      <c r="G4" s="6" t="n">
        <v>2</v>
      </c>
      <c r="H4" s="6" t="n">
        <v>10</v>
      </c>
      <c r="I4" s="7" t="n">
        <v>55000</v>
      </c>
      <c r="J4" s="7" t="n">
        <v>68000</v>
      </c>
      <c r="K4" s="7" t="n">
        <f aca="false">J4-I4</f>
        <v>13000</v>
      </c>
      <c r="L4" s="8" t="n">
        <f aca="false">IF(J4&gt;0,(J4-I4)/J4,0)</f>
        <v>0.191176470588235</v>
      </c>
      <c r="M4" s="6" t="s">
        <v>21</v>
      </c>
      <c r="N4" s="6" t="s">
        <v>22</v>
      </c>
      <c r="O4" s="6" t="s">
        <v>23</v>
      </c>
    </row>
    <row r="5" customFormat="false" ht="15" hidden="false" customHeight="false" outlineLevel="0" collapsed="false">
      <c r="A5" s="3" t="s">
        <v>27</v>
      </c>
      <c r="B5" s="3" t="s">
        <v>17</v>
      </c>
      <c r="C5" s="3" t="s">
        <v>18</v>
      </c>
      <c r="D5" s="3" t="s">
        <v>28</v>
      </c>
      <c r="E5" s="3" t="s">
        <v>29</v>
      </c>
      <c r="F5" s="3" t="s">
        <v>6</v>
      </c>
      <c r="G5" s="3" t="n">
        <v>1</v>
      </c>
      <c r="H5" s="3" t="n">
        <v>5</v>
      </c>
      <c r="I5" s="4" t="n">
        <v>240000</v>
      </c>
      <c r="J5" s="4" t="n">
        <v>279000</v>
      </c>
      <c r="K5" s="4" t="n">
        <f aca="false">J5-I5</f>
        <v>39000</v>
      </c>
      <c r="L5" s="5" t="n">
        <f aca="false">IF(J5&gt;0,(J5-I5)/J5,0)</f>
        <v>0.139784946236559</v>
      </c>
      <c r="M5" s="3" t="s">
        <v>30</v>
      </c>
      <c r="N5" s="3" t="s">
        <v>31</v>
      </c>
      <c r="O5" s="3" t="s">
        <v>23</v>
      </c>
    </row>
    <row r="6" customFormat="false" ht="15" hidden="false" customHeight="false" outlineLevel="0" collapsed="false">
      <c r="A6" s="6" t="s">
        <v>32</v>
      </c>
      <c r="B6" s="6" t="s">
        <v>17</v>
      </c>
      <c r="C6" s="6" t="s">
        <v>18</v>
      </c>
      <c r="D6" s="6" t="s">
        <v>33</v>
      </c>
      <c r="E6" s="6" t="s">
        <v>34</v>
      </c>
      <c r="F6" s="6" t="s">
        <v>6</v>
      </c>
      <c r="G6" s="6" t="n">
        <v>1</v>
      </c>
      <c r="H6" s="6" t="n">
        <v>5</v>
      </c>
      <c r="I6" s="7" t="n">
        <v>185000</v>
      </c>
      <c r="J6" s="7" t="n">
        <v>215000</v>
      </c>
      <c r="K6" s="7" t="n">
        <f aca="false">J6-I6</f>
        <v>30000</v>
      </c>
      <c r="L6" s="8" t="n">
        <f aca="false">IF(J6&gt;0,(J6-I6)/J6,0)</f>
        <v>0.13953488372093</v>
      </c>
      <c r="M6" s="6" t="s">
        <v>30</v>
      </c>
      <c r="N6" s="6" t="s">
        <v>31</v>
      </c>
      <c r="O6" s="6" t="s">
        <v>23</v>
      </c>
    </row>
    <row r="7" customFormat="false" ht="15" hidden="false" customHeight="false" outlineLevel="0" collapsed="false">
      <c r="A7" s="3" t="s">
        <v>35</v>
      </c>
      <c r="B7" s="3" t="s">
        <v>17</v>
      </c>
      <c r="C7" s="3" t="s">
        <v>18</v>
      </c>
      <c r="D7" s="3" t="s">
        <v>36</v>
      </c>
      <c r="E7" s="3" t="s">
        <v>37</v>
      </c>
      <c r="F7" s="3" t="s">
        <v>6</v>
      </c>
      <c r="G7" s="3" t="n">
        <v>3</v>
      </c>
      <c r="H7" s="3" t="n">
        <v>15</v>
      </c>
      <c r="I7" s="4" t="n">
        <v>42000</v>
      </c>
      <c r="J7" s="4" t="n">
        <v>52000</v>
      </c>
      <c r="K7" s="4" t="n">
        <f aca="false">J7-I7</f>
        <v>10000</v>
      </c>
      <c r="L7" s="5" t="n">
        <f aca="false">IF(J7&gt;0,(J7-I7)/J7,0)</f>
        <v>0.192307692307692</v>
      </c>
      <c r="M7" s="3" t="s">
        <v>38</v>
      </c>
      <c r="N7" s="3" t="s">
        <v>39</v>
      </c>
      <c r="O7" s="3" t="s">
        <v>23</v>
      </c>
    </row>
    <row r="8" customFormat="false" ht="15" hidden="false" customHeight="false" outlineLevel="0" collapsed="false">
      <c r="A8" s="6" t="s">
        <v>40</v>
      </c>
      <c r="B8" s="6" t="s">
        <v>17</v>
      </c>
      <c r="C8" s="6" t="s">
        <v>18</v>
      </c>
      <c r="D8" s="6" t="s">
        <v>41</v>
      </c>
      <c r="E8" s="6" t="s">
        <v>42</v>
      </c>
      <c r="F8" s="6" t="s">
        <v>6</v>
      </c>
      <c r="G8" s="6" t="n">
        <v>2</v>
      </c>
      <c r="H8" s="6" t="n">
        <v>10</v>
      </c>
      <c r="I8" s="7" t="n">
        <v>65000</v>
      </c>
      <c r="J8" s="7" t="n">
        <v>80000</v>
      </c>
      <c r="K8" s="7" t="n">
        <f aca="false">J8-I8</f>
        <v>15000</v>
      </c>
      <c r="L8" s="8" t="n">
        <f aca="false">IF(J8&gt;0,(J8-I8)/J8,0)</f>
        <v>0.1875</v>
      </c>
      <c r="M8" s="6" t="s">
        <v>38</v>
      </c>
      <c r="N8" s="6" t="s">
        <v>39</v>
      </c>
      <c r="O8" s="6" t="s">
        <v>23</v>
      </c>
    </row>
    <row r="9" customFormat="false" ht="15" hidden="false" customHeight="false" outlineLevel="0" collapsed="false">
      <c r="A9" s="3" t="s">
        <v>43</v>
      </c>
      <c r="B9" s="3" t="s">
        <v>17</v>
      </c>
      <c r="C9" s="3" t="s">
        <v>18</v>
      </c>
      <c r="D9" s="3" t="s">
        <v>44</v>
      </c>
      <c r="E9" s="3" t="s">
        <v>45</v>
      </c>
      <c r="F9" s="3" t="s">
        <v>6</v>
      </c>
      <c r="G9" s="3" t="n">
        <v>3</v>
      </c>
      <c r="H9" s="3" t="n">
        <v>15</v>
      </c>
      <c r="I9" s="4" t="n">
        <v>38000</v>
      </c>
      <c r="J9" s="4" t="n">
        <v>47000</v>
      </c>
      <c r="K9" s="4" t="n">
        <f aca="false">J9-I9</f>
        <v>9000</v>
      </c>
      <c r="L9" s="5" t="n">
        <f aca="false">IF(J9&gt;0,(J9-I9)/J9,0)</f>
        <v>0.191489361702128</v>
      </c>
      <c r="M9" s="3" t="s">
        <v>46</v>
      </c>
      <c r="N9" s="3" t="s">
        <v>47</v>
      </c>
      <c r="O9" s="3" t="s">
        <v>23</v>
      </c>
    </row>
    <row r="10" customFormat="false" ht="15" hidden="false" customHeight="false" outlineLevel="0" collapsed="false">
      <c r="A10" s="6" t="s">
        <v>48</v>
      </c>
      <c r="B10" s="6" t="s">
        <v>17</v>
      </c>
      <c r="C10" s="6" t="s">
        <v>18</v>
      </c>
      <c r="D10" s="6" t="s">
        <v>49</v>
      </c>
      <c r="E10" s="6" t="s">
        <v>50</v>
      </c>
      <c r="F10" s="6" t="s">
        <v>6</v>
      </c>
      <c r="G10" s="6" t="n">
        <v>1</v>
      </c>
      <c r="H10" s="6" t="n">
        <v>8</v>
      </c>
      <c r="I10" s="7" t="n">
        <v>82000</v>
      </c>
      <c r="J10" s="7" t="n">
        <v>99000</v>
      </c>
      <c r="K10" s="7" t="n">
        <f aca="false">J10-I10</f>
        <v>17000</v>
      </c>
      <c r="L10" s="8" t="n">
        <f aca="false">IF(J10&gt;0,(J10-I10)/J10,0)</f>
        <v>0.171717171717172</v>
      </c>
      <c r="M10" s="6" t="s">
        <v>46</v>
      </c>
      <c r="N10" s="6" t="s">
        <v>47</v>
      </c>
      <c r="O10" s="6" t="s">
        <v>23</v>
      </c>
    </row>
    <row r="11" customFormat="false" ht="15" hidden="false" customHeight="false" outlineLevel="0" collapsed="false">
      <c r="A11" s="3" t="s">
        <v>51</v>
      </c>
      <c r="B11" s="3" t="s">
        <v>17</v>
      </c>
      <c r="C11" s="3" t="s">
        <v>18</v>
      </c>
      <c r="D11" s="3" t="s">
        <v>52</v>
      </c>
      <c r="E11" s="3" t="s">
        <v>53</v>
      </c>
      <c r="F11" s="3" t="s">
        <v>6</v>
      </c>
      <c r="G11" s="3" t="n">
        <v>3</v>
      </c>
      <c r="H11" s="3" t="n">
        <v>15</v>
      </c>
      <c r="I11" s="4" t="n">
        <v>52000</v>
      </c>
      <c r="J11" s="4" t="n">
        <v>65000</v>
      </c>
      <c r="K11" s="4" t="n">
        <f aca="false">J11-I11</f>
        <v>13000</v>
      </c>
      <c r="L11" s="5" t="n">
        <f aca="false">IF(J11&gt;0,(J11-I11)/J11,0)</f>
        <v>0.2</v>
      </c>
      <c r="M11" s="3" t="s">
        <v>54</v>
      </c>
      <c r="N11" s="3" t="s">
        <v>55</v>
      </c>
      <c r="O11" s="3" t="s">
        <v>23</v>
      </c>
    </row>
    <row r="12" customFormat="false" ht="15" hidden="false" customHeight="false" outlineLevel="0" collapsed="false">
      <c r="A12" s="6" t="s">
        <v>56</v>
      </c>
      <c r="B12" s="6" t="s">
        <v>17</v>
      </c>
      <c r="C12" s="6" t="s">
        <v>18</v>
      </c>
      <c r="D12" s="6" t="s">
        <v>57</v>
      </c>
      <c r="E12" s="6" t="s">
        <v>58</v>
      </c>
      <c r="F12" s="6" t="s">
        <v>6</v>
      </c>
      <c r="G12" s="6" t="n">
        <v>4</v>
      </c>
      <c r="H12" s="6" t="n">
        <v>20</v>
      </c>
      <c r="I12" s="7" t="n">
        <v>34000</v>
      </c>
      <c r="J12" s="7" t="n">
        <v>42000</v>
      </c>
      <c r="K12" s="7" t="n">
        <f aca="false">J12-I12</f>
        <v>8000</v>
      </c>
      <c r="L12" s="8" t="n">
        <f aca="false">IF(J12&gt;0,(J12-I12)/J12,0)</f>
        <v>0.19047619047619</v>
      </c>
      <c r="M12" s="6" t="s">
        <v>59</v>
      </c>
      <c r="N12" s="6" t="s">
        <v>60</v>
      </c>
      <c r="O12" s="6" t="s">
        <v>23</v>
      </c>
    </row>
    <row r="13" customFormat="false" ht="15" hidden="false" customHeight="false" outlineLevel="0" collapsed="false">
      <c r="A13" s="3" t="s">
        <v>61</v>
      </c>
      <c r="B13" s="3" t="s">
        <v>17</v>
      </c>
      <c r="C13" s="3" t="s">
        <v>62</v>
      </c>
      <c r="D13" s="3" t="s">
        <v>63</v>
      </c>
      <c r="E13" s="3" t="s">
        <v>64</v>
      </c>
      <c r="F13" s="3" t="s">
        <v>6</v>
      </c>
      <c r="G13" s="3" t="n">
        <v>1</v>
      </c>
      <c r="H13" s="3" t="n">
        <v>5</v>
      </c>
      <c r="I13" s="4" t="n">
        <v>115000</v>
      </c>
      <c r="J13" s="4" t="n">
        <v>139000</v>
      </c>
      <c r="K13" s="4" t="n">
        <f aca="false">J13-I13</f>
        <v>24000</v>
      </c>
      <c r="L13" s="5" t="n">
        <f aca="false">IF(J13&gt;0,(J13-I13)/J13,0)</f>
        <v>0.172661870503597</v>
      </c>
      <c r="M13" s="3" t="s">
        <v>65</v>
      </c>
      <c r="N13" s="3" t="s">
        <v>66</v>
      </c>
      <c r="O13" s="3" t="s">
        <v>23</v>
      </c>
    </row>
    <row r="14" customFormat="false" ht="15" hidden="false" customHeight="false" outlineLevel="0" collapsed="false">
      <c r="A14" s="6" t="s">
        <v>67</v>
      </c>
      <c r="B14" s="6" t="s">
        <v>17</v>
      </c>
      <c r="C14" s="6" t="s">
        <v>62</v>
      </c>
      <c r="D14" s="6" t="s">
        <v>68</v>
      </c>
      <c r="E14" s="6" t="s">
        <v>69</v>
      </c>
      <c r="F14" s="6" t="s">
        <v>6</v>
      </c>
      <c r="G14" s="6" t="n">
        <v>1</v>
      </c>
      <c r="H14" s="6" t="n">
        <v>5</v>
      </c>
      <c r="I14" s="7" t="n">
        <v>108000</v>
      </c>
      <c r="J14" s="7" t="n">
        <v>130000</v>
      </c>
      <c r="K14" s="7" t="n">
        <f aca="false">J14-I14</f>
        <v>22000</v>
      </c>
      <c r="L14" s="8" t="n">
        <f aca="false">IF(J14&gt;0,(J14-I14)/J14,0)</f>
        <v>0.169230769230769</v>
      </c>
      <c r="M14" s="6" t="s">
        <v>70</v>
      </c>
      <c r="N14" s="6" t="s">
        <v>71</v>
      </c>
      <c r="O14" s="6" t="s">
        <v>23</v>
      </c>
    </row>
    <row r="15" customFormat="false" ht="15" hidden="false" customHeight="false" outlineLevel="0" collapsed="false">
      <c r="A15" s="3" t="s">
        <v>72</v>
      </c>
      <c r="B15" s="3" t="s">
        <v>17</v>
      </c>
      <c r="C15" s="3" t="s">
        <v>62</v>
      </c>
      <c r="D15" s="3" t="s">
        <v>73</v>
      </c>
      <c r="E15" s="3" t="s">
        <v>74</v>
      </c>
      <c r="F15" s="3" t="s">
        <v>6</v>
      </c>
      <c r="G15" s="3" t="n">
        <v>1</v>
      </c>
      <c r="H15" s="3" t="n">
        <v>5</v>
      </c>
      <c r="I15" s="4" t="n">
        <v>95000</v>
      </c>
      <c r="J15" s="4" t="n">
        <v>115000</v>
      </c>
      <c r="K15" s="4" t="n">
        <f aca="false">J15-I15</f>
        <v>20000</v>
      </c>
      <c r="L15" s="5" t="n">
        <f aca="false">IF(J15&gt;0,(J15-I15)/J15,0)</f>
        <v>0.173913043478261</v>
      </c>
      <c r="M15" s="3" t="s">
        <v>75</v>
      </c>
      <c r="N15" s="3" t="s">
        <v>76</v>
      </c>
      <c r="O15" s="3" t="s">
        <v>23</v>
      </c>
    </row>
    <row r="16" customFormat="false" ht="15" hidden="false" customHeight="false" outlineLevel="0" collapsed="false">
      <c r="A16" s="6" t="s">
        <v>77</v>
      </c>
      <c r="B16" s="6" t="s">
        <v>17</v>
      </c>
      <c r="C16" s="6" t="s">
        <v>62</v>
      </c>
      <c r="D16" s="6" t="s">
        <v>78</v>
      </c>
      <c r="E16" s="6" t="s">
        <v>79</v>
      </c>
      <c r="F16" s="6" t="s">
        <v>6</v>
      </c>
      <c r="G16" s="6" t="n">
        <v>1</v>
      </c>
      <c r="H16" s="6" t="n">
        <v>5</v>
      </c>
      <c r="I16" s="7" t="n">
        <v>105000</v>
      </c>
      <c r="J16" s="7" t="n">
        <v>128000</v>
      </c>
      <c r="K16" s="7" t="n">
        <f aca="false">J16-I16</f>
        <v>23000</v>
      </c>
      <c r="L16" s="8" t="n">
        <f aca="false">IF(J16&gt;0,(J16-I16)/J16,0)</f>
        <v>0.1796875</v>
      </c>
      <c r="M16" s="6" t="s">
        <v>80</v>
      </c>
      <c r="N16" s="6" t="s">
        <v>81</v>
      </c>
      <c r="O16" s="6" t="s">
        <v>23</v>
      </c>
    </row>
    <row r="17" customFormat="false" ht="15" hidden="false" customHeight="false" outlineLevel="0" collapsed="false">
      <c r="A17" s="3" t="s">
        <v>82</v>
      </c>
      <c r="B17" s="3" t="s">
        <v>17</v>
      </c>
      <c r="C17" s="3" t="s">
        <v>62</v>
      </c>
      <c r="D17" s="3" t="s">
        <v>83</v>
      </c>
      <c r="E17" s="3" t="s">
        <v>84</v>
      </c>
      <c r="F17" s="3" t="s">
        <v>6</v>
      </c>
      <c r="G17" s="3" t="n">
        <v>1</v>
      </c>
      <c r="H17" s="3" t="n">
        <v>3</v>
      </c>
      <c r="I17" s="4" t="n">
        <v>175000</v>
      </c>
      <c r="J17" s="4" t="n">
        <v>210000</v>
      </c>
      <c r="K17" s="4" t="n">
        <f aca="false">J17-I17</f>
        <v>35000</v>
      </c>
      <c r="L17" s="5" t="n">
        <f aca="false">IF(J17&gt;0,(J17-I17)/J17,0)</f>
        <v>0.166666666666667</v>
      </c>
      <c r="M17" s="3" t="s">
        <v>65</v>
      </c>
      <c r="N17" s="3" t="s">
        <v>66</v>
      </c>
      <c r="O17" s="3" t="s">
        <v>23</v>
      </c>
    </row>
    <row r="18" customFormat="false" ht="15" hidden="false" customHeight="false" outlineLevel="0" collapsed="false">
      <c r="A18" s="6" t="s">
        <v>85</v>
      </c>
      <c r="B18" s="6" t="s">
        <v>17</v>
      </c>
      <c r="C18" s="6" t="s">
        <v>62</v>
      </c>
      <c r="D18" s="6" t="s">
        <v>86</v>
      </c>
      <c r="E18" s="6" t="s">
        <v>87</v>
      </c>
      <c r="F18" s="6" t="s">
        <v>6</v>
      </c>
      <c r="G18" s="6" t="n">
        <v>1</v>
      </c>
      <c r="H18" s="6" t="n">
        <v>3</v>
      </c>
      <c r="I18" s="7" t="n">
        <v>155000</v>
      </c>
      <c r="J18" s="7" t="n">
        <v>185000</v>
      </c>
      <c r="K18" s="7" t="n">
        <f aca="false">J18-I18</f>
        <v>30000</v>
      </c>
      <c r="L18" s="8" t="n">
        <f aca="false">IF(J18&gt;0,(J18-I18)/J18,0)</f>
        <v>0.162162162162162</v>
      </c>
      <c r="M18" s="6" t="s">
        <v>70</v>
      </c>
      <c r="N18" s="6" t="s">
        <v>71</v>
      </c>
      <c r="O18" s="6" t="s">
        <v>23</v>
      </c>
    </row>
    <row r="19" customFormat="false" ht="15" hidden="false" customHeight="false" outlineLevel="0" collapsed="false">
      <c r="A19" s="3" t="s">
        <v>88</v>
      </c>
      <c r="B19" s="3" t="s">
        <v>17</v>
      </c>
      <c r="C19" s="3" t="s">
        <v>62</v>
      </c>
      <c r="D19" s="3" t="s">
        <v>89</v>
      </c>
      <c r="E19" s="3" t="s">
        <v>90</v>
      </c>
      <c r="F19" s="3" t="s">
        <v>6</v>
      </c>
      <c r="G19" s="3" t="n">
        <v>1</v>
      </c>
      <c r="H19" s="3" t="n">
        <v>3</v>
      </c>
      <c r="I19" s="4" t="n">
        <v>290000</v>
      </c>
      <c r="J19" s="4" t="n">
        <v>339000</v>
      </c>
      <c r="K19" s="4" t="n">
        <f aca="false">J19-I19</f>
        <v>49000</v>
      </c>
      <c r="L19" s="5" t="n">
        <f aca="false">IF(J19&gt;0,(J19-I19)/J19,0)</f>
        <v>0.144542772861357</v>
      </c>
      <c r="M19" s="3" t="s">
        <v>30</v>
      </c>
      <c r="N19" s="3" t="s">
        <v>31</v>
      </c>
      <c r="O19" s="3" t="s">
        <v>23</v>
      </c>
    </row>
    <row r="20" customFormat="false" ht="15" hidden="false" customHeight="false" outlineLevel="0" collapsed="false">
      <c r="A20" s="6" t="s">
        <v>91</v>
      </c>
      <c r="B20" s="6" t="s">
        <v>17</v>
      </c>
      <c r="C20" s="6" t="s">
        <v>62</v>
      </c>
      <c r="D20" s="6" t="s">
        <v>92</v>
      </c>
      <c r="E20" s="6" t="s">
        <v>93</v>
      </c>
      <c r="F20" s="6" t="s">
        <v>6</v>
      </c>
      <c r="G20" s="6" t="n">
        <v>2</v>
      </c>
      <c r="H20" s="6" t="n">
        <v>8</v>
      </c>
      <c r="I20" s="7" t="n">
        <v>120000</v>
      </c>
      <c r="J20" s="7" t="n">
        <v>145000</v>
      </c>
      <c r="K20" s="7" t="n">
        <f aca="false">J20-I20</f>
        <v>25000</v>
      </c>
      <c r="L20" s="8" t="n">
        <f aca="false">IF(J20&gt;0,(J20-I20)/J20,0)</f>
        <v>0.172413793103448</v>
      </c>
      <c r="M20" s="6" t="s">
        <v>94</v>
      </c>
      <c r="N20" s="6" t="s">
        <v>95</v>
      </c>
      <c r="O20" s="6" t="s">
        <v>23</v>
      </c>
    </row>
    <row r="21" customFormat="false" ht="15" hidden="false" customHeight="false" outlineLevel="0" collapsed="false">
      <c r="A21" s="3" t="s">
        <v>96</v>
      </c>
      <c r="B21" s="3" t="s">
        <v>17</v>
      </c>
      <c r="C21" s="3" t="s">
        <v>97</v>
      </c>
      <c r="D21" s="3" t="s">
        <v>98</v>
      </c>
      <c r="E21" s="3" t="s">
        <v>99</v>
      </c>
      <c r="F21" s="3" t="s">
        <v>6</v>
      </c>
      <c r="G21" s="3" t="n">
        <v>1</v>
      </c>
      <c r="H21" s="3" t="n">
        <v>5</v>
      </c>
      <c r="I21" s="4" t="n">
        <v>78000</v>
      </c>
      <c r="J21" s="4" t="n">
        <v>98000</v>
      </c>
      <c r="K21" s="4" t="n">
        <f aca="false">J21-I21</f>
        <v>20000</v>
      </c>
      <c r="L21" s="5" t="n">
        <f aca="false">IF(J21&gt;0,(J21-I21)/J21,0)</f>
        <v>0.204081632653061</v>
      </c>
      <c r="M21" s="3" t="s">
        <v>21</v>
      </c>
      <c r="N21" s="3" t="s">
        <v>22</v>
      </c>
      <c r="O21" s="3" t="s">
        <v>23</v>
      </c>
    </row>
    <row r="22" customFormat="false" ht="15" hidden="false" customHeight="false" outlineLevel="0" collapsed="false">
      <c r="A22" s="6" t="s">
        <v>100</v>
      </c>
      <c r="B22" s="6" t="s">
        <v>17</v>
      </c>
      <c r="C22" s="6" t="s">
        <v>97</v>
      </c>
      <c r="D22" s="6" t="s">
        <v>101</v>
      </c>
      <c r="E22" s="6" t="s">
        <v>102</v>
      </c>
      <c r="F22" s="6" t="s">
        <v>6</v>
      </c>
      <c r="G22" s="6" t="n">
        <v>1</v>
      </c>
      <c r="H22" s="6" t="n">
        <v>3</v>
      </c>
      <c r="I22" s="7" t="n">
        <v>150000</v>
      </c>
      <c r="J22" s="7" t="n">
        <v>185000</v>
      </c>
      <c r="K22" s="7" t="n">
        <f aca="false">J22-I22</f>
        <v>35000</v>
      </c>
      <c r="L22" s="8" t="n">
        <f aca="false">IF(J22&gt;0,(J22-I22)/J22,0)</f>
        <v>0.189189189189189</v>
      </c>
      <c r="M22" s="6" t="s">
        <v>21</v>
      </c>
      <c r="N22" s="6" t="s">
        <v>22</v>
      </c>
      <c r="O22" s="6" t="s">
        <v>23</v>
      </c>
    </row>
    <row r="23" customFormat="false" ht="15" hidden="false" customHeight="false" outlineLevel="0" collapsed="false">
      <c r="A23" s="3" t="s">
        <v>103</v>
      </c>
      <c r="B23" s="3" t="s">
        <v>17</v>
      </c>
      <c r="C23" s="3" t="s">
        <v>97</v>
      </c>
      <c r="D23" s="3" t="s">
        <v>104</v>
      </c>
      <c r="E23" s="3" t="s">
        <v>105</v>
      </c>
      <c r="F23" s="3" t="s">
        <v>6</v>
      </c>
      <c r="G23" s="3" t="n">
        <v>2</v>
      </c>
      <c r="H23" s="3" t="n">
        <v>8</v>
      </c>
      <c r="I23" s="4" t="n">
        <v>42000</v>
      </c>
      <c r="J23" s="4" t="n">
        <v>52000</v>
      </c>
      <c r="K23" s="4" t="n">
        <f aca="false">J23-I23</f>
        <v>10000</v>
      </c>
      <c r="L23" s="5" t="n">
        <f aca="false">IF(J23&gt;0,(J23-I23)/J23,0)</f>
        <v>0.192307692307692</v>
      </c>
      <c r="M23" s="3" t="s">
        <v>106</v>
      </c>
      <c r="N23" s="3" t="s">
        <v>107</v>
      </c>
      <c r="O23" s="3" t="s">
        <v>23</v>
      </c>
    </row>
    <row r="24" customFormat="false" ht="15" hidden="false" customHeight="false" outlineLevel="0" collapsed="false">
      <c r="A24" s="6" t="s">
        <v>108</v>
      </c>
      <c r="B24" s="6" t="s">
        <v>17</v>
      </c>
      <c r="C24" s="6" t="s">
        <v>97</v>
      </c>
      <c r="D24" s="6" t="s">
        <v>109</v>
      </c>
      <c r="E24" s="6" t="s">
        <v>110</v>
      </c>
      <c r="F24" s="6" t="s">
        <v>6</v>
      </c>
      <c r="G24" s="6" t="n">
        <v>1</v>
      </c>
      <c r="H24" s="6" t="n">
        <v>5</v>
      </c>
      <c r="I24" s="7" t="n">
        <v>68000</v>
      </c>
      <c r="J24" s="7" t="n">
        <v>85000</v>
      </c>
      <c r="K24" s="7" t="n">
        <f aca="false">J24-I24</f>
        <v>17000</v>
      </c>
      <c r="L24" s="8" t="n">
        <f aca="false">IF(J24&gt;0,(J24-I24)/J24,0)</f>
        <v>0.2</v>
      </c>
      <c r="M24" s="6" t="s">
        <v>106</v>
      </c>
      <c r="N24" s="6" t="s">
        <v>107</v>
      </c>
      <c r="O24" s="6" t="s">
        <v>23</v>
      </c>
    </row>
    <row r="25" customFormat="false" ht="15" hidden="false" customHeight="false" outlineLevel="0" collapsed="false">
      <c r="A25" s="3" t="s">
        <v>111</v>
      </c>
      <c r="B25" s="3" t="s">
        <v>17</v>
      </c>
      <c r="C25" s="3" t="s">
        <v>97</v>
      </c>
      <c r="D25" s="3" t="s">
        <v>112</v>
      </c>
      <c r="E25" s="3" t="s">
        <v>113</v>
      </c>
      <c r="F25" s="3" t="s">
        <v>6</v>
      </c>
      <c r="G25" s="3" t="n">
        <v>3</v>
      </c>
      <c r="H25" s="3" t="n">
        <v>10</v>
      </c>
      <c r="I25" s="4" t="n">
        <v>28000</v>
      </c>
      <c r="J25" s="4" t="n">
        <v>36000</v>
      </c>
      <c r="K25" s="4" t="n">
        <f aca="false">J25-I25</f>
        <v>8000</v>
      </c>
      <c r="L25" s="5" t="n">
        <f aca="false">IF(J25&gt;0,(J25-I25)/J25,0)</f>
        <v>0.222222222222222</v>
      </c>
      <c r="M25" s="3" t="s">
        <v>114</v>
      </c>
      <c r="N25" s="3" t="s">
        <v>115</v>
      </c>
      <c r="O25" s="3" t="s">
        <v>23</v>
      </c>
    </row>
    <row r="26" customFormat="false" ht="15" hidden="false" customHeight="false" outlineLevel="0" collapsed="false">
      <c r="A26" s="6" t="s">
        <v>116</v>
      </c>
      <c r="B26" s="6" t="s">
        <v>17</v>
      </c>
      <c r="C26" s="6" t="s">
        <v>97</v>
      </c>
      <c r="D26" s="6" t="s">
        <v>117</v>
      </c>
      <c r="E26" s="6" t="s">
        <v>118</v>
      </c>
      <c r="F26" s="6" t="s">
        <v>6</v>
      </c>
      <c r="G26" s="6" t="n">
        <v>2</v>
      </c>
      <c r="H26" s="6" t="n">
        <v>8</v>
      </c>
      <c r="I26" s="7" t="n">
        <v>55000</v>
      </c>
      <c r="J26" s="7" t="n">
        <v>68000</v>
      </c>
      <c r="K26" s="7" t="n">
        <f aca="false">J26-I26</f>
        <v>13000</v>
      </c>
      <c r="L26" s="8" t="n">
        <f aca="false">IF(J26&gt;0,(J26-I26)/J26,0)</f>
        <v>0.191176470588235</v>
      </c>
      <c r="M26" s="6" t="s">
        <v>114</v>
      </c>
      <c r="N26" s="6" t="s">
        <v>115</v>
      </c>
      <c r="O26" s="6" t="s">
        <v>23</v>
      </c>
    </row>
    <row r="27" customFormat="false" ht="15" hidden="false" customHeight="false" outlineLevel="0" collapsed="false">
      <c r="A27" s="3" t="s">
        <v>119</v>
      </c>
      <c r="B27" s="3" t="s">
        <v>17</v>
      </c>
      <c r="C27" s="3" t="s">
        <v>97</v>
      </c>
      <c r="D27" s="3" t="s">
        <v>120</v>
      </c>
      <c r="E27" s="3" t="s">
        <v>121</v>
      </c>
      <c r="F27" s="3" t="s">
        <v>6</v>
      </c>
      <c r="G27" s="3" t="n">
        <v>1</v>
      </c>
      <c r="H27" s="3" t="n">
        <v>3</v>
      </c>
      <c r="I27" s="4" t="n">
        <v>195000</v>
      </c>
      <c r="J27" s="4" t="n">
        <v>239000</v>
      </c>
      <c r="K27" s="4" t="n">
        <f aca="false">J27-I27</f>
        <v>44000</v>
      </c>
      <c r="L27" s="5" t="n">
        <f aca="false">IF(J27&gt;0,(J27-I27)/J27,0)</f>
        <v>0.184100418410042</v>
      </c>
      <c r="M27" s="3" t="s">
        <v>122</v>
      </c>
      <c r="N27" s="3" t="s">
        <v>123</v>
      </c>
      <c r="O27" s="3" t="s">
        <v>23</v>
      </c>
    </row>
    <row r="28" customFormat="false" ht="15" hidden="false" customHeight="false" outlineLevel="0" collapsed="false">
      <c r="A28" s="6" t="s">
        <v>124</v>
      </c>
      <c r="B28" s="6" t="s">
        <v>17</v>
      </c>
      <c r="C28" s="6" t="s">
        <v>97</v>
      </c>
      <c r="D28" s="6" t="s">
        <v>125</v>
      </c>
      <c r="E28" s="6" t="s">
        <v>126</v>
      </c>
      <c r="F28" s="6" t="s">
        <v>6</v>
      </c>
      <c r="G28" s="6" t="n">
        <v>1</v>
      </c>
      <c r="H28" s="6" t="n">
        <v>3</v>
      </c>
      <c r="I28" s="7" t="n">
        <v>125000</v>
      </c>
      <c r="J28" s="7" t="n">
        <v>155000</v>
      </c>
      <c r="K28" s="7" t="n">
        <f aca="false">J28-I28</f>
        <v>30000</v>
      </c>
      <c r="L28" s="8" t="n">
        <f aca="false">IF(J28&gt;0,(J28-I28)/J28,0)</f>
        <v>0.193548387096774</v>
      </c>
      <c r="M28" s="6" t="s">
        <v>127</v>
      </c>
      <c r="N28" s="6" t="s">
        <v>128</v>
      </c>
      <c r="O28" s="6" t="s">
        <v>23</v>
      </c>
    </row>
    <row r="29" customFormat="false" ht="15" hidden="false" customHeight="false" outlineLevel="0" collapsed="false">
      <c r="A29" s="3" t="s">
        <v>129</v>
      </c>
      <c r="B29" s="3" t="s">
        <v>17</v>
      </c>
      <c r="C29" s="3" t="s">
        <v>130</v>
      </c>
      <c r="D29" s="3" t="s">
        <v>131</v>
      </c>
      <c r="E29" s="3" t="s">
        <v>132</v>
      </c>
      <c r="F29" s="3" t="s">
        <v>6</v>
      </c>
      <c r="G29" s="3" t="n">
        <v>2</v>
      </c>
      <c r="H29" s="3" t="n">
        <v>5</v>
      </c>
      <c r="I29" s="4" t="n">
        <v>95000</v>
      </c>
      <c r="J29" s="4" t="n">
        <v>118000</v>
      </c>
      <c r="K29" s="4" t="n">
        <f aca="false">J29-I29</f>
        <v>23000</v>
      </c>
      <c r="L29" s="5" t="n">
        <f aca="false">IF(J29&gt;0,(J29-I29)/J29,0)</f>
        <v>0.194915254237288</v>
      </c>
      <c r="M29" s="3" t="s">
        <v>133</v>
      </c>
      <c r="N29" s="3" t="s">
        <v>133</v>
      </c>
      <c r="O29" s="3" t="s">
        <v>23</v>
      </c>
    </row>
    <row r="30" customFormat="false" ht="15" hidden="false" customHeight="false" outlineLevel="0" collapsed="false">
      <c r="A30" s="6" t="s">
        <v>134</v>
      </c>
      <c r="B30" s="6" t="s">
        <v>17</v>
      </c>
      <c r="C30" s="6" t="s">
        <v>130</v>
      </c>
      <c r="D30" s="6" t="s">
        <v>135</v>
      </c>
      <c r="E30" s="6" t="s">
        <v>136</v>
      </c>
      <c r="F30" s="6" t="s">
        <v>6</v>
      </c>
      <c r="G30" s="6" t="n">
        <v>2</v>
      </c>
      <c r="H30" s="6" t="n">
        <v>5</v>
      </c>
      <c r="I30" s="7" t="n">
        <v>75000</v>
      </c>
      <c r="J30" s="7" t="n">
        <v>94000</v>
      </c>
      <c r="K30" s="7" t="n">
        <f aca="false">J30-I30</f>
        <v>19000</v>
      </c>
      <c r="L30" s="8" t="n">
        <f aca="false">IF(J30&gt;0,(J30-I30)/J30,0)</f>
        <v>0.202127659574468</v>
      </c>
      <c r="M30" s="6" t="s">
        <v>114</v>
      </c>
      <c r="N30" s="6" t="s">
        <v>115</v>
      </c>
      <c r="O30" s="6" t="s">
        <v>23</v>
      </c>
    </row>
    <row r="31" customFormat="false" ht="15" hidden="false" customHeight="false" outlineLevel="0" collapsed="false">
      <c r="A31" s="3" t="s">
        <v>137</v>
      </c>
      <c r="B31" s="3" t="s">
        <v>17</v>
      </c>
      <c r="C31" s="3" t="s">
        <v>130</v>
      </c>
      <c r="D31" s="3" t="s">
        <v>138</v>
      </c>
      <c r="E31" s="3" t="s">
        <v>139</v>
      </c>
      <c r="F31" s="3" t="s">
        <v>6</v>
      </c>
      <c r="G31" s="3" t="n">
        <v>2</v>
      </c>
      <c r="H31" s="3" t="n">
        <v>5</v>
      </c>
      <c r="I31" s="4" t="n">
        <v>80000</v>
      </c>
      <c r="J31" s="4" t="n">
        <v>99000</v>
      </c>
      <c r="K31" s="4" t="n">
        <f aca="false">J31-I31</f>
        <v>19000</v>
      </c>
      <c r="L31" s="5" t="n">
        <f aca="false">IF(J31&gt;0,(J31-I31)/J31,0)</f>
        <v>0.191919191919192</v>
      </c>
      <c r="M31" s="3" t="s">
        <v>140</v>
      </c>
      <c r="N31" s="3" t="s">
        <v>141</v>
      </c>
      <c r="O31" s="3" t="s">
        <v>23</v>
      </c>
    </row>
    <row r="32" customFormat="false" ht="15" hidden="false" customHeight="false" outlineLevel="0" collapsed="false">
      <c r="A32" s="6" t="s">
        <v>142</v>
      </c>
      <c r="B32" s="6" t="s">
        <v>17</v>
      </c>
      <c r="C32" s="6" t="s">
        <v>130</v>
      </c>
      <c r="D32" s="6" t="s">
        <v>143</v>
      </c>
      <c r="E32" s="6" t="s">
        <v>144</v>
      </c>
      <c r="F32" s="6" t="s">
        <v>6</v>
      </c>
      <c r="G32" s="6" t="n">
        <v>1</v>
      </c>
      <c r="H32" s="6" t="n">
        <v>4</v>
      </c>
      <c r="I32" s="7" t="n">
        <v>65000</v>
      </c>
      <c r="J32" s="7" t="n">
        <v>80000</v>
      </c>
      <c r="K32" s="7" t="n">
        <f aca="false">J32-I32</f>
        <v>15000</v>
      </c>
      <c r="L32" s="8" t="n">
        <f aca="false">IF(J32&gt;0,(J32-I32)/J32,0)</f>
        <v>0.1875</v>
      </c>
      <c r="M32" s="6" t="s">
        <v>133</v>
      </c>
      <c r="N32" s="6" t="s">
        <v>133</v>
      </c>
      <c r="O32" s="6" t="s">
        <v>23</v>
      </c>
    </row>
    <row r="33" customFormat="false" ht="15" hidden="false" customHeight="false" outlineLevel="0" collapsed="false">
      <c r="A33" s="3" t="s">
        <v>145</v>
      </c>
      <c r="B33" s="3" t="s">
        <v>17</v>
      </c>
      <c r="C33" s="3" t="s">
        <v>130</v>
      </c>
      <c r="D33" s="3" t="s">
        <v>146</v>
      </c>
      <c r="E33" s="3" t="s">
        <v>147</v>
      </c>
      <c r="F33" s="3" t="s">
        <v>6</v>
      </c>
      <c r="G33" s="3" t="n">
        <v>1</v>
      </c>
      <c r="H33" s="3" t="n">
        <v>4</v>
      </c>
      <c r="I33" s="4" t="n">
        <v>72000</v>
      </c>
      <c r="J33" s="4" t="n">
        <v>90000</v>
      </c>
      <c r="K33" s="4" t="n">
        <f aca="false">J33-I33</f>
        <v>18000</v>
      </c>
      <c r="L33" s="5" t="n">
        <f aca="false">IF(J33&gt;0,(J33-I33)/J33,0)</f>
        <v>0.2</v>
      </c>
      <c r="M33" s="3" t="s">
        <v>114</v>
      </c>
      <c r="N33" s="3" t="s">
        <v>115</v>
      </c>
      <c r="O33" s="3" t="s">
        <v>23</v>
      </c>
    </row>
    <row r="34" customFormat="false" ht="15" hidden="false" customHeight="false" outlineLevel="0" collapsed="false">
      <c r="A34" s="6" t="s">
        <v>148</v>
      </c>
      <c r="B34" s="6" t="s">
        <v>17</v>
      </c>
      <c r="C34" s="6" t="s">
        <v>130</v>
      </c>
      <c r="D34" s="6" t="s">
        <v>149</v>
      </c>
      <c r="E34" s="6" t="s">
        <v>150</v>
      </c>
      <c r="F34" s="6" t="s">
        <v>6</v>
      </c>
      <c r="G34" s="6" t="n">
        <v>1</v>
      </c>
      <c r="H34" s="6" t="n">
        <v>4</v>
      </c>
      <c r="I34" s="7" t="n">
        <v>82000</v>
      </c>
      <c r="J34" s="7" t="n">
        <v>102000</v>
      </c>
      <c r="K34" s="7" t="n">
        <f aca="false">J34-I34</f>
        <v>20000</v>
      </c>
      <c r="L34" s="8" t="n">
        <f aca="false">IF(J34&gt;0,(J34-I34)/J34,0)</f>
        <v>0.196078431372549</v>
      </c>
      <c r="M34" s="6" t="s">
        <v>151</v>
      </c>
      <c r="N34" s="6" t="s">
        <v>152</v>
      </c>
      <c r="O34" s="6" t="s">
        <v>23</v>
      </c>
    </row>
    <row r="35" customFormat="false" ht="15" hidden="false" customHeight="false" outlineLevel="0" collapsed="false">
      <c r="A35" s="3" t="s">
        <v>153</v>
      </c>
      <c r="B35" s="3" t="s">
        <v>17</v>
      </c>
      <c r="C35" s="3" t="s">
        <v>130</v>
      </c>
      <c r="D35" s="3" t="s">
        <v>154</v>
      </c>
      <c r="E35" s="3" t="s">
        <v>155</v>
      </c>
      <c r="F35" s="3" t="s">
        <v>6</v>
      </c>
      <c r="G35" s="3" t="n">
        <v>2</v>
      </c>
      <c r="H35" s="3" t="n">
        <v>5</v>
      </c>
      <c r="I35" s="4" t="n">
        <v>45000</v>
      </c>
      <c r="J35" s="4" t="n">
        <v>56000</v>
      </c>
      <c r="K35" s="4" t="n">
        <f aca="false">J35-I35</f>
        <v>11000</v>
      </c>
      <c r="L35" s="5" t="n">
        <f aca="false">IF(J35&gt;0,(J35-I35)/J35,0)</f>
        <v>0.196428571428571</v>
      </c>
      <c r="M35" s="3" t="s">
        <v>133</v>
      </c>
      <c r="N35" s="3" t="s">
        <v>133</v>
      </c>
      <c r="O35" s="3" t="s">
        <v>23</v>
      </c>
    </row>
    <row r="36" customFormat="false" ht="15" hidden="false" customHeight="false" outlineLevel="0" collapsed="false">
      <c r="A36" s="6" t="s">
        <v>156</v>
      </c>
      <c r="B36" s="6" t="s">
        <v>17</v>
      </c>
      <c r="C36" s="6" t="s">
        <v>130</v>
      </c>
      <c r="D36" s="6" t="s">
        <v>157</v>
      </c>
      <c r="E36" s="6" t="s">
        <v>158</v>
      </c>
      <c r="F36" s="6" t="s">
        <v>6</v>
      </c>
      <c r="G36" s="6" t="n">
        <v>1</v>
      </c>
      <c r="H36" s="6" t="n">
        <v>4</v>
      </c>
      <c r="I36" s="7" t="n">
        <v>75000</v>
      </c>
      <c r="J36" s="7" t="n">
        <v>95000</v>
      </c>
      <c r="K36" s="7" t="n">
        <f aca="false">J36-I36</f>
        <v>20000</v>
      </c>
      <c r="L36" s="8" t="n">
        <f aca="false">IF(J36&gt;0,(J36-I36)/J36,0)</f>
        <v>0.210526315789474</v>
      </c>
      <c r="M36" s="6" t="s">
        <v>114</v>
      </c>
      <c r="N36" s="6" t="s">
        <v>115</v>
      </c>
      <c r="O36" s="6" t="s">
        <v>23</v>
      </c>
    </row>
    <row r="37" customFormat="false" ht="15" hidden="false" customHeight="false" outlineLevel="0" collapsed="false">
      <c r="A37" s="3" t="s">
        <v>159</v>
      </c>
      <c r="B37" s="3" t="s">
        <v>17</v>
      </c>
      <c r="C37" s="3" t="s">
        <v>130</v>
      </c>
      <c r="D37" s="3" t="s">
        <v>160</v>
      </c>
      <c r="E37" s="3" t="s">
        <v>161</v>
      </c>
      <c r="F37" s="3" t="s">
        <v>6</v>
      </c>
      <c r="G37" s="3" t="n">
        <v>3</v>
      </c>
      <c r="H37" s="3" t="n">
        <v>8</v>
      </c>
      <c r="I37" s="4" t="n">
        <v>22000</v>
      </c>
      <c r="J37" s="4" t="n">
        <v>28000</v>
      </c>
      <c r="K37" s="4" t="n">
        <f aca="false">J37-I37</f>
        <v>6000</v>
      </c>
      <c r="L37" s="5" t="n">
        <f aca="false">IF(J37&gt;0,(J37-I37)/J37,0)</f>
        <v>0.214285714285714</v>
      </c>
      <c r="M37" s="3" t="s">
        <v>162</v>
      </c>
      <c r="N37" s="3" t="s">
        <v>162</v>
      </c>
      <c r="O37" s="3" t="s">
        <v>23</v>
      </c>
    </row>
    <row r="38" customFormat="false" ht="15" hidden="false" customHeight="false" outlineLevel="0" collapsed="false">
      <c r="A38" s="6" t="s">
        <v>163</v>
      </c>
      <c r="B38" s="6" t="s">
        <v>17</v>
      </c>
      <c r="C38" s="6" t="s">
        <v>130</v>
      </c>
      <c r="D38" s="6" t="s">
        <v>164</v>
      </c>
      <c r="E38" s="6" t="s">
        <v>165</v>
      </c>
      <c r="F38" s="6" t="s">
        <v>6</v>
      </c>
      <c r="G38" s="6" t="n">
        <v>5</v>
      </c>
      <c r="H38" s="6" t="n">
        <v>15</v>
      </c>
      <c r="I38" s="7" t="n">
        <v>3500</v>
      </c>
      <c r="J38" s="7" t="n">
        <v>5000</v>
      </c>
      <c r="K38" s="7" t="n">
        <f aca="false">J38-I38</f>
        <v>1500</v>
      </c>
      <c r="L38" s="8" t="n">
        <f aca="false">IF(J38&gt;0,(J38-I38)/J38,0)</f>
        <v>0.3</v>
      </c>
      <c r="M38" s="6" t="s">
        <v>166</v>
      </c>
      <c r="N38" s="6" t="s">
        <v>167</v>
      </c>
      <c r="O38" s="6" t="s">
        <v>23</v>
      </c>
    </row>
    <row r="39" customFormat="false" ht="15" hidden="false" customHeight="false" outlineLevel="0" collapsed="false">
      <c r="A39" s="3" t="s">
        <v>168</v>
      </c>
      <c r="B39" s="3" t="s">
        <v>169</v>
      </c>
      <c r="C39" s="3" t="s">
        <v>170</v>
      </c>
      <c r="D39" s="3" t="s">
        <v>171</v>
      </c>
      <c r="E39" s="3" t="s">
        <v>172</v>
      </c>
      <c r="F39" s="3" t="s">
        <v>6</v>
      </c>
      <c r="G39" s="3" t="n">
        <v>10</v>
      </c>
      <c r="H39" s="3" t="n">
        <v>50</v>
      </c>
      <c r="I39" s="4" t="n">
        <v>3800</v>
      </c>
      <c r="J39" s="4" t="n">
        <v>4800</v>
      </c>
      <c r="K39" s="4" t="n">
        <f aca="false">J39-I39</f>
        <v>1000</v>
      </c>
      <c r="L39" s="5" t="n">
        <f aca="false">IF(J39&gt;0,(J39-I39)/J39,0)</f>
        <v>0.208333333333333</v>
      </c>
      <c r="M39" s="3" t="s">
        <v>173</v>
      </c>
      <c r="N39" s="3" t="s">
        <v>174</v>
      </c>
      <c r="O39" s="3" t="s">
        <v>23</v>
      </c>
    </row>
    <row r="40" customFormat="false" ht="15" hidden="false" customHeight="false" outlineLevel="0" collapsed="false">
      <c r="A40" s="6" t="s">
        <v>175</v>
      </c>
      <c r="B40" s="6" t="s">
        <v>169</v>
      </c>
      <c r="C40" s="6" t="s">
        <v>170</v>
      </c>
      <c r="D40" s="6" t="s">
        <v>176</v>
      </c>
      <c r="E40" s="6" t="s">
        <v>177</v>
      </c>
      <c r="F40" s="6" t="s">
        <v>6</v>
      </c>
      <c r="G40" s="6" t="n">
        <v>20</v>
      </c>
      <c r="H40" s="6" t="n">
        <v>100</v>
      </c>
      <c r="I40" s="7" t="n">
        <v>800</v>
      </c>
      <c r="J40" s="7" t="n">
        <v>1050</v>
      </c>
      <c r="K40" s="7" t="n">
        <f aca="false">J40-I40</f>
        <v>250</v>
      </c>
      <c r="L40" s="8" t="n">
        <f aca="false">IF(J40&gt;0,(J40-I40)/J40,0)</f>
        <v>0.238095238095238</v>
      </c>
      <c r="M40" s="6" t="s">
        <v>173</v>
      </c>
      <c r="N40" s="6" t="s">
        <v>174</v>
      </c>
      <c r="O40" s="6" t="s">
        <v>23</v>
      </c>
    </row>
    <row r="41" customFormat="false" ht="15" hidden="false" customHeight="false" outlineLevel="0" collapsed="false">
      <c r="A41" s="3" t="s">
        <v>178</v>
      </c>
      <c r="B41" s="3" t="s">
        <v>169</v>
      </c>
      <c r="C41" s="3" t="s">
        <v>170</v>
      </c>
      <c r="D41" s="3" t="s">
        <v>179</v>
      </c>
      <c r="E41" s="3" t="s">
        <v>180</v>
      </c>
      <c r="F41" s="3" t="s">
        <v>6</v>
      </c>
      <c r="G41" s="3" t="n">
        <v>15</v>
      </c>
      <c r="H41" s="3" t="n">
        <v>75</v>
      </c>
      <c r="I41" s="4" t="n">
        <v>1100</v>
      </c>
      <c r="J41" s="4" t="n">
        <v>1400</v>
      </c>
      <c r="K41" s="4" t="n">
        <f aca="false">J41-I41</f>
        <v>300</v>
      </c>
      <c r="L41" s="5" t="n">
        <f aca="false">IF(J41&gt;0,(J41-I41)/J41,0)</f>
        <v>0.214285714285714</v>
      </c>
      <c r="M41" s="3" t="s">
        <v>181</v>
      </c>
      <c r="N41" s="3" t="s">
        <v>182</v>
      </c>
      <c r="O41" s="3" t="s">
        <v>23</v>
      </c>
    </row>
    <row r="42" customFormat="false" ht="15" hidden="false" customHeight="false" outlineLevel="0" collapsed="false">
      <c r="A42" s="6" t="s">
        <v>183</v>
      </c>
      <c r="B42" s="6" t="s">
        <v>169</v>
      </c>
      <c r="C42" s="6" t="s">
        <v>170</v>
      </c>
      <c r="D42" s="6" t="s">
        <v>184</v>
      </c>
      <c r="E42" s="6" t="s">
        <v>185</v>
      </c>
      <c r="F42" s="6" t="s">
        <v>6</v>
      </c>
      <c r="G42" s="6" t="n">
        <v>25</v>
      </c>
      <c r="H42" s="6" t="n">
        <v>100</v>
      </c>
      <c r="I42" s="7" t="n">
        <v>580</v>
      </c>
      <c r="J42" s="7" t="n">
        <v>750</v>
      </c>
      <c r="K42" s="7" t="n">
        <f aca="false">J42-I42</f>
        <v>170</v>
      </c>
      <c r="L42" s="8" t="n">
        <f aca="false">IF(J42&gt;0,(J42-I42)/J42,0)</f>
        <v>0.226666666666667</v>
      </c>
      <c r="M42" s="6" t="s">
        <v>181</v>
      </c>
      <c r="N42" s="6" t="s">
        <v>182</v>
      </c>
      <c r="O42" s="6" t="s">
        <v>23</v>
      </c>
    </row>
    <row r="43" customFormat="false" ht="15" hidden="false" customHeight="false" outlineLevel="0" collapsed="false">
      <c r="A43" s="3" t="s">
        <v>186</v>
      </c>
      <c r="B43" s="3" t="s">
        <v>169</v>
      </c>
      <c r="C43" s="3" t="s">
        <v>170</v>
      </c>
      <c r="D43" s="3" t="s">
        <v>187</v>
      </c>
      <c r="E43" s="3" t="s">
        <v>188</v>
      </c>
      <c r="F43" s="3" t="s">
        <v>6</v>
      </c>
      <c r="G43" s="3" t="n">
        <v>20</v>
      </c>
      <c r="H43" s="3" t="n">
        <v>100</v>
      </c>
      <c r="I43" s="4" t="n">
        <v>600</v>
      </c>
      <c r="J43" s="4" t="n">
        <v>780</v>
      </c>
      <c r="K43" s="4" t="n">
        <f aca="false">J43-I43</f>
        <v>180</v>
      </c>
      <c r="L43" s="5" t="n">
        <f aca="false">IF(J43&gt;0,(J43-I43)/J43,0)</f>
        <v>0.230769230769231</v>
      </c>
      <c r="M43" s="3" t="s">
        <v>189</v>
      </c>
      <c r="N43" s="3" t="s">
        <v>162</v>
      </c>
      <c r="O43" s="3" t="s">
        <v>23</v>
      </c>
    </row>
    <row r="44" customFormat="false" ht="15" hidden="false" customHeight="false" outlineLevel="0" collapsed="false">
      <c r="A44" s="6" t="s">
        <v>190</v>
      </c>
      <c r="B44" s="6" t="s">
        <v>169</v>
      </c>
      <c r="C44" s="6" t="s">
        <v>170</v>
      </c>
      <c r="D44" s="6" t="s">
        <v>191</v>
      </c>
      <c r="E44" s="6" t="s">
        <v>192</v>
      </c>
      <c r="F44" s="6" t="s">
        <v>6</v>
      </c>
      <c r="G44" s="6" t="n">
        <v>30</v>
      </c>
      <c r="H44" s="6" t="n">
        <v>150</v>
      </c>
      <c r="I44" s="7" t="n">
        <v>125</v>
      </c>
      <c r="J44" s="7" t="n">
        <v>165</v>
      </c>
      <c r="K44" s="7" t="n">
        <f aca="false">J44-I44</f>
        <v>40</v>
      </c>
      <c r="L44" s="8" t="n">
        <f aca="false">IF(J44&gt;0,(J44-I44)/J44,0)</f>
        <v>0.242424242424242</v>
      </c>
      <c r="M44" s="6" t="s">
        <v>189</v>
      </c>
      <c r="N44" s="6" t="s">
        <v>162</v>
      </c>
      <c r="O44" s="6" t="s">
        <v>23</v>
      </c>
    </row>
    <row r="45" customFormat="false" ht="15" hidden="false" customHeight="false" outlineLevel="0" collapsed="false">
      <c r="A45" s="3" t="s">
        <v>193</v>
      </c>
      <c r="B45" s="3" t="s">
        <v>169</v>
      </c>
      <c r="C45" s="3" t="s">
        <v>170</v>
      </c>
      <c r="D45" s="3" t="s">
        <v>194</v>
      </c>
      <c r="E45" s="3" t="s">
        <v>195</v>
      </c>
      <c r="F45" s="3" t="s">
        <v>6</v>
      </c>
      <c r="G45" s="3" t="n">
        <v>15</v>
      </c>
      <c r="H45" s="3" t="n">
        <v>60</v>
      </c>
      <c r="I45" s="4" t="n">
        <v>2000</v>
      </c>
      <c r="J45" s="4" t="n">
        <v>2550</v>
      </c>
      <c r="K45" s="4" t="n">
        <f aca="false">J45-I45</f>
        <v>550</v>
      </c>
      <c r="L45" s="5" t="n">
        <f aca="false">IF(J45&gt;0,(J45-I45)/J45,0)</f>
        <v>0.215686274509804</v>
      </c>
      <c r="M45" s="3" t="s">
        <v>196</v>
      </c>
      <c r="N45" s="3" t="s">
        <v>197</v>
      </c>
      <c r="O45" s="3" t="s">
        <v>23</v>
      </c>
    </row>
    <row r="46" customFormat="false" ht="15" hidden="false" customHeight="false" outlineLevel="0" collapsed="false">
      <c r="A46" s="6" t="s">
        <v>198</v>
      </c>
      <c r="B46" s="6" t="s">
        <v>169</v>
      </c>
      <c r="C46" s="6" t="s">
        <v>170</v>
      </c>
      <c r="D46" s="6" t="s">
        <v>199</v>
      </c>
      <c r="E46" s="6" t="s">
        <v>200</v>
      </c>
      <c r="F46" s="6" t="s">
        <v>6</v>
      </c>
      <c r="G46" s="6" t="n">
        <v>30</v>
      </c>
      <c r="H46" s="6" t="n">
        <v>120</v>
      </c>
      <c r="I46" s="7" t="n">
        <v>430</v>
      </c>
      <c r="J46" s="7" t="n">
        <v>560</v>
      </c>
      <c r="K46" s="7" t="n">
        <f aca="false">J46-I46</f>
        <v>130</v>
      </c>
      <c r="L46" s="8" t="n">
        <f aca="false">IF(J46&gt;0,(J46-I46)/J46,0)</f>
        <v>0.232142857142857</v>
      </c>
      <c r="M46" s="6" t="s">
        <v>196</v>
      </c>
      <c r="N46" s="6" t="s">
        <v>197</v>
      </c>
      <c r="O46" s="6" t="s">
        <v>23</v>
      </c>
    </row>
    <row r="47" customFormat="false" ht="15" hidden="false" customHeight="false" outlineLevel="0" collapsed="false">
      <c r="A47" s="3" t="s">
        <v>201</v>
      </c>
      <c r="B47" s="3" t="s">
        <v>169</v>
      </c>
      <c r="C47" s="3" t="s">
        <v>170</v>
      </c>
      <c r="D47" s="3" t="s">
        <v>202</v>
      </c>
      <c r="E47" s="3" t="s">
        <v>203</v>
      </c>
      <c r="F47" s="3" t="s">
        <v>6</v>
      </c>
      <c r="G47" s="3" t="n">
        <v>15</v>
      </c>
      <c r="H47" s="3" t="n">
        <v>60</v>
      </c>
      <c r="I47" s="4" t="n">
        <v>1900</v>
      </c>
      <c r="J47" s="4" t="n">
        <v>2450</v>
      </c>
      <c r="K47" s="4" t="n">
        <f aca="false">J47-I47</f>
        <v>550</v>
      </c>
      <c r="L47" s="5" t="n">
        <f aca="false">IF(J47&gt;0,(J47-I47)/J47,0)</f>
        <v>0.224489795918367</v>
      </c>
      <c r="M47" s="3" t="s">
        <v>204</v>
      </c>
      <c r="N47" s="3" t="s">
        <v>205</v>
      </c>
      <c r="O47" s="3" t="s">
        <v>23</v>
      </c>
    </row>
    <row r="48" customFormat="false" ht="15" hidden="false" customHeight="false" outlineLevel="0" collapsed="false">
      <c r="A48" s="6" t="s">
        <v>206</v>
      </c>
      <c r="B48" s="6" t="s">
        <v>169</v>
      </c>
      <c r="C48" s="6" t="s">
        <v>170</v>
      </c>
      <c r="D48" s="6" t="s">
        <v>207</v>
      </c>
      <c r="E48" s="6" t="s">
        <v>208</v>
      </c>
      <c r="F48" s="6" t="s">
        <v>6</v>
      </c>
      <c r="G48" s="6" t="n">
        <v>20</v>
      </c>
      <c r="H48" s="6" t="n">
        <v>80</v>
      </c>
      <c r="I48" s="7" t="n">
        <v>1100</v>
      </c>
      <c r="J48" s="7" t="n">
        <v>1450</v>
      </c>
      <c r="K48" s="7" t="n">
        <f aca="false">J48-I48</f>
        <v>350</v>
      </c>
      <c r="L48" s="8" t="n">
        <f aca="false">IF(J48&gt;0,(J48-I48)/J48,0)</f>
        <v>0.241379310344828</v>
      </c>
      <c r="M48" s="6" t="s">
        <v>209</v>
      </c>
      <c r="N48" s="6" t="s">
        <v>210</v>
      </c>
      <c r="O48" s="6" t="s">
        <v>23</v>
      </c>
    </row>
    <row r="49" customFormat="false" ht="15" hidden="false" customHeight="false" outlineLevel="0" collapsed="false">
      <c r="A49" s="3" t="s">
        <v>211</v>
      </c>
      <c r="B49" s="3" t="s">
        <v>169</v>
      </c>
      <c r="C49" s="3" t="s">
        <v>212</v>
      </c>
      <c r="D49" s="3" t="s">
        <v>213</v>
      </c>
      <c r="E49" s="3" t="s">
        <v>214</v>
      </c>
      <c r="F49" s="3" t="s">
        <v>6</v>
      </c>
      <c r="G49" s="3" t="n">
        <v>20</v>
      </c>
      <c r="H49" s="3" t="n">
        <v>80</v>
      </c>
      <c r="I49" s="4" t="n">
        <v>65</v>
      </c>
      <c r="J49" s="4" t="n">
        <v>95</v>
      </c>
      <c r="K49" s="4" t="n">
        <f aca="false">J49-I49</f>
        <v>30</v>
      </c>
      <c r="L49" s="5" t="n">
        <f aca="false">IF(J49&gt;0,(J49-I49)/J49,0)</f>
        <v>0.315789473684211</v>
      </c>
      <c r="M49" s="3" t="s">
        <v>189</v>
      </c>
      <c r="N49" s="3" t="s">
        <v>162</v>
      </c>
      <c r="O49" s="3" t="s">
        <v>23</v>
      </c>
    </row>
    <row r="50" customFormat="false" ht="15" hidden="false" customHeight="false" outlineLevel="0" collapsed="false">
      <c r="A50" s="6" t="s">
        <v>215</v>
      </c>
      <c r="B50" s="6" t="s">
        <v>169</v>
      </c>
      <c r="C50" s="6" t="s">
        <v>212</v>
      </c>
      <c r="D50" s="6" t="s">
        <v>216</v>
      </c>
      <c r="E50" s="6" t="s">
        <v>217</v>
      </c>
      <c r="F50" s="6" t="s">
        <v>6</v>
      </c>
      <c r="G50" s="6" t="n">
        <v>20</v>
      </c>
      <c r="H50" s="6" t="n">
        <v>80</v>
      </c>
      <c r="I50" s="7" t="n">
        <v>70</v>
      </c>
      <c r="J50" s="7" t="n">
        <v>100</v>
      </c>
      <c r="K50" s="7" t="n">
        <f aca="false">J50-I50</f>
        <v>30</v>
      </c>
      <c r="L50" s="8" t="n">
        <f aca="false">IF(J50&gt;0,(J50-I50)/J50,0)</f>
        <v>0.3</v>
      </c>
      <c r="M50" s="6" t="s">
        <v>218</v>
      </c>
      <c r="N50" s="6" t="s">
        <v>219</v>
      </c>
      <c r="O50" s="6" t="s">
        <v>23</v>
      </c>
    </row>
    <row r="51" customFormat="false" ht="15" hidden="false" customHeight="false" outlineLevel="0" collapsed="false">
      <c r="A51" s="3" t="s">
        <v>220</v>
      </c>
      <c r="B51" s="3" t="s">
        <v>169</v>
      </c>
      <c r="C51" s="3" t="s">
        <v>212</v>
      </c>
      <c r="D51" s="3" t="s">
        <v>221</v>
      </c>
      <c r="E51" s="3" t="s">
        <v>222</v>
      </c>
      <c r="F51" s="3" t="s">
        <v>6</v>
      </c>
      <c r="G51" s="3" t="n">
        <v>20</v>
      </c>
      <c r="H51" s="3" t="n">
        <v>80</v>
      </c>
      <c r="I51" s="4" t="n">
        <v>95</v>
      </c>
      <c r="J51" s="4" t="n">
        <v>135</v>
      </c>
      <c r="K51" s="4" t="n">
        <f aca="false">J51-I51</f>
        <v>40</v>
      </c>
      <c r="L51" s="5" t="n">
        <f aca="false">IF(J51&gt;0,(J51-I51)/J51,0)</f>
        <v>0.296296296296296</v>
      </c>
      <c r="M51" s="3" t="s">
        <v>218</v>
      </c>
      <c r="N51" s="3" t="s">
        <v>219</v>
      </c>
      <c r="O51" s="3" t="s">
        <v>23</v>
      </c>
    </row>
    <row r="52" customFormat="false" ht="15" hidden="false" customHeight="false" outlineLevel="0" collapsed="false">
      <c r="A52" s="6" t="s">
        <v>223</v>
      </c>
      <c r="B52" s="6" t="s">
        <v>169</v>
      </c>
      <c r="C52" s="6" t="s">
        <v>212</v>
      </c>
      <c r="D52" s="6" t="s">
        <v>224</v>
      </c>
      <c r="E52" s="6" t="s">
        <v>225</v>
      </c>
      <c r="F52" s="6" t="s">
        <v>6</v>
      </c>
      <c r="G52" s="6" t="n">
        <v>20</v>
      </c>
      <c r="H52" s="6" t="n">
        <v>80</v>
      </c>
      <c r="I52" s="7" t="n">
        <v>75</v>
      </c>
      <c r="J52" s="7" t="n">
        <v>110</v>
      </c>
      <c r="K52" s="7" t="n">
        <f aca="false">J52-I52</f>
        <v>35</v>
      </c>
      <c r="L52" s="8" t="n">
        <f aca="false">IF(J52&gt;0,(J52-I52)/J52,0)</f>
        <v>0.318181818181818</v>
      </c>
      <c r="M52" s="6" t="s">
        <v>226</v>
      </c>
      <c r="N52" s="6" t="s">
        <v>227</v>
      </c>
      <c r="O52" s="6" t="s">
        <v>23</v>
      </c>
    </row>
    <row r="53" customFormat="false" ht="15" hidden="false" customHeight="false" outlineLevel="0" collapsed="false">
      <c r="A53" s="3" t="s">
        <v>228</v>
      </c>
      <c r="B53" s="3" t="s">
        <v>169</v>
      </c>
      <c r="C53" s="3" t="s">
        <v>212</v>
      </c>
      <c r="D53" s="3" t="s">
        <v>229</v>
      </c>
      <c r="E53" s="3" t="s">
        <v>230</v>
      </c>
      <c r="F53" s="3" t="s">
        <v>6</v>
      </c>
      <c r="G53" s="3" t="n">
        <v>25</v>
      </c>
      <c r="H53" s="3" t="n">
        <v>100</v>
      </c>
      <c r="I53" s="4" t="n">
        <v>55</v>
      </c>
      <c r="J53" s="4" t="n">
        <v>80</v>
      </c>
      <c r="K53" s="4" t="n">
        <f aca="false">J53-I53</f>
        <v>25</v>
      </c>
      <c r="L53" s="5" t="n">
        <f aca="false">IF(J53&gt;0,(J53-I53)/J53,0)</f>
        <v>0.3125</v>
      </c>
      <c r="M53" s="3" t="s">
        <v>218</v>
      </c>
      <c r="N53" s="3" t="s">
        <v>219</v>
      </c>
      <c r="O53" s="3" t="s">
        <v>23</v>
      </c>
    </row>
    <row r="54" customFormat="false" ht="15" hidden="false" customHeight="false" outlineLevel="0" collapsed="false">
      <c r="A54" s="6" t="s">
        <v>231</v>
      </c>
      <c r="B54" s="6" t="s">
        <v>169</v>
      </c>
      <c r="C54" s="6" t="s">
        <v>212</v>
      </c>
      <c r="D54" s="6" t="s">
        <v>232</v>
      </c>
      <c r="E54" s="6" t="s">
        <v>233</v>
      </c>
      <c r="F54" s="6" t="s">
        <v>6</v>
      </c>
      <c r="G54" s="6" t="n">
        <v>25</v>
      </c>
      <c r="H54" s="6" t="n">
        <v>100</v>
      </c>
      <c r="I54" s="7" t="n">
        <v>65</v>
      </c>
      <c r="J54" s="7" t="n">
        <v>90</v>
      </c>
      <c r="K54" s="7" t="n">
        <f aca="false">J54-I54</f>
        <v>25</v>
      </c>
      <c r="L54" s="8" t="n">
        <f aca="false">IF(J54&gt;0,(J54-I54)/J54,0)</f>
        <v>0.277777777777778</v>
      </c>
      <c r="M54" s="6" t="s">
        <v>218</v>
      </c>
      <c r="N54" s="6" t="s">
        <v>219</v>
      </c>
      <c r="O54" s="6" t="s">
        <v>23</v>
      </c>
    </row>
    <row r="55" customFormat="false" ht="15" hidden="false" customHeight="false" outlineLevel="0" collapsed="false">
      <c r="A55" s="3" t="s">
        <v>234</v>
      </c>
      <c r="B55" s="3" t="s">
        <v>169</v>
      </c>
      <c r="C55" s="3" t="s">
        <v>212</v>
      </c>
      <c r="D55" s="3" t="s">
        <v>235</v>
      </c>
      <c r="E55" s="3" t="s">
        <v>236</v>
      </c>
      <c r="F55" s="3" t="s">
        <v>6</v>
      </c>
      <c r="G55" s="3" t="n">
        <v>25</v>
      </c>
      <c r="H55" s="3" t="n">
        <v>100</v>
      </c>
      <c r="I55" s="4" t="n">
        <v>75</v>
      </c>
      <c r="J55" s="4" t="n">
        <v>105</v>
      </c>
      <c r="K55" s="4" t="n">
        <f aca="false">J55-I55</f>
        <v>30</v>
      </c>
      <c r="L55" s="5" t="n">
        <f aca="false">IF(J55&gt;0,(J55-I55)/J55,0)</f>
        <v>0.285714285714286</v>
      </c>
      <c r="M55" s="3" t="s">
        <v>189</v>
      </c>
      <c r="N55" s="3" t="s">
        <v>162</v>
      </c>
      <c r="O55" s="3" t="s">
        <v>23</v>
      </c>
    </row>
    <row r="56" customFormat="false" ht="15" hidden="false" customHeight="false" outlineLevel="0" collapsed="false">
      <c r="A56" s="6" t="s">
        <v>237</v>
      </c>
      <c r="B56" s="6" t="s">
        <v>169</v>
      </c>
      <c r="C56" s="6" t="s">
        <v>212</v>
      </c>
      <c r="D56" s="6" t="s">
        <v>238</v>
      </c>
      <c r="E56" s="6" t="s">
        <v>239</v>
      </c>
      <c r="F56" s="6" t="s">
        <v>6</v>
      </c>
      <c r="G56" s="6" t="n">
        <v>30</v>
      </c>
      <c r="H56" s="6" t="n">
        <v>100</v>
      </c>
      <c r="I56" s="7" t="n">
        <v>50</v>
      </c>
      <c r="J56" s="7" t="n">
        <v>72</v>
      </c>
      <c r="K56" s="7" t="n">
        <f aca="false">J56-I56</f>
        <v>22</v>
      </c>
      <c r="L56" s="8" t="n">
        <f aca="false">IF(J56&gt;0,(J56-I56)/J56,0)</f>
        <v>0.305555555555556</v>
      </c>
      <c r="M56" s="6" t="s">
        <v>218</v>
      </c>
      <c r="N56" s="6" t="s">
        <v>219</v>
      </c>
      <c r="O56" s="6" t="s">
        <v>23</v>
      </c>
    </row>
    <row r="57" customFormat="false" ht="15" hidden="false" customHeight="false" outlineLevel="0" collapsed="false">
      <c r="A57" s="3" t="s">
        <v>240</v>
      </c>
      <c r="B57" s="3" t="s">
        <v>169</v>
      </c>
      <c r="C57" s="3" t="s">
        <v>212</v>
      </c>
      <c r="D57" s="3" t="s">
        <v>241</v>
      </c>
      <c r="E57" s="3" t="s">
        <v>242</v>
      </c>
      <c r="F57" s="3" t="s">
        <v>6</v>
      </c>
      <c r="G57" s="3" t="n">
        <v>30</v>
      </c>
      <c r="H57" s="3" t="n">
        <v>100</v>
      </c>
      <c r="I57" s="4" t="n">
        <v>70</v>
      </c>
      <c r="J57" s="4" t="n">
        <v>100</v>
      </c>
      <c r="K57" s="4" t="n">
        <f aca="false">J57-I57</f>
        <v>30</v>
      </c>
      <c r="L57" s="5" t="n">
        <f aca="false">IF(J57&gt;0,(J57-I57)/J57,0)</f>
        <v>0.3</v>
      </c>
      <c r="M57" s="3" t="s">
        <v>189</v>
      </c>
      <c r="N57" s="3" t="s">
        <v>162</v>
      </c>
      <c r="O57" s="3" t="s">
        <v>23</v>
      </c>
    </row>
    <row r="58" customFormat="false" ht="15" hidden="false" customHeight="false" outlineLevel="0" collapsed="false">
      <c r="A58" s="6" t="s">
        <v>243</v>
      </c>
      <c r="B58" s="6" t="s">
        <v>169</v>
      </c>
      <c r="C58" s="6" t="s">
        <v>212</v>
      </c>
      <c r="D58" s="6" t="s">
        <v>244</v>
      </c>
      <c r="E58" s="6" t="s">
        <v>245</v>
      </c>
      <c r="F58" s="6" t="s">
        <v>6</v>
      </c>
      <c r="G58" s="6" t="n">
        <v>25</v>
      </c>
      <c r="H58" s="6" t="n">
        <v>100</v>
      </c>
      <c r="I58" s="7" t="n">
        <v>58</v>
      </c>
      <c r="J58" s="7" t="n">
        <v>84</v>
      </c>
      <c r="K58" s="7" t="n">
        <f aca="false">J58-I58</f>
        <v>26</v>
      </c>
      <c r="L58" s="8" t="n">
        <f aca="false">IF(J58&gt;0,(J58-I58)/J58,0)</f>
        <v>0.30952380952381</v>
      </c>
      <c r="M58" s="6" t="s">
        <v>218</v>
      </c>
      <c r="N58" s="6" t="s">
        <v>219</v>
      </c>
      <c r="O58" s="6" t="s">
        <v>23</v>
      </c>
    </row>
    <row r="59" customFormat="false" ht="15" hidden="false" customHeight="false" outlineLevel="0" collapsed="false">
      <c r="A59" s="3" t="s">
        <v>246</v>
      </c>
      <c r="B59" s="3" t="s">
        <v>169</v>
      </c>
      <c r="C59" s="3" t="s">
        <v>247</v>
      </c>
      <c r="D59" s="3" t="s">
        <v>248</v>
      </c>
      <c r="E59" s="3" t="s">
        <v>249</v>
      </c>
      <c r="F59" s="3" t="s">
        <v>6</v>
      </c>
      <c r="G59" s="3" t="n">
        <v>10</v>
      </c>
      <c r="H59" s="3" t="n">
        <v>40</v>
      </c>
      <c r="I59" s="4" t="n">
        <v>1350</v>
      </c>
      <c r="J59" s="4" t="n">
        <v>1750</v>
      </c>
      <c r="K59" s="4" t="n">
        <f aca="false">J59-I59</f>
        <v>400</v>
      </c>
      <c r="L59" s="5" t="n">
        <f aca="false">IF(J59&gt;0,(J59-I59)/J59,0)</f>
        <v>0.228571428571429</v>
      </c>
      <c r="M59" s="3" t="s">
        <v>250</v>
      </c>
      <c r="N59" s="3" t="s">
        <v>251</v>
      </c>
      <c r="O59" s="3" t="s">
        <v>23</v>
      </c>
    </row>
    <row r="60" customFormat="false" ht="15" hidden="false" customHeight="false" outlineLevel="0" collapsed="false">
      <c r="A60" s="6" t="s">
        <v>252</v>
      </c>
      <c r="B60" s="6" t="s">
        <v>169</v>
      </c>
      <c r="C60" s="6" t="s">
        <v>247</v>
      </c>
      <c r="D60" s="6" t="s">
        <v>253</v>
      </c>
      <c r="E60" s="6" t="s">
        <v>254</v>
      </c>
      <c r="F60" s="6" t="s">
        <v>6</v>
      </c>
      <c r="G60" s="6" t="n">
        <v>15</v>
      </c>
      <c r="H60" s="6" t="n">
        <v>60</v>
      </c>
      <c r="I60" s="7" t="n">
        <v>580</v>
      </c>
      <c r="J60" s="7" t="n">
        <v>780</v>
      </c>
      <c r="K60" s="7" t="n">
        <f aca="false">J60-I60</f>
        <v>200</v>
      </c>
      <c r="L60" s="8" t="n">
        <f aca="false">IF(J60&gt;0,(J60-I60)/J60,0)</f>
        <v>0.256410256410256</v>
      </c>
      <c r="M60" s="6" t="s">
        <v>255</v>
      </c>
      <c r="N60" s="6" t="s">
        <v>256</v>
      </c>
      <c r="O60" s="6" t="s">
        <v>23</v>
      </c>
    </row>
    <row r="61" customFormat="false" ht="15" hidden="false" customHeight="false" outlineLevel="0" collapsed="false">
      <c r="A61" s="3" t="s">
        <v>257</v>
      </c>
      <c r="B61" s="3" t="s">
        <v>169</v>
      </c>
      <c r="C61" s="3" t="s">
        <v>247</v>
      </c>
      <c r="D61" s="3" t="s">
        <v>258</v>
      </c>
      <c r="E61" s="3" t="s">
        <v>259</v>
      </c>
      <c r="F61" s="3" t="s">
        <v>6</v>
      </c>
      <c r="G61" s="3" t="n">
        <v>15</v>
      </c>
      <c r="H61" s="3" t="n">
        <v>60</v>
      </c>
      <c r="I61" s="4" t="n">
        <v>650</v>
      </c>
      <c r="J61" s="4" t="n">
        <v>870</v>
      </c>
      <c r="K61" s="4" t="n">
        <f aca="false">J61-I61</f>
        <v>220</v>
      </c>
      <c r="L61" s="5" t="n">
        <f aca="false">IF(J61&gt;0,(J61-I61)/J61,0)</f>
        <v>0.252873563218391</v>
      </c>
      <c r="M61" s="3" t="s">
        <v>260</v>
      </c>
      <c r="N61" s="3" t="s">
        <v>261</v>
      </c>
      <c r="O61" s="3" t="s">
        <v>23</v>
      </c>
    </row>
    <row r="62" customFormat="false" ht="15" hidden="false" customHeight="false" outlineLevel="0" collapsed="false">
      <c r="A62" s="6" t="s">
        <v>262</v>
      </c>
      <c r="B62" s="6" t="s">
        <v>169</v>
      </c>
      <c r="C62" s="6" t="s">
        <v>247</v>
      </c>
      <c r="D62" s="6" t="s">
        <v>263</v>
      </c>
      <c r="E62" s="6" t="s">
        <v>264</v>
      </c>
      <c r="F62" s="6" t="s">
        <v>6</v>
      </c>
      <c r="G62" s="6" t="n">
        <v>15</v>
      </c>
      <c r="H62" s="6" t="n">
        <v>60</v>
      </c>
      <c r="I62" s="7" t="n">
        <v>350</v>
      </c>
      <c r="J62" s="7" t="n">
        <v>480</v>
      </c>
      <c r="K62" s="7" t="n">
        <f aca="false">J62-I62</f>
        <v>130</v>
      </c>
      <c r="L62" s="8" t="n">
        <f aca="false">IF(J62&gt;0,(J62-I62)/J62,0)</f>
        <v>0.270833333333333</v>
      </c>
      <c r="M62" s="6" t="s">
        <v>265</v>
      </c>
      <c r="N62" s="6" t="s">
        <v>266</v>
      </c>
      <c r="O62" s="6" t="s">
        <v>23</v>
      </c>
    </row>
    <row r="63" customFormat="false" ht="15" hidden="false" customHeight="false" outlineLevel="0" collapsed="false">
      <c r="A63" s="3" t="s">
        <v>267</v>
      </c>
      <c r="B63" s="3" t="s">
        <v>169</v>
      </c>
      <c r="C63" s="3" t="s">
        <v>247</v>
      </c>
      <c r="D63" s="3" t="s">
        <v>268</v>
      </c>
      <c r="E63" s="3" t="s">
        <v>269</v>
      </c>
      <c r="F63" s="3" t="s">
        <v>6</v>
      </c>
      <c r="G63" s="3" t="n">
        <v>10</v>
      </c>
      <c r="H63" s="3" t="n">
        <v>40</v>
      </c>
      <c r="I63" s="4" t="n">
        <v>480</v>
      </c>
      <c r="J63" s="4" t="n">
        <v>630</v>
      </c>
      <c r="K63" s="4" t="n">
        <f aca="false">J63-I63</f>
        <v>150</v>
      </c>
      <c r="L63" s="5" t="n">
        <f aca="false">IF(J63&gt;0,(J63-I63)/J63,0)</f>
        <v>0.238095238095238</v>
      </c>
      <c r="M63" s="3" t="s">
        <v>270</v>
      </c>
      <c r="N63" s="3" t="s">
        <v>270</v>
      </c>
      <c r="O63" s="3" t="s">
        <v>23</v>
      </c>
    </row>
    <row r="64" customFormat="false" ht="15" hidden="false" customHeight="false" outlineLevel="0" collapsed="false">
      <c r="A64" s="6" t="s">
        <v>271</v>
      </c>
      <c r="B64" s="6" t="s">
        <v>169</v>
      </c>
      <c r="C64" s="6" t="s">
        <v>247</v>
      </c>
      <c r="D64" s="6" t="s">
        <v>272</v>
      </c>
      <c r="E64" s="6" t="s">
        <v>273</v>
      </c>
      <c r="F64" s="6" t="s">
        <v>6</v>
      </c>
      <c r="G64" s="6" t="n">
        <v>30</v>
      </c>
      <c r="H64" s="6" t="n">
        <v>120</v>
      </c>
      <c r="I64" s="7" t="n">
        <v>120</v>
      </c>
      <c r="J64" s="7" t="n">
        <v>165</v>
      </c>
      <c r="K64" s="7" t="n">
        <f aca="false">J64-I64</f>
        <v>45</v>
      </c>
      <c r="L64" s="8" t="n">
        <f aca="false">IF(J64&gt;0,(J64-I64)/J64,0)</f>
        <v>0.272727272727273</v>
      </c>
      <c r="M64" s="6" t="s">
        <v>274</v>
      </c>
      <c r="N64" s="6" t="s">
        <v>275</v>
      </c>
      <c r="O64" s="6" t="s">
        <v>23</v>
      </c>
    </row>
    <row r="65" customFormat="false" ht="15" hidden="false" customHeight="false" outlineLevel="0" collapsed="false">
      <c r="A65" s="3" t="s">
        <v>276</v>
      </c>
      <c r="B65" s="3" t="s">
        <v>169</v>
      </c>
      <c r="C65" s="3" t="s">
        <v>247</v>
      </c>
      <c r="D65" s="3" t="s">
        <v>277</v>
      </c>
      <c r="E65" s="3" t="s">
        <v>278</v>
      </c>
      <c r="F65" s="3" t="s">
        <v>6</v>
      </c>
      <c r="G65" s="3" t="n">
        <v>30</v>
      </c>
      <c r="H65" s="3" t="n">
        <v>120</v>
      </c>
      <c r="I65" s="4" t="n">
        <v>120</v>
      </c>
      <c r="J65" s="4" t="n">
        <v>165</v>
      </c>
      <c r="K65" s="4" t="n">
        <f aca="false">J65-I65</f>
        <v>45</v>
      </c>
      <c r="L65" s="5" t="n">
        <f aca="false">IF(J65&gt;0,(J65-I65)/J65,0)</f>
        <v>0.272727272727273</v>
      </c>
      <c r="M65" s="3" t="s">
        <v>279</v>
      </c>
      <c r="N65" s="3" t="s">
        <v>280</v>
      </c>
      <c r="O65" s="3" t="s">
        <v>23</v>
      </c>
    </row>
    <row r="66" customFormat="false" ht="15" hidden="false" customHeight="false" outlineLevel="0" collapsed="false">
      <c r="A66" s="6" t="s">
        <v>281</v>
      </c>
      <c r="B66" s="6" t="s">
        <v>169</v>
      </c>
      <c r="C66" s="6" t="s">
        <v>247</v>
      </c>
      <c r="D66" s="6" t="s">
        <v>282</v>
      </c>
      <c r="E66" s="6" t="s">
        <v>283</v>
      </c>
      <c r="F66" s="6" t="s">
        <v>6</v>
      </c>
      <c r="G66" s="6" t="n">
        <v>20</v>
      </c>
      <c r="H66" s="6" t="n">
        <v>80</v>
      </c>
      <c r="I66" s="7" t="n">
        <v>150</v>
      </c>
      <c r="J66" s="7" t="n">
        <v>210</v>
      </c>
      <c r="K66" s="7" t="n">
        <f aca="false">J66-I66</f>
        <v>60</v>
      </c>
      <c r="L66" s="8" t="n">
        <f aca="false">IF(J66&gt;0,(J66-I66)/J66,0)</f>
        <v>0.285714285714286</v>
      </c>
      <c r="M66" s="6" t="s">
        <v>279</v>
      </c>
      <c r="N66" s="6" t="s">
        <v>284</v>
      </c>
      <c r="O66" s="6" t="s">
        <v>23</v>
      </c>
    </row>
    <row r="67" customFormat="false" ht="15" hidden="false" customHeight="false" outlineLevel="0" collapsed="false">
      <c r="A67" s="3" t="s">
        <v>285</v>
      </c>
      <c r="B67" s="3" t="s">
        <v>169</v>
      </c>
      <c r="C67" s="3" t="s">
        <v>247</v>
      </c>
      <c r="D67" s="3" t="s">
        <v>286</v>
      </c>
      <c r="E67" s="3" t="s">
        <v>287</v>
      </c>
      <c r="F67" s="3" t="s">
        <v>6</v>
      </c>
      <c r="G67" s="3" t="n">
        <v>40</v>
      </c>
      <c r="H67" s="3" t="n">
        <v>200</v>
      </c>
      <c r="I67" s="4" t="n">
        <v>180</v>
      </c>
      <c r="J67" s="4" t="n">
        <v>240</v>
      </c>
      <c r="K67" s="4" t="n">
        <f aca="false">J67-I67</f>
        <v>60</v>
      </c>
      <c r="L67" s="5" t="n">
        <f aca="false">IF(J67&gt;0,(J67-I67)/J67,0)</f>
        <v>0.25</v>
      </c>
      <c r="M67" s="3" t="s">
        <v>288</v>
      </c>
      <c r="N67" s="3" t="s">
        <v>289</v>
      </c>
      <c r="O67" s="3" t="s">
        <v>23</v>
      </c>
    </row>
    <row r="68" customFormat="false" ht="15" hidden="false" customHeight="false" outlineLevel="0" collapsed="false">
      <c r="A68" s="6" t="s">
        <v>290</v>
      </c>
      <c r="B68" s="6" t="s">
        <v>169</v>
      </c>
      <c r="C68" s="6" t="s">
        <v>247</v>
      </c>
      <c r="D68" s="6" t="s">
        <v>291</v>
      </c>
      <c r="E68" s="6" t="s">
        <v>292</v>
      </c>
      <c r="F68" s="6" t="s">
        <v>6</v>
      </c>
      <c r="G68" s="6" t="n">
        <v>20</v>
      </c>
      <c r="H68" s="6" t="n">
        <v>80</v>
      </c>
      <c r="I68" s="7" t="n">
        <v>250</v>
      </c>
      <c r="J68" s="7" t="n">
        <v>340</v>
      </c>
      <c r="K68" s="7" t="n">
        <f aca="false">J68-I68</f>
        <v>90</v>
      </c>
      <c r="L68" s="8" t="n">
        <f aca="false">IF(J68&gt;0,(J68-I68)/J68,0)</f>
        <v>0.264705882352941</v>
      </c>
      <c r="M68" s="6" t="s">
        <v>293</v>
      </c>
      <c r="N68" s="6" t="s">
        <v>294</v>
      </c>
      <c r="O68" s="6" t="s">
        <v>23</v>
      </c>
    </row>
    <row r="69" customFormat="false" ht="15" hidden="false" customHeight="false" outlineLevel="0" collapsed="false">
      <c r="A69" s="3" t="s">
        <v>295</v>
      </c>
      <c r="B69" s="3" t="s">
        <v>169</v>
      </c>
      <c r="C69" s="3" t="s">
        <v>296</v>
      </c>
      <c r="D69" s="3" t="s">
        <v>297</v>
      </c>
      <c r="E69" s="3" t="s">
        <v>298</v>
      </c>
      <c r="F69" s="3" t="s">
        <v>6</v>
      </c>
      <c r="G69" s="3" t="n">
        <v>40</v>
      </c>
      <c r="H69" s="3" t="n">
        <v>200</v>
      </c>
      <c r="I69" s="4" t="n">
        <v>185</v>
      </c>
      <c r="J69" s="4" t="n">
        <v>245</v>
      </c>
      <c r="K69" s="4" t="n">
        <f aca="false">J69-I69</f>
        <v>60</v>
      </c>
      <c r="L69" s="5" t="n">
        <f aca="false">IF(J69&gt;0,(J69-I69)/J69,0)</f>
        <v>0.244897959183673</v>
      </c>
      <c r="M69" s="3" t="s">
        <v>288</v>
      </c>
      <c r="N69" s="3" t="s">
        <v>289</v>
      </c>
      <c r="O69" s="3" t="s">
        <v>23</v>
      </c>
    </row>
    <row r="70" customFormat="false" ht="15" hidden="false" customHeight="false" outlineLevel="0" collapsed="false">
      <c r="A70" s="6" t="s">
        <v>299</v>
      </c>
      <c r="B70" s="6" t="s">
        <v>169</v>
      </c>
      <c r="C70" s="6" t="s">
        <v>296</v>
      </c>
      <c r="D70" s="6" t="s">
        <v>300</v>
      </c>
      <c r="E70" s="6" t="s">
        <v>301</v>
      </c>
      <c r="F70" s="6" t="s">
        <v>6</v>
      </c>
      <c r="G70" s="6" t="n">
        <v>10</v>
      </c>
      <c r="H70" s="6" t="n">
        <v>40</v>
      </c>
      <c r="I70" s="7" t="n">
        <v>1200</v>
      </c>
      <c r="J70" s="7" t="n">
        <v>1550</v>
      </c>
      <c r="K70" s="7" t="n">
        <f aca="false">J70-I70</f>
        <v>350</v>
      </c>
      <c r="L70" s="8" t="n">
        <f aca="false">IF(J70&gt;0,(J70-I70)/J70,0)</f>
        <v>0.225806451612903</v>
      </c>
      <c r="M70" s="6" t="s">
        <v>250</v>
      </c>
      <c r="N70" s="6" t="s">
        <v>251</v>
      </c>
      <c r="O70" s="6" t="s">
        <v>23</v>
      </c>
    </row>
    <row r="71" customFormat="false" ht="15" hidden="false" customHeight="false" outlineLevel="0" collapsed="false">
      <c r="A71" s="3" t="s">
        <v>302</v>
      </c>
      <c r="B71" s="3" t="s">
        <v>169</v>
      </c>
      <c r="C71" s="3" t="s">
        <v>296</v>
      </c>
      <c r="D71" s="3" t="s">
        <v>303</v>
      </c>
      <c r="E71" s="3" t="s">
        <v>304</v>
      </c>
      <c r="F71" s="3" t="s">
        <v>6</v>
      </c>
      <c r="G71" s="3" t="n">
        <v>40</v>
      </c>
      <c r="H71" s="3" t="n">
        <v>200</v>
      </c>
      <c r="I71" s="4" t="n">
        <v>180</v>
      </c>
      <c r="J71" s="4" t="n">
        <v>240</v>
      </c>
      <c r="K71" s="4" t="n">
        <f aca="false">J71-I71</f>
        <v>60</v>
      </c>
      <c r="L71" s="5" t="n">
        <f aca="false">IF(J71&gt;0,(J71-I71)/J71,0)</f>
        <v>0.25</v>
      </c>
      <c r="M71" s="3" t="s">
        <v>305</v>
      </c>
      <c r="N71" s="3" t="s">
        <v>306</v>
      </c>
      <c r="O71" s="3" t="s">
        <v>23</v>
      </c>
    </row>
    <row r="72" customFormat="false" ht="15" hidden="false" customHeight="false" outlineLevel="0" collapsed="false">
      <c r="A72" s="6" t="s">
        <v>307</v>
      </c>
      <c r="B72" s="6" t="s">
        <v>169</v>
      </c>
      <c r="C72" s="6" t="s">
        <v>296</v>
      </c>
      <c r="D72" s="6" t="s">
        <v>308</v>
      </c>
      <c r="E72" s="6" t="s">
        <v>309</v>
      </c>
      <c r="F72" s="6" t="s">
        <v>6</v>
      </c>
      <c r="G72" s="6" t="n">
        <v>20</v>
      </c>
      <c r="H72" s="6" t="n">
        <v>80</v>
      </c>
      <c r="I72" s="7" t="n">
        <v>280</v>
      </c>
      <c r="J72" s="7" t="n">
        <v>380</v>
      </c>
      <c r="K72" s="7" t="n">
        <f aca="false">J72-I72</f>
        <v>100</v>
      </c>
      <c r="L72" s="8" t="n">
        <f aca="false">IF(J72&gt;0,(J72-I72)/J72,0)</f>
        <v>0.263157894736842</v>
      </c>
      <c r="M72" s="6" t="s">
        <v>310</v>
      </c>
      <c r="N72" s="6" t="s">
        <v>311</v>
      </c>
      <c r="O72" s="6" t="s">
        <v>23</v>
      </c>
    </row>
    <row r="73" customFormat="false" ht="15" hidden="false" customHeight="false" outlineLevel="0" collapsed="false">
      <c r="A73" s="3" t="s">
        <v>312</v>
      </c>
      <c r="B73" s="3" t="s">
        <v>169</v>
      </c>
      <c r="C73" s="3" t="s">
        <v>296</v>
      </c>
      <c r="D73" s="3" t="s">
        <v>313</v>
      </c>
      <c r="E73" s="3" t="s">
        <v>314</v>
      </c>
      <c r="F73" s="3" t="s">
        <v>6</v>
      </c>
      <c r="G73" s="3" t="n">
        <v>15</v>
      </c>
      <c r="H73" s="3" t="n">
        <v>60</v>
      </c>
      <c r="I73" s="4" t="n">
        <v>350</v>
      </c>
      <c r="J73" s="4" t="n">
        <v>480</v>
      </c>
      <c r="K73" s="4" t="n">
        <f aca="false">J73-I73</f>
        <v>130</v>
      </c>
      <c r="L73" s="5" t="n">
        <f aca="false">IF(J73&gt;0,(J73-I73)/J73,0)</f>
        <v>0.270833333333333</v>
      </c>
      <c r="M73" s="3" t="s">
        <v>315</v>
      </c>
      <c r="N73" s="3" t="s">
        <v>316</v>
      </c>
      <c r="O73" s="3" t="s">
        <v>23</v>
      </c>
    </row>
    <row r="74" customFormat="false" ht="15" hidden="false" customHeight="false" outlineLevel="0" collapsed="false">
      <c r="A74" s="6" t="s">
        <v>317</v>
      </c>
      <c r="B74" s="6" t="s">
        <v>169</v>
      </c>
      <c r="C74" s="6" t="s">
        <v>296</v>
      </c>
      <c r="D74" s="6" t="s">
        <v>318</v>
      </c>
      <c r="E74" s="6" t="s">
        <v>319</v>
      </c>
      <c r="F74" s="6" t="s">
        <v>6</v>
      </c>
      <c r="G74" s="6" t="n">
        <v>15</v>
      </c>
      <c r="H74" s="6" t="n">
        <v>60</v>
      </c>
      <c r="I74" s="7" t="n">
        <v>680</v>
      </c>
      <c r="J74" s="7" t="n">
        <v>900</v>
      </c>
      <c r="K74" s="7" t="n">
        <f aca="false">J74-I74</f>
        <v>220</v>
      </c>
      <c r="L74" s="8" t="n">
        <f aca="false">IF(J74&gt;0,(J74-I74)/J74,0)</f>
        <v>0.244444444444444</v>
      </c>
      <c r="M74" s="6" t="s">
        <v>320</v>
      </c>
      <c r="N74" s="6" t="s">
        <v>321</v>
      </c>
      <c r="O74" s="6" t="s">
        <v>23</v>
      </c>
    </row>
    <row r="75" customFormat="false" ht="15" hidden="false" customHeight="false" outlineLevel="0" collapsed="false">
      <c r="A75" s="3" t="s">
        <v>322</v>
      </c>
      <c r="B75" s="3" t="s">
        <v>169</v>
      </c>
      <c r="C75" s="3" t="s">
        <v>296</v>
      </c>
      <c r="D75" s="3" t="s">
        <v>323</v>
      </c>
      <c r="E75" s="3" t="s">
        <v>324</v>
      </c>
      <c r="F75" s="3" t="s">
        <v>6</v>
      </c>
      <c r="G75" s="3" t="n">
        <v>15</v>
      </c>
      <c r="H75" s="3" t="n">
        <v>60</v>
      </c>
      <c r="I75" s="4" t="n">
        <v>750</v>
      </c>
      <c r="J75" s="4" t="n">
        <v>980</v>
      </c>
      <c r="K75" s="4" t="n">
        <f aca="false">J75-I75</f>
        <v>230</v>
      </c>
      <c r="L75" s="5" t="n">
        <f aca="false">IF(J75&gt;0,(J75-I75)/J75,0)</f>
        <v>0.23469387755102</v>
      </c>
      <c r="M75" s="3" t="s">
        <v>320</v>
      </c>
      <c r="N75" s="3" t="s">
        <v>321</v>
      </c>
      <c r="O75" s="3" t="s">
        <v>23</v>
      </c>
    </row>
    <row r="76" customFormat="false" ht="15" hidden="false" customHeight="false" outlineLevel="0" collapsed="false">
      <c r="A76" s="6" t="s">
        <v>325</v>
      </c>
      <c r="B76" s="6" t="s">
        <v>169</v>
      </c>
      <c r="C76" s="6" t="s">
        <v>296</v>
      </c>
      <c r="D76" s="6" t="s">
        <v>326</v>
      </c>
      <c r="E76" s="6" t="s">
        <v>327</v>
      </c>
      <c r="F76" s="6" t="s">
        <v>6</v>
      </c>
      <c r="G76" s="6" t="n">
        <v>20</v>
      </c>
      <c r="H76" s="6" t="n">
        <v>80</v>
      </c>
      <c r="I76" s="7" t="n">
        <v>280</v>
      </c>
      <c r="J76" s="7" t="n">
        <v>380</v>
      </c>
      <c r="K76" s="7" t="n">
        <f aca="false">J76-I76</f>
        <v>100</v>
      </c>
      <c r="L76" s="8" t="n">
        <f aca="false">IF(J76&gt;0,(J76-I76)/J76,0)</f>
        <v>0.263157894736842</v>
      </c>
      <c r="M76" s="6" t="s">
        <v>315</v>
      </c>
      <c r="N76" s="6" t="s">
        <v>328</v>
      </c>
      <c r="O76" s="6" t="s">
        <v>23</v>
      </c>
    </row>
    <row r="77" customFormat="false" ht="15" hidden="false" customHeight="false" outlineLevel="0" collapsed="false">
      <c r="A77" s="3" t="s">
        <v>329</v>
      </c>
      <c r="B77" s="3" t="s">
        <v>330</v>
      </c>
      <c r="C77" s="3" t="s">
        <v>331</v>
      </c>
      <c r="D77" s="3" t="s">
        <v>332</v>
      </c>
      <c r="E77" s="3" t="s">
        <v>333</v>
      </c>
      <c r="F77" s="3" t="s">
        <v>6</v>
      </c>
      <c r="G77" s="3" t="n">
        <v>10</v>
      </c>
      <c r="H77" s="3" t="n">
        <v>30</v>
      </c>
      <c r="I77" s="4" t="n">
        <v>1200</v>
      </c>
      <c r="J77" s="4" t="n">
        <v>1800</v>
      </c>
      <c r="K77" s="4" t="n">
        <f aca="false">J77-I77</f>
        <v>600</v>
      </c>
      <c r="L77" s="5" t="n">
        <f aca="false">IF(J77&gt;0,(J77-I77)/J77,0)</f>
        <v>0.333333333333333</v>
      </c>
      <c r="M77" s="3" t="s">
        <v>334</v>
      </c>
      <c r="N77" s="3" t="s">
        <v>334</v>
      </c>
      <c r="O77" s="3" t="s">
        <v>23</v>
      </c>
    </row>
    <row r="78" customFormat="false" ht="15" hidden="false" customHeight="false" outlineLevel="0" collapsed="false">
      <c r="A78" s="6" t="s">
        <v>335</v>
      </c>
      <c r="B78" s="6" t="s">
        <v>330</v>
      </c>
      <c r="C78" s="6" t="s">
        <v>331</v>
      </c>
      <c r="D78" s="6" t="s">
        <v>336</v>
      </c>
      <c r="E78" s="6" t="s">
        <v>337</v>
      </c>
      <c r="F78" s="6" t="s">
        <v>6</v>
      </c>
      <c r="G78" s="6" t="n">
        <v>10</v>
      </c>
      <c r="H78" s="6" t="n">
        <v>30</v>
      </c>
      <c r="I78" s="7" t="n">
        <v>1500</v>
      </c>
      <c r="J78" s="7" t="n">
        <v>2200</v>
      </c>
      <c r="K78" s="7" t="n">
        <f aca="false">J78-I78</f>
        <v>700</v>
      </c>
      <c r="L78" s="8" t="n">
        <f aca="false">IF(J78&gt;0,(J78-I78)/J78,0)</f>
        <v>0.318181818181818</v>
      </c>
      <c r="M78" s="6" t="s">
        <v>338</v>
      </c>
      <c r="N78" s="6" t="s">
        <v>338</v>
      </c>
      <c r="O78" s="6" t="s">
        <v>23</v>
      </c>
    </row>
    <row r="79" customFormat="false" ht="15" hidden="false" customHeight="false" outlineLevel="0" collapsed="false">
      <c r="A79" s="3" t="s">
        <v>339</v>
      </c>
      <c r="B79" s="3" t="s">
        <v>330</v>
      </c>
      <c r="C79" s="3" t="s">
        <v>331</v>
      </c>
      <c r="D79" s="3" t="s">
        <v>340</v>
      </c>
      <c r="E79" s="3" t="s">
        <v>341</v>
      </c>
      <c r="F79" s="3" t="s">
        <v>6</v>
      </c>
      <c r="G79" s="3" t="n">
        <v>10</v>
      </c>
      <c r="H79" s="3" t="n">
        <v>30</v>
      </c>
      <c r="I79" s="4" t="n">
        <v>2500</v>
      </c>
      <c r="J79" s="4" t="n">
        <v>3800</v>
      </c>
      <c r="K79" s="4" t="n">
        <f aca="false">J79-I79</f>
        <v>1300</v>
      </c>
      <c r="L79" s="5" t="n">
        <f aca="false">IF(J79&gt;0,(J79-I79)/J79,0)</f>
        <v>0.342105263157895</v>
      </c>
      <c r="M79" s="3" t="s">
        <v>342</v>
      </c>
      <c r="N79" s="3" t="s">
        <v>342</v>
      </c>
      <c r="O79" s="3" t="s">
        <v>23</v>
      </c>
    </row>
    <row r="80" customFormat="false" ht="15" hidden="false" customHeight="false" outlineLevel="0" collapsed="false">
      <c r="A80" s="6" t="s">
        <v>343</v>
      </c>
      <c r="B80" s="6" t="s">
        <v>330</v>
      </c>
      <c r="C80" s="6" t="s">
        <v>331</v>
      </c>
      <c r="D80" s="6" t="s">
        <v>344</v>
      </c>
      <c r="E80" s="6" t="s">
        <v>345</v>
      </c>
      <c r="F80" s="6" t="s">
        <v>6</v>
      </c>
      <c r="G80" s="6" t="n">
        <v>10</v>
      </c>
      <c r="H80" s="6" t="n">
        <v>30</v>
      </c>
      <c r="I80" s="7" t="n">
        <v>1800</v>
      </c>
      <c r="J80" s="7" t="n">
        <v>2700</v>
      </c>
      <c r="K80" s="7" t="n">
        <f aca="false">J80-I80</f>
        <v>900</v>
      </c>
      <c r="L80" s="8" t="n">
        <f aca="false">IF(J80&gt;0,(J80-I80)/J80,0)</f>
        <v>0.333333333333333</v>
      </c>
      <c r="M80" s="6" t="s">
        <v>346</v>
      </c>
      <c r="N80" s="6" t="s">
        <v>347</v>
      </c>
      <c r="O80" s="6" t="s">
        <v>23</v>
      </c>
    </row>
    <row r="81" customFormat="false" ht="15" hidden="false" customHeight="false" outlineLevel="0" collapsed="false">
      <c r="A81" s="3" t="s">
        <v>348</v>
      </c>
      <c r="B81" s="3" t="s">
        <v>330</v>
      </c>
      <c r="C81" s="3" t="s">
        <v>331</v>
      </c>
      <c r="D81" s="3" t="s">
        <v>349</v>
      </c>
      <c r="E81" s="3" t="s">
        <v>350</v>
      </c>
      <c r="F81" s="3" t="s">
        <v>6</v>
      </c>
      <c r="G81" s="3" t="n">
        <v>5</v>
      </c>
      <c r="H81" s="3" t="n">
        <v>20</v>
      </c>
      <c r="I81" s="4" t="n">
        <v>2200</v>
      </c>
      <c r="J81" s="4" t="n">
        <v>3200</v>
      </c>
      <c r="K81" s="4" t="n">
        <f aca="false">J81-I81</f>
        <v>1000</v>
      </c>
      <c r="L81" s="5" t="n">
        <f aca="false">IF(J81&gt;0,(J81-I81)/J81,0)</f>
        <v>0.3125</v>
      </c>
      <c r="M81" s="3" t="s">
        <v>351</v>
      </c>
      <c r="N81" s="3" t="s">
        <v>352</v>
      </c>
      <c r="O81" s="3" t="s">
        <v>23</v>
      </c>
    </row>
    <row r="82" customFormat="false" ht="15" hidden="false" customHeight="false" outlineLevel="0" collapsed="false">
      <c r="A82" s="6" t="s">
        <v>353</v>
      </c>
      <c r="B82" s="6" t="s">
        <v>330</v>
      </c>
      <c r="C82" s="6" t="s">
        <v>331</v>
      </c>
      <c r="D82" s="6" t="s">
        <v>354</v>
      </c>
      <c r="E82" s="6" t="s">
        <v>355</v>
      </c>
      <c r="F82" s="6" t="s">
        <v>6</v>
      </c>
      <c r="G82" s="6" t="n">
        <v>10</v>
      </c>
      <c r="H82" s="6" t="n">
        <v>30</v>
      </c>
      <c r="I82" s="7" t="n">
        <v>1400</v>
      </c>
      <c r="J82" s="7" t="n">
        <v>2100</v>
      </c>
      <c r="K82" s="7" t="n">
        <f aca="false">J82-I82</f>
        <v>700</v>
      </c>
      <c r="L82" s="8" t="n">
        <f aca="false">IF(J82&gt;0,(J82-I82)/J82,0)</f>
        <v>0.333333333333333</v>
      </c>
      <c r="M82" s="6" t="s">
        <v>356</v>
      </c>
      <c r="N82" s="6" t="s">
        <v>356</v>
      </c>
      <c r="O82" s="6" t="s">
        <v>23</v>
      </c>
    </row>
    <row r="83" customFormat="false" ht="15" hidden="false" customHeight="false" outlineLevel="0" collapsed="false">
      <c r="A83" s="3" t="s">
        <v>357</v>
      </c>
      <c r="B83" s="3" t="s">
        <v>330</v>
      </c>
      <c r="C83" s="3" t="s">
        <v>331</v>
      </c>
      <c r="D83" s="3" t="s">
        <v>358</v>
      </c>
      <c r="E83" s="3" t="s">
        <v>359</v>
      </c>
      <c r="F83" s="3" t="s">
        <v>6</v>
      </c>
      <c r="G83" s="3" t="n">
        <v>10</v>
      </c>
      <c r="H83" s="3" t="n">
        <v>30</v>
      </c>
      <c r="I83" s="4" t="n">
        <v>1400</v>
      </c>
      <c r="J83" s="4" t="n">
        <v>2100</v>
      </c>
      <c r="K83" s="4" t="n">
        <f aca="false">J83-I83</f>
        <v>700</v>
      </c>
      <c r="L83" s="5" t="n">
        <f aca="false">IF(J83&gt;0,(J83-I83)/J83,0)</f>
        <v>0.333333333333333</v>
      </c>
      <c r="M83" s="3" t="s">
        <v>356</v>
      </c>
      <c r="N83" s="3" t="s">
        <v>356</v>
      </c>
      <c r="O83" s="3" t="s">
        <v>23</v>
      </c>
    </row>
    <row r="84" customFormat="false" ht="15" hidden="false" customHeight="false" outlineLevel="0" collapsed="false">
      <c r="A84" s="6" t="s">
        <v>360</v>
      </c>
      <c r="B84" s="6" t="s">
        <v>330</v>
      </c>
      <c r="C84" s="6" t="s">
        <v>331</v>
      </c>
      <c r="D84" s="6" t="s">
        <v>361</v>
      </c>
      <c r="E84" s="6" t="s">
        <v>362</v>
      </c>
      <c r="F84" s="6" t="s">
        <v>6</v>
      </c>
      <c r="G84" s="6" t="n">
        <v>10</v>
      </c>
      <c r="H84" s="6" t="n">
        <v>30</v>
      </c>
      <c r="I84" s="7" t="n">
        <v>1600</v>
      </c>
      <c r="J84" s="7" t="n">
        <v>2400</v>
      </c>
      <c r="K84" s="7" t="n">
        <f aca="false">J84-I84</f>
        <v>800</v>
      </c>
      <c r="L84" s="8" t="n">
        <f aca="false">IF(J84&gt;0,(J84-I84)/J84,0)</f>
        <v>0.333333333333333</v>
      </c>
      <c r="M84" s="6" t="s">
        <v>363</v>
      </c>
      <c r="N84" s="6" t="s">
        <v>363</v>
      </c>
      <c r="O84" s="6" t="s">
        <v>23</v>
      </c>
    </row>
    <row r="85" customFormat="false" ht="15" hidden="false" customHeight="false" outlineLevel="0" collapsed="false">
      <c r="A85" s="3" t="s">
        <v>364</v>
      </c>
      <c r="B85" s="3" t="s">
        <v>330</v>
      </c>
      <c r="C85" s="3" t="s">
        <v>331</v>
      </c>
      <c r="D85" s="3" t="s">
        <v>365</v>
      </c>
      <c r="E85" s="3" t="s">
        <v>366</v>
      </c>
      <c r="F85" s="3" t="s">
        <v>6</v>
      </c>
      <c r="G85" s="3" t="n">
        <v>15</v>
      </c>
      <c r="H85" s="3" t="n">
        <v>40</v>
      </c>
      <c r="I85" s="4" t="n">
        <v>650</v>
      </c>
      <c r="J85" s="4" t="n">
        <v>1000</v>
      </c>
      <c r="K85" s="4" t="n">
        <f aca="false">J85-I85</f>
        <v>350</v>
      </c>
      <c r="L85" s="5" t="n">
        <f aca="false">IF(J85&gt;0,(J85-I85)/J85,0)</f>
        <v>0.35</v>
      </c>
      <c r="M85" s="3" t="s">
        <v>367</v>
      </c>
      <c r="N85" s="3" t="s">
        <v>367</v>
      </c>
      <c r="O85" s="3" t="s">
        <v>23</v>
      </c>
    </row>
    <row r="86" customFormat="false" ht="15" hidden="false" customHeight="false" outlineLevel="0" collapsed="false">
      <c r="A86" s="6" t="s">
        <v>368</v>
      </c>
      <c r="B86" s="6" t="s">
        <v>330</v>
      </c>
      <c r="C86" s="6" t="s">
        <v>331</v>
      </c>
      <c r="D86" s="6" t="s">
        <v>369</v>
      </c>
      <c r="E86" s="6" t="s">
        <v>370</v>
      </c>
      <c r="F86" s="6" t="s">
        <v>6</v>
      </c>
      <c r="G86" s="6" t="n">
        <v>15</v>
      </c>
      <c r="H86" s="6" t="n">
        <v>40</v>
      </c>
      <c r="I86" s="7" t="n">
        <v>700</v>
      </c>
      <c r="J86" s="7" t="n">
        <v>1100</v>
      </c>
      <c r="K86" s="7" t="n">
        <f aca="false">J86-I86</f>
        <v>400</v>
      </c>
      <c r="L86" s="8" t="n">
        <f aca="false">IF(J86&gt;0,(J86-I86)/J86,0)</f>
        <v>0.363636363636364</v>
      </c>
      <c r="M86" s="6" t="s">
        <v>367</v>
      </c>
      <c r="N86" s="6" t="s">
        <v>367</v>
      </c>
      <c r="O86" s="6" t="s">
        <v>23</v>
      </c>
    </row>
    <row r="87" customFormat="false" ht="15" hidden="false" customHeight="false" outlineLevel="0" collapsed="false">
      <c r="A87" s="3" t="s">
        <v>371</v>
      </c>
      <c r="B87" s="3" t="s">
        <v>330</v>
      </c>
      <c r="C87" s="3" t="s">
        <v>372</v>
      </c>
      <c r="D87" s="3" t="s">
        <v>373</v>
      </c>
      <c r="E87" s="3" t="s">
        <v>374</v>
      </c>
      <c r="F87" s="3" t="s">
        <v>6</v>
      </c>
      <c r="G87" s="3" t="n">
        <v>10</v>
      </c>
      <c r="H87" s="3" t="n">
        <v>25</v>
      </c>
      <c r="I87" s="4" t="n">
        <v>1800</v>
      </c>
      <c r="J87" s="4" t="n">
        <v>2800</v>
      </c>
      <c r="K87" s="4" t="n">
        <f aca="false">J87-I87</f>
        <v>1000</v>
      </c>
      <c r="L87" s="5" t="n">
        <f aca="false">IF(J87&gt;0,(J87-I87)/J87,0)</f>
        <v>0.357142857142857</v>
      </c>
      <c r="M87" s="3" t="s">
        <v>334</v>
      </c>
      <c r="N87" s="3" t="s">
        <v>334</v>
      </c>
      <c r="O87" s="3" t="s">
        <v>23</v>
      </c>
    </row>
    <row r="88" customFormat="false" ht="15" hidden="false" customHeight="false" outlineLevel="0" collapsed="false">
      <c r="A88" s="6" t="s">
        <v>375</v>
      </c>
      <c r="B88" s="6" t="s">
        <v>330</v>
      </c>
      <c r="C88" s="6" t="s">
        <v>372</v>
      </c>
      <c r="D88" s="6" t="s">
        <v>376</v>
      </c>
      <c r="E88" s="6" t="s">
        <v>377</v>
      </c>
      <c r="F88" s="6" t="s">
        <v>6</v>
      </c>
      <c r="G88" s="6" t="n">
        <v>5</v>
      </c>
      <c r="H88" s="6" t="n">
        <v>15</v>
      </c>
      <c r="I88" s="7" t="n">
        <v>4500</v>
      </c>
      <c r="J88" s="7" t="n">
        <v>6800</v>
      </c>
      <c r="K88" s="7" t="n">
        <f aca="false">J88-I88</f>
        <v>2300</v>
      </c>
      <c r="L88" s="8" t="n">
        <f aca="false">IF(J88&gt;0,(J88-I88)/J88,0)</f>
        <v>0.338235294117647</v>
      </c>
      <c r="M88" s="6" t="s">
        <v>363</v>
      </c>
      <c r="N88" s="6" t="s">
        <v>363</v>
      </c>
      <c r="O88" s="6" t="s">
        <v>23</v>
      </c>
    </row>
    <row r="89" customFormat="false" ht="15" hidden="false" customHeight="false" outlineLevel="0" collapsed="false">
      <c r="A89" s="3" t="s">
        <v>378</v>
      </c>
      <c r="B89" s="3" t="s">
        <v>330</v>
      </c>
      <c r="C89" s="3" t="s">
        <v>372</v>
      </c>
      <c r="D89" s="3" t="s">
        <v>379</v>
      </c>
      <c r="E89" s="3" t="s">
        <v>380</v>
      </c>
      <c r="F89" s="3" t="s">
        <v>6</v>
      </c>
      <c r="G89" s="3" t="n">
        <v>8</v>
      </c>
      <c r="H89" s="3" t="n">
        <v>20</v>
      </c>
      <c r="I89" s="4" t="n">
        <v>2200</v>
      </c>
      <c r="J89" s="4" t="n">
        <v>3400</v>
      </c>
      <c r="K89" s="4" t="n">
        <f aca="false">J89-I89</f>
        <v>1200</v>
      </c>
      <c r="L89" s="5" t="n">
        <f aca="false">IF(J89&gt;0,(J89-I89)/J89,0)</f>
        <v>0.352941176470588</v>
      </c>
      <c r="M89" s="3" t="s">
        <v>342</v>
      </c>
      <c r="N89" s="3" t="s">
        <v>342</v>
      </c>
      <c r="O89" s="3" t="s">
        <v>23</v>
      </c>
    </row>
    <row r="90" customFormat="false" ht="15" hidden="false" customHeight="false" outlineLevel="0" collapsed="false">
      <c r="A90" s="6" t="s">
        <v>381</v>
      </c>
      <c r="B90" s="6" t="s">
        <v>330</v>
      </c>
      <c r="C90" s="6" t="s">
        <v>372</v>
      </c>
      <c r="D90" s="6" t="s">
        <v>382</v>
      </c>
      <c r="E90" s="6" t="s">
        <v>383</v>
      </c>
      <c r="F90" s="6" t="s">
        <v>6</v>
      </c>
      <c r="G90" s="6" t="n">
        <v>8</v>
      </c>
      <c r="H90" s="6" t="n">
        <v>20</v>
      </c>
      <c r="I90" s="7" t="n">
        <v>3200</v>
      </c>
      <c r="J90" s="7" t="n">
        <v>5000</v>
      </c>
      <c r="K90" s="7" t="n">
        <f aca="false">J90-I90</f>
        <v>1800</v>
      </c>
      <c r="L90" s="8" t="n">
        <f aca="false">IF(J90&gt;0,(J90-I90)/J90,0)</f>
        <v>0.36</v>
      </c>
      <c r="M90" s="6" t="s">
        <v>384</v>
      </c>
      <c r="N90" s="6" t="s">
        <v>384</v>
      </c>
      <c r="O90" s="6" t="s">
        <v>23</v>
      </c>
    </row>
    <row r="91" customFormat="false" ht="15" hidden="false" customHeight="false" outlineLevel="0" collapsed="false">
      <c r="A91" s="3" t="s">
        <v>385</v>
      </c>
      <c r="B91" s="3" t="s">
        <v>330</v>
      </c>
      <c r="C91" s="3" t="s">
        <v>372</v>
      </c>
      <c r="D91" s="3" t="s">
        <v>386</v>
      </c>
      <c r="E91" s="3" t="s">
        <v>387</v>
      </c>
      <c r="F91" s="3" t="s">
        <v>6</v>
      </c>
      <c r="G91" s="3" t="n">
        <v>8</v>
      </c>
      <c r="H91" s="3" t="n">
        <v>20</v>
      </c>
      <c r="I91" s="4" t="n">
        <v>2800</v>
      </c>
      <c r="J91" s="4" t="n">
        <v>4200</v>
      </c>
      <c r="K91" s="4" t="n">
        <f aca="false">J91-I91</f>
        <v>1400</v>
      </c>
      <c r="L91" s="5" t="n">
        <f aca="false">IF(J91&gt;0,(J91-I91)/J91,0)</f>
        <v>0.333333333333333</v>
      </c>
      <c r="M91" s="3" t="s">
        <v>388</v>
      </c>
      <c r="N91" s="3" t="s">
        <v>389</v>
      </c>
      <c r="O91" s="3" t="s">
        <v>23</v>
      </c>
    </row>
    <row r="92" customFormat="false" ht="15" hidden="false" customHeight="false" outlineLevel="0" collapsed="false">
      <c r="A92" s="6" t="s">
        <v>390</v>
      </c>
      <c r="B92" s="6" t="s">
        <v>330</v>
      </c>
      <c r="C92" s="6" t="s">
        <v>372</v>
      </c>
      <c r="D92" s="6" t="s">
        <v>391</v>
      </c>
      <c r="E92" s="6" t="s">
        <v>392</v>
      </c>
      <c r="F92" s="6" t="s">
        <v>6</v>
      </c>
      <c r="G92" s="6" t="n">
        <v>10</v>
      </c>
      <c r="H92" s="6" t="n">
        <v>25</v>
      </c>
      <c r="I92" s="7" t="n">
        <v>1500</v>
      </c>
      <c r="J92" s="7" t="n">
        <v>2300</v>
      </c>
      <c r="K92" s="7" t="n">
        <f aca="false">J92-I92</f>
        <v>800</v>
      </c>
      <c r="L92" s="8" t="n">
        <f aca="false">IF(J92&gt;0,(J92-I92)/J92,0)</f>
        <v>0.347826086956522</v>
      </c>
      <c r="M92" s="6" t="s">
        <v>393</v>
      </c>
      <c r="N92" s="6" t="s">
        <v>393</v>
      </c>
      <c r="O92" s="6" t="s">
        <v>23</v>
      </c>
    </row>
    <row r="93" customFormat="false" ht="15" hidden="false" customHeight="false" outlineLevel="0" collapsed="false">
      <c r="A93" s="3" t="s">
        <v>394</v>
      </c>
      <c r="B93" s="3" t="s">
        <v>330</v>
      </c>
      <c r="C93" s="3" t="s">
        <v>372</v>
      </c>
      <c r="D93" s="3" t="s">
        <v>395</v>
      </c>
      <c r="E93" s="3" t="s">
        <v>396</v>
      </c>
      <c r="F93" s="3" t="s">
        <v>6</v>
      </c>
      <c r="G93" s="3" t="n">
        <v>15</v>
      </c>
      <c r="H93" s="3" t="n">
        <v>40</v>
      </c>
      <c r="I93" s="4" t="n">
        <v>800</v>
      </c>
      <c r="J93" s="4" t="n">
        <v>1250</v>
      </c>
      <c r="K93" s="4" t="n">
        <f aca="false">J93-I93</f>
        <v>450</v>
      </c>
      <c r="L93" s="5" t="n">
        <f aca="false">IF(J93&gt;0,(J93-I93)/J93,0)</f>
        <v>0.36</v>
      </c>
      <c r="M93" s="3" t="s">
        <v>397</v>
      </c>
      <c r="N93" s="3" t="s">
        <v>397</v>
      </c>
      <c r="O93" s="3" t="s">
        <v>23</v>
      </c>
    </row>
    <row r="94" customFormat="false" ht="15" hidden="false" customHeight="false" outlineLevel="0" collapsed="false">
      <c r="A94" s="6" t="s">
        <v>398</v>
      </c>
      <c r="B94" s="6" t="s">
        <v>330</v>
      </c>
      <c r="C94" s="6" t="s">
        <v>372</v>
      </c>
      <c r="D94" s="6" t="s">
        <v>399</v>
      </c>
      <c r="E94" s="6" t="s">
        <v>400</v>
      </c>
      <c r="F94" s="6" t="s">
        <v>6</v>
      </c>
      <c r="G94" s="6" t="n">
        <v>10</v>
      </c>
      <c r="H94" s="6" t="n">
        <v>25</v>
      </c>
      <c r="I94" s="7" t="n">
        <v>1500</v>
      </c>
      <c r="J94" s="7" t="n">
        <v>2400</v>
      </c>
      <c r="K94" s="7" t="n">
        <f aca="false">J94-I94</f>
        <v>900</v>
      </c>
      <c r="L94" s="8" t="n">
        <f aca="false">IF(J94&gt;0,(J94-I94)/J94,0)</f>
        <v>0.375</v>
      </c>
      <c r="M94" s="6" t="s">
        <v>351</v>
      </c>
      <c r="N94" s="6" t="s">
        <v>352</v>
      </c>
      <c r="O94" s="6" t="s">
        <v>23</v>
      </c>
    </row>
    <row r="95" customFormat="false" ht="15" hidden="false" customHeight="false" outlineLevel="0" collapsed="false">
      <c r="A95" s="3" t="s">
        <v>401</v>
      </c>
      <c r="B95" s="3" t="s">
        <v>330</v>
      </c>
      <c r="C95" s="3" t="s">
        <v>372</v>
      </c>
      <c r="D95" s="3" t="s">
        <v>402</v>
      </c>
      <c r="E95" s="3" t="s">
        <v>403</v>
      </c>
      <c r="F95" s="3" t="s">
        <v>6</v>
      </c>
      <c r="G95" s="3" t="n">
        <v>8</v>
      </c>
      <c r="H95" s="3" t="n">
        <v>20</v>
      </c>
      <c r="I95" s="4" t="n">
        <v>1800</v>
      </c>
      <c r="J95" s="4" t="n">
        <v>2700</v>
      </c>
      <c r="K95" s="4" t="n">
        <f aca="false">J95-I95</f>
        <v>900</v>
      </c>
      <c r="L95" s="5" t="n">
        <f aca="false">IF(J95&gt;0,(J95-I95)/J95,0)</f>
        <v>0.333333333333333</v>
      </c>
      <c r="M95" s="3" t="s">
        <v>404</v>
      </c>
      <c r="N95" s="3" t="s">
        <v>404</v>
      </c>
      <c r="O95" s="3" t="s">
        <v>23</v>
      </c>
    </row>
    <row r="96" customFormat="false" ht="15" hidden="false" customHeight="false" outlineLevel="0" collapsed="false">
      <c r="A96" s="6" t="s">
        <v>405</v>
      </c>
      <c r="B96" s="6" t="s">
        <v>330</v>
      </c>
      <c r="C96" s="6" t="s">
        <v>372</v>
      </c>
      <c r="D96" s="6" t="s">
        <v>406</v>
      </c>
      <c r="E96" s="6" t="s">
        <v>407</v>
      </c>
      <c r="F96" s="6" t="s">
        <v>6</v>
      </c>
      <c r="G96" s="6" t="n">
        <v>20</v>
      </c>
      <c r="H96" s="6" t="n">
        <v>60</v>
      </c>
      <c r="I96" s="7" t="n">
        <v>500</v>
      </c>
      <c r="J96" s="7" t="n">
        <v>800</v>
      </c>
      <c r="K96" s="7" t="n">
        <f aca="false">J96-I96</f>
        <v>300</v>
      </c>
      <c r="L96" s="8" t="n">
        <f aca="false">IF(J96&gt;0,(J96-I96)/J96,0)</f>
        <v>0.375</v>
      </c>
      <c r="M96" s="6" t="s">
        <v>334</v>
      </c>
      <c r="N96" s="6" t="s">
        <v>334</v>
      </c>
      <c r="O96" s="6" t="s">
        <v>23</v>
      </c>
    </row>
    <row r="97" customFormat="false" ht="15" hidden="false" customHeight="false" outlineLevel="0" collapsed="false">
      <c r="A97" s="3" t="s">
        <v>408</v>
      </c>
      <c r="B97" s="3" t="s">
        <v>330</v>
      </c>
      <c r="C97" s="3" t="s">
        <v>409</v>
      </c>
      <c r="D97" s="3" t="s">
        <v>410</v>
      </c>
      <c r="E97" s="3" t="s">
        <v>411</v>
      </c>
      <c r="F97" s="3" t="s">
        <v>6</v>
      </c>
      <c r="G97" s="3" t="n">
        <v>5</v>
      </c>
      <c r="H97" s="3" t="n">
        <v>15</v>
      </c>
      <c r="I97" s="4" t="n">
        <v>3500</v>
      </c>
      <c r="J97" s="4" t="n">
        <v>5200</v>
      </c>
      <c r="K97" s="4" t="n">
        <f aca="false">J97-I97</f>
        <v>1700</v>
      </c>
      <c r="L97" s="5" t="n">
        <f aca="false">IF(J97&gt;0,(J97-I97)/J97,0)</f>
        <v>0.326923076923077</v>
      </c>
      <c r="M97" s="3" t="s">
        <v>412</v>
      </c>
      <c r="N97" s="3" t="s">
        <v>413</v>
      </c>
      <c r="O97" s="3" t="s">
        <v>23</v>
      </c>
    </row>
    <row r="98" customFormat="false" ht="15" hidden="false" customHeight="false" outlineLevel="0" collapsed="false">
      <c r="A98" s="6" t="s">
        <v>414</v>
      </c>
      <c r="B98" s="6" t="s">
        <v>330</v>
      </c>
      <c r="C98" s="6" t="s">
        <v>409</v>
      </c>
      <c r="D98" s="6" t="s">
        <v>415</v>
      </c>
      <c r="E98" s="6" t="s">
        <v>416</v>
      </c>
      <c r="F98" s="6" t="s">
        <v>6</v>
      </c>
      <c r="G98" s="6" t="n">
        <v>5</v>
      </c>
      <c r="H98" s="6" t="n">
        <v>15</v>
      </c>
      <c r="I98" s="7" t="n">
        <v>2800</v>
      </c>
      <c r="J98" s="7" t="n">
        <v>4200</v>
      </c>
      <c r="K98" s="7" t="n">
        <f aca="false">J98-I98</f>
        <v>1400</v>
      </c>
      <c r="L98" s="8" t="n">
        <f aca="false">IF(J98&gt;0,(J98-I98)/J98,0)</f>
        <v>0.333333333333333</v>
      </c>
      <c r="M98" s="6" t="s">
        <v>412</v>
      </c>
      <c r="N98" s="6" t="s">
        <v>413</v>
      </c>
      <c r="O98" s="6" t="s">
        <v>23</v>
      </c>
    </row>
    <row r="99" customFormat="false" ht="15" hidden="false" customHeight="false" outlineLevel="0" collapsed="false">
      <c r="A99" s="3" t="s">
        <v>417</v>
      </c>
      <c r="B99" s="3" t="s">
        <v>330</v>
      </c>
      <c r="C99" s="3" t="s">
        <v>409</v>
      </c>
      <c r="D99" s="3" t="s">
        <v>418</v>
      </c>
      <c r="E99" s="3" t="s">
        <v>419</v>
      </c>
      <c r="F99" s="3" t="s">
        <v>6</v>
      </c>
      <c r="G99" s="3" t="n">
        <v>10</v>
      </c>
      <c r="H99" s="3" t="n">
        <v>20</v>
      </c>
      <c r="I99" s="4" t="n">
        <v>1200</v>
      </c>
      <c r="J99" s="4" t="n">
        <v>1900</v>
      </c>
      <c r="K99" s="4" t="n">
        <f aca="false">J99-I99</f>
        <v>700</v>
      </c>
      <c r="L99" s="5" t="n">
        <f aca="false">IF(J99&gt;0,(J99-I99)/J99,0)</f>
        <v>0.368421052631579</v>
      </c>
      <c r="M99" s="3" t="s">
        <v>420</v>
      </c>
      <c r="N99" s="3" t="s">
        <v>420</v>
      </c>
      <c r="O99" s="3" t="s">
        <v>23</v>
      </c>
    </row>
    <row r="100" customFormat="false" ht="15" hidden="false" customHeight="false" outlineLevel="0" collapsed="false">
      <c r="A100" s="6" t="s">
        <v>421</v>
      </c>
      <c r="B100" s="6" t="s">
        <v>330</v>
      </c>
      <c r="C100" s="6" t="s">
        <v>409</v>
      </c>
      <c r="D100" s="6" t="s">
        <v>422</v>
      </c>
      <c r="E100" s="6" t="s">
        <v>423</v>
      </c>
      <c r="F100" s="6" t="s">
        <v>6</v>
      </c>
      <c r="G100" s="6" t="n">
        <v>8</v>
      </c>
      <c r="H100" s="6" t="n">
        <v>20</v>
      </c>
      <c r="I100" s="7" t="n">
        <v>1500</v>
      </c>
      <c r="J100" s="7" t="n">
        <v>2300</v>
      </c>
      <c r="K100" s="7" t="n">
        <f aca="false">J100-I100</f>
        <v>800</v>
      </c>
      <c r="L100" s="8" t="n">
        <f aca="false">IF(J100&gt;0,(J100-I100)/J100,0)</f>
        <v>0.347826086956522</v>
      </c>
      <c r="M100" s="6" t="s">
        <v>420</v>
      </c>
      <c r="N100" s="6" t="s">
        <v>420</v>
      </c>
      <c r="O100" s="6" t="s">
        <v>23</v>
      </c>
    </row>
    <row r="101" customFormat="false" ht="15" hidden="false" customHeight="false" outlineLevel="0" collapsed="false">
      <c r="A101" s="3" t="s">
        <v>424</v>
      </c>
      <c r="B101" s="3" t="s">
        <v>330</v>
      </c>
      <c r="C101" s="3" t="s">
        <v>409</v>
      </c>
      <c r="D101" s="3" t="s">
        <v>425</v>
      </c>
      <c r="E101" s="3" t="s">
        <v>426</v>
      </c>
      <c r="F101" s="3" t="s">
        <v>6</v>
      </c>
      <c r="G101" s="3" t="n">
        <v>5</v>
      </c>
      <c r="H101" s="3" t="n">
        <v>10</v>
      </c>
      <c r="I101" s="4" t="n">
        <v>3800</v>
      </c>
      <c r="J101" s="4" t="n">
        <v>6000</v>
      </c>
      <c r="K101" s="4" t="n">
        <f aca="false">J101-I101</f>
        <v>2200</v>
      </c>
      <c r="L101" s="5" t="n">
        <f aca="false">IF(J101&gt;0,(J101-I101)/J101,0)</f>
        <v>0.366666666666667</v>
      </c>
      <c r="M101" s="3" t="s">
        <v>427</v>
      </c>
      <c r="N101" s="3" t="s">
        <v>428</v>
      </c>
      <c r="O101" s="3" t="s">
        <v>23</v>
      </c>
    </row>
    <row r="102" customFormat="false" ht="15" hidden="false" customHeight="false" outlineLevel="0" collapsed="false">
      <c r="A102" s="6" t="s">
        <v>429</v>
      </c>
      <c r="B102" s="6" t="s">
        <v>330</v>
      </c>
      <c r="C102" s="6" t="s">
        <v>409</v>
      </c>
      <c r="D102" s="6" t="s">
        <v>430</v>
      </c>
      <c r="E102" s="6" t="s">
        <v>431</v>
      </c>
      <c r="F102" s="6" t="s">
        <v>6</v>
      </c>
      <c r="G102" s="6" t="n">
        <v>5</v>
      </c>
      <c r="H102" s="6" t="n">
        <v>15</v>
      </c>
      <c r="I102" s="7" t="n">
        <v>2200</v>
      </c>
      <c r="J102" s="7" t="n">
        <v>3400</v>
      </c>
      <c r="K102" s="7" t="n">
        <f aca="false">J102-I102</f>
        <v>1200</v>
      </c>
      <c r="L102" s="8" t="n">
        <f aca="false">IF(J102&gt;0,(J102-I102)/J102,0)</f>
        <v>0.352941176470588</v>
      </c>
      <c r="M102" s="6" t="s">
        <v>432</v>
      </c>
      <c r="N102" s="6" t="s">
        <v>432</v>
      </c>
      <c r="O102" s="6" t="s">
        <v>23</v>
      </c>
    </row>
    <row r="103" customFormat="false" ht="15" hidden="false" customHeight="false" outlineLevel="0" collapsed="false">
      <c r="A103" s="3" t="s">
        <v>433</v>
      </c>
      <c r="B103" s="3" t="s">
        <v>330</v>
      </c>
      <c r="C103" s="3" t="s">
        <v>409</v>
      </c>
      <c r="D103" s="3" t="s">
        <v>434</v>
      </c>
      <c r="E103" s="3" t="s">
        <v>435</v>
      </c>
      <c r="F103" s="3" t="s">
        <v>6</v>
      </c>
      <c r="G103" s="3" t="n">
        <v>8</v>
      </c>
      <c r="H103" s="3" t="n">
        <v>20</v>
      </c>
      <c r="I103" s="4" t="n">
        <v>1800</v>
      </c>
      <c r="J103" s="4" t="n">
        <v>2800</v>
      </c>
      <c r="K103" s="4" t="n">
        <f aca="false">J103-I103</f>
        <v>1000</v>
      </c>
      <c r="L103" s="5" t="n">
        <f aca="false">IF(J103&gt;0,(J103-I103)/J103,0)</f>
        <v>0.357142857142857</v>
      </c>
      <c r="M103" s="3" t="s">
        <v>436</v>
      </c>
      <c r="N103" s="3" t="s">
        <v>437</v>
      </c>
      <c r="O103" s="3" t="s">
        <v>23</v>
      </c>
    </row>
    <row r="104" customFormat="false" ht="15" hidden="false" customHeight="false" outlineLevel="0" collapsed="false">
      <c r="A104" s="6" t="s">
        <v>438</v>
      </c>
      <c r="B104" s="6" t="s">
        <v>330</v>
      </c>
      <c r="C104" s="6" t="s">
        <v>409</v>
      </c>
      <c r="D104" s="6" t="s">
        <v>439</v>
      </c>
      <c r="E104" s="6" t="s">
        <v>440</v>
      </c>
      <c r="F104" s="6" t="s">
        <v>6</v>
      </c>
      <c r="G104" s="6" t="n">
        <v>5</v>
      </c>
      <c r="H104" s="6" t="n">
        <v>10</v>
      </c>
      <c r="I104" s="7" t="n">
        <v>4200</v>
      </c>
      <c r="J104" s="7" t="n">
        <v>6500</v>
      </c>
      <c r="K104" s="7" t="n">
        <f aca="false">J104-I104</f>
        <v>2300</v>
      </c>
      <c r="L104" s="8" t="n">
        <f aca="false">IF(J104&gt;0,(J104-I104)/J104,0)</f>
        <v>0.353846153846154</v>
      </c>
      <c r="M104" s="6" t="s">
        <v>441</v>
      </c>
      <c r="N104" s="6" t="s">
        <v>441</v>
      </c>
      <c r="O104" s="6" t="s">
        <v>23</v>
      </c>
    </row>
    <row r="105" customFormat="false" ht="15" hidden="false" customHeight="false" outlineLevel="0" collapsed="false">
      <c r="A105" s="3" t="s">
        <v>442</v>
      </c>
      <c r="B105" s="3" t="s">
        <v>330</v>
      </c>
      <c r="C105" s="3" t="s">
        <v>443</v>
      </c>
      <c r="D105" s="3" t="s">
        <v>444</v>
      </c>
      <c r="E105" s="3" t="s">
        <v>445</v>
      </c>
      <c r="F105" s="3" t="s">
        <v>6</v>
      </c>
      <c r="G105" s="3" t="n">
        <v>20</v>
      </c>
      <c r="H105" s="3" t="n">
        <v>100</v>
      </c>
      <c r="I105" s="4" t="n">
        <v>250</v>
      </c>
      <c r="J105" s="4" t="n">
        <v>380</v>
      </c>
      <c r="K105" s="4" t="n">
        <f aca="false">J105-I105</f>
        <v>130</v>
      </c>
      <c r="L105" s="5" t="n">
        <f aca="false">IF(J105&gt;0,(J105-I105)/J105,0)</f>
        <v>0.342105263157895</v>
      </c>
      <c r="M105" s="3" t="s">
        <v>334</v>
      </c>
      <c r="N105" s="3" t="s">
        <v>334</v>
      </c>
      <c r="O105" s="3" t="s">
        <v>23</v>
      </c>
    </row>
    <row r="106" customFormat="false" ht="15" hidden="false" customHeight="false" outlineLevel="0" collapsed="false">
      <c r="A106" s="6" t="s">
        <v>446</v>
      </c>
      <c r="B106" s="6" t="s">
        <v>330</v>
      </c>
      <c r="C106" s="6" t="s">
        <v>443</v>
      </c>
      <c r="D106" s="6" t="s">
        <v>447</v>
      </c>
      <c r="E106" s="6" t="s">
        <v>448</v>
      </c>
      <c r="F106" s="6" t="s">
        <v>6</v>
      </c>
      <c r="G106" s="6" t="n">
        <v>20</v>
      </c>
      <c r="H106" s="6" t="n">
        <v>100</v>
      </c>
      <c r="I106" s="7" t="n">
        <v>350</v>
      </c>
      <c r="J106" s="7" t="n">
        <v>520</v>
      </c>
      <c r="K106" s="7" t="n">
        <f aca="false">J106-I106</f>
        <v>170</v>
      </c>
      <c r="L106" s="8" t="n">
        <f aca="false">IF(J106&gt;0,(J106-I106)/J106,0)</f>
        <v>0.326923076923077</v>
      </c>
      <c r="M106" s="6" t="s">
        <v>389</v>
      </c>
      <c r="N106" s="6" t="s">
        <v>389</v>
      </c>
      <c r="O106" s="6" t="s">
        <v>23</v>
      </c>
    </row>
    <row r="107" customFormat="false" ht="15" hidden="false" customHeight="false" outlineLevel="0" collapsed="false">
      <c r="A107" s="3" t="s">
        <v>449</v>
      </c>
      <c r="B107" s="3" t="s">
        <v>330</v>
      </c>
      <c r="C107" s="3" t="s">
        <v>443</v>
      </c>
      <c r="D107" s="3" t="s">
        <v>450</v>
      </c>
      <c r="E107" s="3" t="s">
        <v>451</v>
      </c>
      <c r="F107" s="3" t="s">
        <v>6</v>
      </c>
      <c r="G107" s="3" t="n">
        <v>20</v>
      </c>
      <c r="H107" s="3" t="n">
        <v>100</v>
      </c>
      <c r="I107" s="4" t="n">
        <v>200</v>
      </c>
      <c r="J107" s="4" t="n">
        <v>310</v>
      </c>
      <c r="K107" s="4" t="n">
        <f aca="false">J107-I107</f>
        <v>110</v>
      </c>
      <c r="L107" s="5" t="n">
        <f aca="false">IF(J107&gt;0,(J107-I107)/J107,0)</f>
        <v>0.354838709677419</v>
      </c>
      <c r="M107" s="3" t="s">
        <v>404</v>
      </c>
      <c r="N107" s="3" t="s">
        <v>404</v>
      </c>
      <c r="O107" s="3" t="s">
        <v>23</v>
      </c>
    </row>
    <row r="108" customFormat="false" ht="15" hidden="false" customHeight="false" outlineLevel="0" collapsed="false">
      <c r="A108" s="6" t="s">
        <v>452</v>
      </c>
      <c r="B108" s="6" t="s">
        <v>330</v>
      </c>
      <c r="C108" s="6" t="s">
        <v>443</v>
      </c>
      <c r="D108" s="6" t="s">
        <v>453</v>
      </c>
      <c r="E108" s="6" t="s">
        <v>454</v>
      </c>
      <c r="F108" s="6" t="s">
        <v>6</v>
      </c>
      <c r="G108" s="6" t="n">
        <v>10</v>
      </c>
      <c r="H108" s="6" t="n">
        <v>40</v>
      </c>
      <c r="I108" s="7" t="n">
        <v>700</v>
      </c>
      <c r="J108" s="7" t="n">
        <v>1050</v>
      </c>
      <c r="K108" s="7" t="n">
        <f aca="false">J108-I108</f>
        <v>350</v>
      </c>
      <c r="L108" s="8" t="n">
        <f aca="false">IF(J108&gt;0,(J108-I108)/J108,0)</f>
        <v>0.333333333333333</v>
      </c>
      <c r="M108" s="6" t="s">
        <v>342</v>
      </c>
      <c r="N108" s="6" t="s">
        <v>342</v>
      </c>
      <c r="O108" s="6" t="s">
        <v>23</v>
      </c>
    </row>
    <row r="109" customFormat="false" ht="15" hidden="false" customHeight="false" outlineLevel="0" collapsed="false">
      <c r="A109" s="3" t="s">
        <v>455</v>
      </c>
      <c r="B109" s="3" t="s">
        <v>330</v>
      </c>
      <c r="C109" s="3" t="s">
        <v>443</v>
      </c>
      <c r="D109" s="3" t="s">
        <v>456</v>
      </c>
      <c r="E109" s="3" t="s">
        <v>457</v>
      </c>
      <c r="F109" s="3" t="s">
        <v>6</v>
      </c>
      <c r="G109" s="3" t="n">
        <v>5</v>
      </c>
      <c r="H109" s="3" t="n">
        <v>15</v>
      </c>
      <c r="I109" s="4" t="n">
        <v>1200</v>
      </c>
      <c r="J109" s="4" t="n">
        <v>1900</v>
      </c>
      <c r="K109" s="4" t="n">
        <f aca="false">J109-I109</f>
        <v>700</v>
      </c>
      <c r="L109" s="5" t="n">
        <f aca="false">IF(J109&gt;0,(J109-I109)/J109,0)</f>
        <v>0.368421052631579</v>
      </c>
      <c r="M109" s="3" t="s">
        <v>458</v>
      </c>
      <c r="N109" s="3" t="s">
        <v>458</v>
      </c>
      <c r="O109" s="3" t="s">
        <v>23</v>
      </c>
    </row>
    <row r="110" customFormat="false" ht="15" hidden="false" customHeight="false" outlineLevel="0" collapsed="false">
      <c r="A110" s="6" t="s">
        <v>459</v>
      </c>
      <c r="B110" s="6" t="s">
        <v>330</v>
      </c>
      <c r="C110" s="6" t="s">
        <v>443</v>
      </c>
      <c r="D110" s="6" t="s">
        <v>460</v>
      </c>
      <c r="E110" s="6" t="s">
        <v>461</v>
      </c>
      <c r="F110" s="6" t="s">
        <v>6</v>
      </c>
      <c r="G110" s="6" t="n">
        <v>10</v>
      </c>
      <c r="H110" s="6" t="n">
        <v>30</v>
      </c>
      <c r="I110" s="7" t="n">
        <v>600</v>
      </c>
      <c r="J110" s="7" t="n">
        <v>950</v>
      </c>
      <c r="K110" s="7" t="n">
        <f aca="false">J110-I110</f>
        <v>350</v>
      </c>
      <c r="L110" s="8" t="n">
        <f aca="false">IF(J110&gt;0,(J110-I110)/J110,0)</f>
        <v>0.368421052631579</v>
      </c>
      <c r="M110" s="6" t="s">
        <v>412</v>
      </c>
      <c r="N110" s="6" t="s">
        <v>413</v>
      </c>
      <c r="O110" s="6" t="s">
        <v>23</v>
      </c>
    </row>
    <row r="111" customFormat="false" ht="15" hidden="false" customHeight="false" outlineLevel="0" collapsed="false">
      <c r="A111" s="3" t="s">
        <v>462</v>
      </c>
      <c r="B111" s="3" t="s">
        <v>330</v>
      </c>
      <c r="C111" s="3" t="s">
        <v>443</v>
      </c>
      <c r="D111" s="3" t="s">
        <v>463</v>
      </c>
      <c r="E111" s="3" t="s">
        <v>464</v>
      </c>
      <c r="F111" s="3" t="s">
        <v>6</v>
      </c>
      <c r="G111" s="3" t="n">
        <v>20</v>
      </c>
      <c r="H111" s="3" t="n">
        <v>60</v>
      </c>
      <c r="I111" s="4" t="n">
        <v>400</v>
      </c>
      <c r="J111" s="4" t="n">
        <v>650</v>
      </c>
      <c r="K111" s="4" t="n">
        <f aca="false">J111-I111</f>
        <v>250</v>
      </c>
      <c r="L111" s="5" t="n">
        <f aca="false">IF(J111&gt;0,(J111-I111)/J111,0)</f>
        <v>0.384615384615385</v>
      </c>
      <c r="M111" s="3" t="s">
        <v>311</v>
      </c>
      <c r="N111" s="3" t="s">
        <v>311</v>
      </c>
      <c r="O111" s="3" t="s">
        <v>23</v>
      </c>
    </row>
    <row r="112" customFormat="false" ht="15" hidden="false" customHeight="false" outlineLevel="0" collapsed="false">
      <c r="A112" s="6" t="s">
        <v>465</v>
      </c>
      <c r="B112" s="6" t="s">
        <v>330</v>
      </c>
      <c r="C112" s="6" t="s">
        <v>443</v>
      </c>
      <c r="D112" s="6" t="s">
        <v>466</v>
      </c>
      <c r="E112" s="6" t="s">
        <v>467</v>
      </c>
      <c r="F112" s="6" t="s">
        <v>6</v>
      </c>
      <c r="G112" s="6" t="n">
        <v>10</v>
      </c>
      <c r="H112" s="6" t="n">
        <v>30</v>
      </c>
      <c r="I112" s="7" t="n">
        <v>550</v>
      </c>
      <c r="J112" s="7" t="n">
        <v>900</v>
      </c>
      <c r="K112" s="7" t="n">
        <f aca="false">J112-I112</f>
        <v>350</v>
      </c>
      <c r="L112" s="8" t="n">
        <f aca="false">IF(J112&gt;0,(J112-I112)/J112,0)</f>
        <v>0.388888888888889</v>
      </c>
      <c r="M112" s="6" t="s">
        <v>338</v>
      </c>
      <c r="N112" s="6" t="s">
        <v>338</v>
      </c>
      <c r="O112" s="6" t="s">
        <v>23</v>
      </c>
    </row>
    <row r="113" customFormat="false" ht="15" hidden="false" customHeight="false" outlineLevel="0" collapsed="false">
      <c r="A113" s="3" t="s">
        <v>468</v>
      </c>
      <c r="B113" s="3" t="s">
        <v>469</v>
      </c>
      <c r="C113" s="3" t="s">
        <v>470</v>
      </c>
      <c r="D113" s="3" t="s">
        <v>471</v>
      </c>
      <c r="E113" s="3" t="s">
        <v>472</v>
      </c>
      <c r="F113" s="3" t="s">
        <v>6</v>
      </c>
      <c r="G113" s="3" t="n">
        <v>50</v>
      </c>
      <c r="H113" s="3" t="n">
        <v>200</v>
      </c>
      <c r="I113" s="4" t="n">
        <v>850</v>
      </c>
      <c r="J113" s="4" t="n">
        <v>1050</v>
      </c>
      <c r="K113" s="4" t="n">
        <f aca="false">J113-I113</f>
        <v>200</v>
      </c>
      <c r="L113" s="5" t="n">
        <f aca="false">IF(J113&gt;0,(J113-I113)/J113,0)</f>
        <v>0.19047619047619</v>
      </c>
      <c r="M113" s="3" t="s">
        <v>473</v>
      </c>
      <c r="N113" s="3" t="s">
        <v>474</v>
      </c>
      <c r="O113" s="3" t="s">
        <v>23</v>
      </c>
    </row>
    <row r="114" customFormat="false" ht="15" hidden="false" customHeight="false" outlineLevel="0" collapsed="false">
      <c r="A114" s="6" t="s">
        <v>475</v>
      </c>
      <c r="B114" s="6" t="s">
        <v>469</v>
      </c>
      <c r="C114" s="6" t="s">
        <v>470</v>
      </c>
      <c r="D114" s="6" t="s">
        <v>476</v>
      </c>
      <c r="E114" s="6" t="s">
        <v>477</v>
      </c>
      <c r="F114" s="6" t="s">
        <v>6</v>
      </c>
      <c r="G114" s="6" t="n">
        <v>50</v>
      </c>
      <c r="H114" s="6" t="n">
        <v>200</v>
      </c>
      <c r="I114" s="7" t="n">
        <v>840</v>
      </c>
      <c r="J114" s="7" t="n">
        <v>1040</v>
      </c>
      <c r="K114" s="7" t="n">
        <f aca="false">J114-I114</f>
        <v>200</v>
      </c>
      <c r="L114" s="8" t="n">
        <f aca="false">IF(J114&gt;0,(J114-I114)/J114,0)</f>
        <v>0.192307692307692</v>
      </c>
      <c r="M114" s="6" t="s">
        <v>478</v>
      </c>
      <c r="N114" s="6" t="s">
        <v>479</v>
      </c>
      <c r="O114" s="6" t="s">
        <v>23</v>
      </c>
    </row>
    <row r="115" customFormat="false" ht="15" hidden="false" customHeight="false" outlineLevel="0" collapsed="false">
      <c r="A115" s="3" t="s">
        <v>480</v>
      </c>
      <c r="B115" s="3" t="s">
        <v>469</v>
      </c>
      <c r="C115" s="3" t="s">
        <v>470</v>
      </c>
      <c r="D115" s="3" t="s">
        <v>481</v>
      </c>
      <c r="E115" s="3" t="s">
        <v>482</v>
      </c>
      <c r="F115" s="3" t="s">
        <v>6</v>
      </c>
      <c r="G115" s="3" t="n">
        <v>50</v>
      </c>
      <c r="H115" s="3" t="n">
        <v>200</v>
      </c>
      <c r="I115" s="4" t="n">
        <v>845</v>
      </c>
      <c r="J115" s="4" t="n">
        <v>1045</v>
      </c>
      <c r="K115" s="4" t="n">
        <f aca="false">J115-I115</f>
        <v>200</v>
      </c>
      <c r="L115" s="5" t="n">
        <f aca="false">IF(J115&gt;0,(J115-I115)/J115,0)</f>
        <v>0.191387559808612</v>
      </c>
      <c r="M115" s="3" t="s">
        <v>483</v>
      </c>
      <c r="N115" s="3" t="s">
        <v>483</v>
      </c>
      <c r="O115" s="3" t="s">
        <v>23</v>
      </c>
    </row>
    <row r="116" customFormat="false" ht="15" hidden="false" customHeight="false" outlineLevel="0" collapsed="false">
      <c r="A116" s="6" t="s">
        <v>484</v>
      </c>
      <c r="B116" s="6" t="s">
        <v>469</v>
      </c>
      <c r="C116" s="6" t="s">
        <v>470</v>
      </c>
      <c r="D116" s="6" t="s">
        <v>485</v>
      </c>
      <c r="E116" s="6" t="s">
        <v>486</v>
      </c>
      <c r="F116" s="6" t="s">
        <v>6</v>
      </c>
      <c r="G116" s="6" t="n">
        <v>10</v>
      </c>
      <c r="H116" s="6" t="n">
        <v>50</v>
      </c>
      <c r="I116" s="7" t="n">
        <v>14000</v>
      </c>
      <c r="J116" s="7" t="n">
        <v>18000</v>
      </c>
      <c r="K116" s="7" t="n">
        <f aca="false">J116-I116</f>
        <v>4000</v>
      </c>
      <c r="L116" s="8" t="n">
        <f aca="false">IF(J116&gt;0,(J116-I116)/J116,0)</f>
        <v>0.222222222222222</v>
      </c>
      <c r="M116" s="6" t="s">
        <v>487</v>
      </c>
      <c r="N116" s="6" t="s">
        <v>488</v>
      </c>
      <c r="O116" s="6" t="s">
        <v>23</v>
      </c>
    </row>
    <row r="117" customFormat="false" ht="15" hidden="false" customHeight="false" outlineLevel="0" collapsed="false">
      <c r="A117" s="3" t="s">
        <v>489</v>
      </c>
      <c r="B117" s="3" t="s">
        <v>469</v>
      </c>
      <c r="C117" s="3" t="s">
        <v>470</v>
      </c>
      <c r="D117" s="3" t="s">
        <v>490</v>
      </c>
      <c r="E117" s="3" t="s">
        <v>491</v>
      </c>
      <c r="F117" s="3" t="s">
        <v>6</v>
      </c>
      <c r="G117" s="3" t="n">
        <v>20</v>
      </c>
      <c r="H117" s="3" t="n">
        <v>100</v>
      </c>
      <c r="I117" s="4" t="n">
        <v>55</v>
      </c>
      <c r="J117" s="4" t="n">
        <v>80</v>
      </c>
      <c r="K117" s="4" t="n">
        <f aca="false">J117-I117</f>
        <v>25</v>
      </c>
      <c r="L117" s="5" t="n">
        <f aca="false">IF(J117&gt;0,(J117-I117)/J117,0)</f>
        <v>0.3125</v>
      </c>
      <c r="M117" s="3" t="s">
        <v>492</v>
      </c>
      <c r="N117" s="3" t="s">
        <v>488</v>
      </c>
      <c r="O117" s="3" t="s">
        <v>23</v>
      </c>
    </row>
    <row r="118" customFormat="false" ht="15" hidden="false" customHeight="false" outlineLevel="0" collapsed="false">
      <c r="A118" s="6" t="s">
        <v>493</v>
      </c>
      <c r="B118" s="6" t="s">
        <v>469</v>
      </c>
      <c r="C118" s="6" t="s">
        <v>470</v>
      </c>
      <c r="D118" s="6" t="s">
        <v>494</v>
      </c>
      <c r="E118" s="6" t="s">
        <v>495</v>
      </c>
      <c r="F118" s="6" t="s">
        <v>6</v>
      </c>
      <c r="G118" s="6" t="n">
        <v>20</v>
      </c>
      <c r="H118" s="6" t="n">
        <v>100</v>
      </c>
      <c r="I118" s="7" t="n">
        <v>180</v>
      </c>
      <c r="J118" s="7" t="n">
        <v>250</v>
      </c>
      <c r="K118" s="7" t="n">
        <f aca="false">J118-I118</f>
        <v>70</v>
      </c>
      <c r="L118" s="8" t="n">
        <f aca="false">IF(J118&gt;0,(J118-I118)/J118,0)</f>
        <v>0.28</v>
      </c>
      <c r="M118" s="6" t="s">
        <v>496</v>
      </c>
      <c r="N118" s="6" t="s">
        <v>488</v>
      </c>
      <c r="O118" s="6" t="s">
        <v>23</v>
      </c>
    </row>
    <row r="119" customFormat="false" ht="15" hidden="false" customHeight="false" outlineLevel="0" collapsed="false">
      <c r="A119" s="3" t="s">
        <v>497</v>
      </c>
      <c r="B119" s="3" t="s">
        <v>469</v>
      </c>
      <c r="C119" s="3" t="s">
        <v>470</v>
      </c>
      <c r="D119" s="3" t="s">
        <v>498</v>
      </c>
      <c r="E119" s="3" t="s">
        <v>499</v>
      </c>
      <c r="F119" s="3" t="s">
        <v>6</v>
      </c>
      <c r="G119" s="3" t="n">
        <v>20</v>
      </c>
      <c r="H119" s="3" t="n">
        <v>100</v>
      </c>
      <c r="I119" s="4" t="n">
        <v>200</v>
      </c>
      <c r="J119" s="4" t="n">
        <v>280</v>
      </c>
      <c r="K119" s="4" t="n">
        <f aca="false">J119-I119</f>
        <v>80</v>
      </c>
      <c r="L119" s="5" t="n">
        <f aca="false">IF(J119&gt;0,(J119-I119)/J119,0)</f>
        <v>0.285714285714286</v>
      </c>
      <c r="M119" s="3" t="s">
        <v>496</v>
      </c>
      <c r="N119" s="3" t="s">
        <v>488</v>
      </c>
      <c r="O119" s="3" t="s">
        <v>23</v>
      </c>
    </row>
    <row r="120" customFormat="false" ht="15" hidden="false" customHeight="false" outlineLevel="0" collapsed="false">
      <c r="A120" s="6" t="s">
        <v>500</v>
      </c>
      <c r="B120" s="6" t="s">
        <v>469</v>
      </c>
      <c r="C120" s="6" t="s">
        <v>470</v>
      </c>
      <c r="D120" s="6" t="s">
        <v>501</v>
      </c>
      <c r="E120" s="6" t="s">
        <v>502</v>
      </c>
      <c r="F120" s="6" t="s">
        <v>6</v>
      </c>
      <c r="G120" s="6" t="n">
        <v>100</v>
      </c>
      <c r="H120" s="6" t="n">
        <v>500</v>
      </c>
      <c r="I120" s="7" t="n">
        <v>260</v>
      </c>
      <c r="J120" s="7" t="n">
        <v>320</v>
      </c>
      <c r="K120" s="7" t="n">
        <f aca="false">J120-I120</f>
        <v>60</v>
      </c>
      <c r="L120" s="8" t="n">
        <f aca="false">IF(J120&gt;0,(J120-I120)/J120,0)</f>
        <v>0.1875</v>
      </c>
      <c r="M120" s="6" t="s">
        <v>503</v>
      </c>
      <c r="N120" s="6" t="s">
        <v>504</v>
      </c>
      <c r="O120" s="6" t="s">
        <v>23</v>
      </c>
    </row>
    <row r="121" customFormat="false" ht="15" hidden="false" customHeight="false" outlineLevel="0" collapsed="false">
      <c r="A121" s="3" t="s">
        <v>505</v>
      </c>
      <c r="B121" s="3" t="s">
        <v>469</v>
      </c>
      <c r="C121" s="3" t="s">
        <v>506</v>
      </c>
      <c r="D121" s="3" t="s">
        <v>507</v>
      </c>
      <c r="E121" s="3" t="s">
        <v>508</v>
      </c>
      <c r="F121" s="3" t="s">
        <v>6</v>
      </c>
      <c r="G121" s="3" t="n">
        <v>5</v>
      </c>
      <c r="H121" s="3" t="n">
        <v>20</v>
      </c>
      <c r="I121" s="4" t="n">
        <v>3800</v>
      </c>
      <c r="J121" s="4" t="n">
        <v>5000</v>
      </c>
      <c r="K121" s="4" t="n">
        <f aca="false">J121-I121</f>
        <v>1200</v>
      </c>
      <c r="L121" s="5" t="n">
        <f aca="false">IF(J121&gt;0,(J121-I121)/J121,0)</f>
        <v>0.24</v>
      </c>
      <c r="M121" s="3" t="s">
        <v>509</v>
      </c>
      <c r="N121" s="3" t="s">
        <v>510</v>
      </c>
      <c r="O121" s="3" t="s">
        <v>23</v>
      </c>
    </row>
    <row r="122" customFormat="false" ht="15" hidden="false" customHeight="false" outlineLevel="0" collapsed="false">
      <c r="A122" s="6" t="s">
        <v>511</v>
      </c>
      <c r="B122" s="6" t="s">
        <v>469</v>
      </c>
      <c r="C122" s="6" t="s">
        <v>506</v>
      </c>
      <c r="D122" s="6" t="s">
        <v>512</v>
      </c>
      <c r="E122" s="6" t="s">
        <v>513</v>
      </c>
      <c r="F122" s="6" t="s">
        <v>6</v>
      </c>
      <c r="G122" s="6" t="n">
        <v>5</v>
      </c>
      <c r="H122" s="6" t="n">
        <v>20</v>
      </c>
      <c r="I122" s="7" t="n">
        <v>2800</v>
      </c>
      <c r="J122" s="7" t="n">
        <v>3800</v>
      </c>
      <c r="K122" s="7" t="n">
        <f aca="false">J122-I122</f>
        <v>1000</v>
      </c>
      <c r="L122" s="8" t="n">
        <f aca="false">IF(J122&gt;0,(J122-I122)/J122,0)</f>
        <v>0.263157894736842</v>
      </c>
      <c r="M122" s="6" t="s">
        <v>509</v>
      </c>
      <c r="N122" s="6" t="s">
        <v>510</v>
      </c>
      <c r="O122" s="6" t="s">
        <v>23</v>
      </c>
    </row>
    <row r="123" customFormat="false" ht="15" hidden="false" customHeight="false" outlineLevel="0" collapsed="false">
      <c r="A123" s="3" t="s">
        <v>514</v>
      </c>
      <c r="B123" s="3" t="s">
        <v>469</v>
      </c>
      <c r="C123" s="3" t="s">
        <v>506</v>
      </c>
      <c r="D123" s="3" t="s">
        <v>515</v>
      </c>
      <c r="E123" s="3" t="s">
        <v>516</v>
      </c>
      <c r="F123" s="3" t="s">
        <v>6</v>
      </c>
      <c r="G123" s="3" t="n">
        <v>5</v>
      </c>
      <c r="H123" s="3" t="n">
        <v>20</v>
      </c>
      <c r="I123" s="4" t="n">
        <v>3600</v>
      </c>
      <c r="J123" s="4" t="n">
        <v>4800</v>
      </c>
      <c r="K123" s="4" t="n">
        <f aca="false">J123-I123</f>
        <v>1200</v>
      </c>
      <c r="L123" s="5" t="n">
        <f aca="false">IF(J123&gt;0,(J123-I123)/J123,0)</f>
        <v>0.25</v>
      </c>
      <c r="M123" s="3" t="s">
        <v>517</v>
      </c>
      <c r="N123" s="3" t="s">
        <v>518</v>
      </c>
      <c r="O123" s="3" t="s">
        <v>23</v>
      </c>
    </row>
    <row r="124" customFormat="false" ht="15" hidden="false" customHeight="false" outlineLevel="0" collapsed="false">
      <c r="A124" s="6" t="s">
        <v>519</v>
      </c>
      <c r="B124" s="6" t="s">
        <v>469</v>
      </c>
      <c r="C124" s="6" t="s">
        <v>506</v>
      </c>
      <c r="D124" s="6" t="s">
        <v>520</v>
      </c>
      <c r="E124" s="6" t="s">
        <v>521</v>
      </c>
      <c r="F124" s="6" t="s">
        <v>6</v>
      </c>
      <c r="G124" s="6" t="n">
        <v>5</v>
      </c>
      <c r="H124" s="6" t="n">
        <v>20</v>
      </c>
      <c r="I124" s="7" t="n">
        <v>3200</v>
      </c>
      <c r="J124" s="7" t="n">
        <v>4400</v>
      </c>
      <c r="K124" s="7" t="n">
        <f aca="false">J124-I124</f>
        <v>1200</v>
      </c>
      <c r="L124" s="8" t="n">
        <f aca="false">IF(J124&gt;0,(J124-I124)/J124,0)</f>
        <v>0.272727272727273</v>
      </c>
      <c r="M124" s="6" t="s">
        <v>522</v>
      </c>
      <c r="N124" s="6" t="s">
        <v>523</v>
      </c>
      <c r="O124" s="6" t="s">
        <v>23</v>
      </c>
    </row>
    <row r="125" customFormat="false" ht="15" hidden="false" customHeight="false" outlineLevel="0" collapsed="false">
      <c r="A125" s="3" t="s">
        <v>524</v>
      </c>
      <c r="B125" s="3" t="s">
        <v>469</v>
      </c>
      <c r="C125" s="3" t="s">
        <v>506</v>
      </c>
      <c r="D125" s="3" t="s">
        <v>525</v>
      </c>
      <c r="E125" s="3" t="s">
        <v>526</v>
      </c>
      <c r="F125" s="3" t="s">
        <v>6</v>
      </c>
      <c r="G125" s="3" t="n">
        <v>10</v>
      </c>
      <c r="H125" s="3" t="n">
        <v>40</v>
      </c>
      <c r="I125" s="4" t="n">
        <v>1200</v>
      </c>
      <c r="J125" s="4" t="n">
        <v>1600</v>
      </c>
      <c r="K125" s="4" t="n">
        <f aca="false">J125-I125</f>
        <v>400</v>
      </c>
      <c r="L125" s="5" t="n">
        <f aca="false">IF(J125&gt;0,(J125-I125)/J125,0)</f>
        <v>0.25</v>
      </c>
      <c r="M125" s="3" t="s">
        <v>527</v>
      </c>
      <c r="N125" s="3" t="s">
        <v>528</v>
      </c>
      <c r="O125" s="3" t="s">
        <v>23</v>
      </c>
    </row>
    <row r="126" customFormat="false" ht="15" hidden="false" customHeight="false" outlineLevel="0" collapsed="false">
      <c r="A126" s="6" t="s">
        <v>529</v>
      </c>
      <c r="B126" s="6" t="s">
        <v>469</v>
      </c>
      <c r="C126" s="6" t="s">
        <v>506</v>
      </c>
      <c r="D126" s="6" t="s">
        <v>530</v>
      </c>
      <c r="E126" s="6" t="s">
        <v>531</v>
      </c>
      <c r="F126" s="6" t="s">
        <v>6</v>
      </c>
      <c r="G126" s="6" t="n">
        <v>8</v>
      </c>
      <c r="H126" s="6" t="n">
        <v>30</v>
      </c>
      <c r="I126" s="7" t="n">
        <v>1500</v>
      </c>
      <c r="J126" s="7" t="n">
        <v>2100</v>
      </c>
      <c r="K126" s="7" t="n">
        <f aca="false">J126-I126</f>
        <v>600</v>
      </c>
      <c r="L126" s="8" t="n">
        <f aca="false">IF(J126&gt;0,(J126-I126)/J126,0)</f>
        <v>0.285714285714286</v>
      </c>
      <c r="M126" s="6" t="s">
        <v>509</v>
      </c>
      <c r="N126" s="6" t="s">
        <v>532</v>
      </c>
      <c r="O126" s="6" t="s">
        <v>23</v>
      </c>
    </row>
    <row r="127" customFormat="false" ht="15" hidden="false" customHeight="false" outlineLevel="0" collapsed="false">
      <c r="A127" s="3" t="s">
        <v>533</v>
      </c>
      <c r="B127" s="3" t="s">
        <v>469</v>
      </c>
      <c r="C127" s="3" t="s">
        <v>506</v>
      </c>
      <c r="D127" s="3" t="s">
        <v>534</v>
      </c>
      <c r="E127" s="3" t="s">
        <v>535</v>
      </c>
      <c r="F127" s="3" t="s">
        <v>6</v>
      </c>
      <c r="G127" s="3" t="n">
        <v>10</v>
      </c>
      <c r="H127" s="3" t="n">
        <v>40</v>
      </c>
      <c r="I127" s="4" t="n">
        <v>750</v>
      </c>
      <c r="J127" s="4" t="n">
        <v>1050</v>
      </c>
      <c r="K127" s="4" t="n">
        <f aca="false">J127-I127</f>
        <v>300</v>
      </c>
      <c r="L127" s="5" t="n">
        <f aca="false">IF(J127&gt;0,(J127-I127)/J127,0)</f>
        <v>0.285714285714286</v>
      </c>
      <c r="M127" s="3" t="s">
        <v>517</v>
      </c>
      <c r="N127" s="3" t="s">
        <v>518</v>
      </c>
      <c r="O127" s="3" t="s">
        <v>23</v>
      </c>
    </row>
    <row r="128" customFormat="false" ht="15" hidden="false" customHeight="false" outlineLevel="0" collapsed="false">
      <c r="A128" s="6" t="s">
        <v>536</v>
      </c>
      <c r="B128" s="6" t="s">
        <v>469</v>
      </c>
      <c r="C128" s="6" t="s">
        <v>537</v>
      </c>
      <c r="D128" s="6" t="s">
        <v>538</v>
      </c>
      <c r="E128" s="6" t="s">
        <v>539</v>
      </c>
      <c r="F128" s="6" t="s">
        <v>6</v>
      </c>
      <c r="G128" s="6" t="n">
        <v>20</v>
      </c>
      <c r="H128" s="6" t="n">
        <v>100</v>
      </c>
      <c r="I128" s="7" t="n">
        <v>180</v>
      </c>
      <c r="J128" s="7" t="n">
        <v>250</v>
      </c>
      <c r="K128" s="7" t="n">
        <f aca="false">J128-I128</f>
        <v>70</v>
      </c>
      <c r="L128" s="8" t="n">
        <f aca="false">IF(J128&gt;0,(J128-I128)/J128,0)</f>
        <v>0.28</v>
      </c>
      <c r="M128" s="6" t="s">
        <v>540</v>
      </c>
      <c r="N128" s="6" t="s">
        <v>541</v>
      </c>
      <c r="O128" s="6" t="s">
        <v>23</v>
      </c>
    </row>
    <row r="129" customFormat="false" ht="15" hidden="false" customHeight="false" outlineLevel="0" collapsed="false">
      <c r="A129" s="3" t="s">
        <v>542</v>
      </c>
      <c r="B129" s="3" t="s">
        <v>469</v>
      </c>
      <c r="C129" s="3" t="s">
        <v>537</v>
      </c>
      <c r="D129" s="3" t="s">
        <v>543</v>
      </c>
      <c r="E129" s="3" t="s">
        <v>544</v>
      </c>
      <c r="F129" s="3" t="s">
        <v>6</v>
      </c>
      <c r="G129" s="3" t="n">
        <v>20</v>
      </c>
      <c r="H129" s="3" t="n">
        <v>100</v>
      </c>
      <c r="I129" s="4" t="n">
        <v>250</v>
      </c>
      <c r="J129" s="4" t="n">
        <v>340</v>
      </c>
      <c r="K129" s="4" t="n">
        <f aca="false">J129-I129</f>
        <v>90</v>
      </c>
      <c r="L129" s="5" t="n">
        <f aca="false">IF(J129&gt;0,(J129-I129)/J129,0)</f>
        <v>0.264705882352941</v>
      </c>
      <c r="M129" s="3" t="s">
        <v>540</v>
      </c>
      <c r="N129" s="3" t="s">
        <v>541</v>
      </c>
      <c r="O129" s="3" t="s">
        <v>23</v>
      </c>
    </row>
    <row r="130" customFormat="false" ht="15" hidden="false" customHeight="false" outlineLevel="0" collapsed="false">
      <c r="A130" s="6" t="s">
        <v>545</v>
      </c>
      <c r="B130" s="6" t="s">
        <v>469</v>
      </c>
      <c r="C130" s="6" t="s">
        <v>537</v>
      </c>
      <c r="D130" s="6" t="s">
        <v>546</v>
      </c>
      <c r="E130" s="6" t="s">
        <v>547</v>
      </c>
      <c r="F130" s="6" t="s">
        <v>6</v>
      </c>
      <c r="G130" s="6" t="n">
        <v>20</v>
      </c>
      <c r="H130" s="6" t="n">
        <v>80</v>
      </c>
      <c r="I130" s="7" t="n">
        <v>220</v>
      </c>
      <c r="J130" s="7" t="n">
        <v>320</v>
      </c>
      <c r="K130" s="7" t="n">
        <f aca="false">J130-I130</f>
        <v>100</v>
      </c>
      <c r="L130" s="8" t="n">
        <f aca="false">IF(J130&gt;0,(J130-I130)/J130,0)</f>
        <v>0.3125</v>
      </c>
      <c r="M130" s="6" t="s">
        <v>492</v>
      </c>
      <c r="N130" s="6" t="s">
        <v>488</v>
      </c>
      <c r="O130" s="6" t="s">
        <v>23</v>
      </c>
    </row>
    <row r="131" customFormat="false" ht="15" hidden="false" customHeight="false" outlineLevel="0" collapsed="false">
      <c r="A131" s="3" t="s">
        <v>548</v>
      </c>
      <c r="B131" s="3" t="s">
        <v>469</v>
      </c>
      <c r="C131" s="3" t="s">
        <v>537</v>
      </c>
      <c r="D131" s="3" t="s">
        <v>549</v>
      </c>
      <c r="E131" s="3" t="s">
        <v>550</v>
      </c>
      <c r="F131" s="3" t="s">
        <v>6</v>
      </c>
      <c r="G131" s="3" t="n">
        <v>3</v>
      </c>
      <c r="H131" s="3" t="n">
        <v>10</v>
      </c>
      <c r="I131" s="4" t="n">
        <v>12000</v>
      </c>
      <c r="J131" s="4" t="n">
        <v>16000</v>
      </c>
      <c r="K131" s="4" t="n">
        <f aca="false">J131-I131</f>
        <v>4000</v>
      </c>
      <c r="L131" s="5" t="n">
        <f aca="false">IF(J131&gt;0,(J131-I131)/J131,0)</f>
        <v>0.25</v>
      </c>
      <c r="M131" s="3" t="s">
        <v>551</v>
      </c>
      <c r="N131" s="3" t="s">
        <v>552</v>
      </c>
      <c r="O131" s="3" t="s">
        <v>23</v>
      </c>
    </row>
    <row r="132" customFormat="false" ht="15" hidden="false" customHeight="false" outlineLevel="0" collapsed="false">
      <c r="A132" s="6" t="s">
        <v>553</v>
      </c>
      <c r="B132" s="6" t="s">
        <v>469</v>
      </c>
      <c r="C132" s="6" t="s">
        <v>537</v>
      </c>
      <c r="D132" s="6" t="s">
        <v>554</v>
      </c>
      <c r="E132" s="6" t="s">
        <v>555</v>
      </c>
      <c r="F132" s="6" t="s">
        <v>6</v>
      </c>
      <c r="G132" s="6" t="n">
        <v>50</v>
      </c>
      <c r="H132" s="6" t="n">
        <v>200</v>
      </c>
      <c r="I132" s="7" t="n">
        <v>45</v>
      </c>
      <c r="J132" s="7" t="n">
        <v>65</v>
      </c>
      <c r="K132" s="7" t="n">
        <f aca="false">J132-I132</f>
        <v>20</v>
      </c>
      <c r="L132" s="8" t="n">
        <f aca="false">IF(J132&gt;0,(J132-I132)/J132,0)</f>
        <v>0.307692307692308</v>
      </c>
      <c r="M132" s="6" t="s">
        <v>556</v>
      </c>
      <c r="N132" s="6" t="s">
        <v>557</v>
      </c>
      <c r="O132" s="6" t="s">
        <v>23</v>
      </c>
    </row>
    <row r="133" customFormat="false" ht="15" hidden="false" customHeight="false" outlineLevel="0" collapsed="false">
      <c r="A133" s="3" t="s">
        <v>558</v>
      </c>
      <c r="B133" s="3" t="s">
        <v>469</v>
      </c>
      <c r="C133" s="3" t="s">
        <v>537</v>
      </c>
      <c r="D133" s="3" t="s">
        <v>559</v>
      </c>
      <c r="E133" s="3" t="s">
        <v>560</v>
      </c>
      <c r="F133" s="3" t="s">
        <v>6</v>
      </c>
      <c r="G133" s="3" t="n">
        <v>50</v>
      </c>
      <c r="H133" s="3" t="n">
        <v>200</v>
      </c>
      <c r="I133" s="4" t="n">
        <v>65</v>
      </c>
      <c r="J133" s="4" t="n">
        <v>95</v>
      </c>
      <c r="K133" s="4" t="n">
        <f aca="false">J133-I133</f>
        <v>30</v>
      </c>
      <c r="L133" s="5" t="n">
        <f aca="false">IF(J133&gt;0,(J133-I133)/J133,0)</f>
        <v>0.315789473684211</v>
      </c>
      <c r="M133" s="3" t="s">
        <v>556</v>
      </c>
      <c r="N133" s="3" t="s">
        <v>557</v>
      </c>
      <c r="O133" s="3" t="s">
        <v>23</v>
      </c>
    </row>
    <row r="134" customFormat="false" ht="15" hidden="false" customHeight="false" outlineLevel="0" collapsed="false">
      <c r="A134" s="6" t="s">
        <v>561</v>
      </c>
      <c r="B134" s="6" t="s">
        <v>469</v>
      </c>
      <c r="C134" s="6" t="s">
        <v>537</v>
      </c>
      <c r="D134" s="6" t="s">
        <v>562</v>
      </c>
      <c r="E134" s="6" t="s">
        <v>563</v>
      </c>
      <c r="F134" s="6" t="s">
        <v>6</v>
      </c>
      <c r="G134" s="6" t="n">
        <v>20</v>
      </c>
      <c r="H134" s="6" t="n">
        <v>80</v>
      </c>
      <c r="I134" s="7" t="n">
        <v>450</v>
      </c>
      <c r="J134" s="7" t="n">
        <v>650</v>
      </c>
      <c r="K134" s="7" t="n">
        <f aca="false">J134-I134</f>
        <v>200</v>
      </c>
      <c r="L134" s="8" t="n">
        <f aca="false">IF(J134&gt;0,(J134-I134)/J134,0)</f>
        <v>0.307692307692308</v>
      </c>
      <c r="M134" s="6" t="s">
        <v>551</v>
      </c>
      <c r="N134" s="6" t="s">
        <v>552</v>
      </c>
      <c r="O134" s="6" t="s">
        <v>23</v>
      </c>
    </row>
    <row r="135" customFormat="false" ht="15" hidden="false" customHeight="false" outlineLevel="0" collapsed="false">
      <c r="A135" s="3" t="s">
        <v>564</v>
      </c>
      <c r="B135" s="3" t="s">
        <v>469</v>
      </c>
      <c r="C135" s="3" t="s">
        <v>537</v>
      </c>
      <c r="D135" s="3" t="s">
        <v>565</v>
      </c>
      <c r="E135" s="3" t="s">
        <v>566</v>
      </c>
      <c r="F135" s="3" t="s">
        <v>6</v>
      </c>
      <c r="G135" s="3" t="n">
        <v>20</v>
      </c>
      <c r="H135" s="3" t="n">
        <v>100</v>
      </c>
      <c r="I135" s="4" t="n">
        <v>180</v>
      </c>
      <c r="J135" s="4" t="n">
        <v>280</v>
      </c>
      <c r="K135" s="4" t="n">
        <f aca="false">J135-I135</f>
        <v>100</v>
      </c>
      <c r="L135" s="5" t="n">
        <f aca="false">IF(J135&gt;0,(J135-I135)/J135,0)</f>
        <v>0.357142857142857</v>
      </c>
      <c r="M135" s="3" t="s">
        <v>567</v>
      </c>
      <c r="N135" s="3" t="s">
        <v>568</v>
      </c>
      <c r="O135" s="3" t="s">
        <v>23</v>
      </c>
    </row>
    <row r="136" customFormat="false" ht="15" hidden="false" customHeight="false" outlineLevel="0" collapsed="false">
      <c r="A136" s="6" t="s">
        <v>569</v>
      </c>
      <c r="B136" s="6" t="s">
        <v>469</v>
      </c>
      <c r="C136" s="6" t="s">
        <v>537</v>
      </c>
      <c r="D136" s="6" t="s">
        <v>570</v>
      </c>
      <c r="E136" s="6" t="s">
        <v>571</v>
      </c>
      <c r="F136" s="6" t="s">
        <v>6</v>
      </c>
      <c r="G136" s="6" t="n">
        <v>30</v>
      </c>
      <c r="H136" s="6" t="n">
        <v>150</v>
      </c>
      <c r="I136" s="7" t="n">
        <v>120</v>
      </c>
      <c r="J136" s="7" t="n">
        <v>190</v>
      </c>
      <c r="K136" s="7" t="n">
        <f aca="false">J136-I136</f>
        <v>70</v>
      </c>
      <c r="L136" s="8" t="n">
        <f aca="false">IF(J136&gt;0,(J136-I136)/J136,0)</f>
        <v>0.368421052631579</v>
      </c>
      <c r="M136" s="6" t="s">
        <v>567</v>
      </c>
      <c r="N136" s="6" t="s">
        <v>568</v>
      </c>
      <c r="O136" s="6" t="s">
        <v>23</v>
      </c>
    </row>
    <row r="137" customFormat="false" ht="15" hidden="false" customHeight="false" outlineLevel="0" collapsed="false">
      <c r="A137" s="3" t="s">
        <v>572</v>
      </c>
      <c r="B137" s="3" t="s">
        <v>469</v>
      </c>
      <c r="C137" s="3" t="s">
        <v>537</v>
      </c>
      <c r="D137" s="3" t="s">
        <v>573</v>
      </c>
      <c r="E137" s="3" t="s">
        <v>574</v>
      </c>
      <c r="F137" s="3" t="s">
        <v>6</v>
      </c>
      <c r="G137" s="3" t="n">
        <v>5</v>
      </c>
      <c r="H137" s="3" t="n">
        <v>20</v>
      </c>
      <c r="I137" s="4" t="n">
        <v>3200</v>
      </c>
      <c r="J137" s="4" t="n">
        <v>4500</v>
      </c>
      <c r="K137" s="4" t="n">
        <f aca="false">J137-I137</f>
        <v>1300</v>
      </c>
      <c r="L137" s="5" t="n">
        <f aca="false">IF(J137&gt;0,(J137-I137)/J137,0)</f>
        <v>0.288888888888889</v>
      </c>
      <c r="M137" s="3" t="s">
        <v>575</v>
      </c>
      <c r="N137" s="3" t="s">
        <v>576</v>
      </c>
      <c r="O137" s="3" t="s">
        <v>23</v>
      </c>
    </row>
    <row r="138" customFormat="false" ht="15" hidden="false" customHeight="false" outlineLevel="0" collapsed="false">
      <c r="A138" s="6" t="s">
        <v>577</v>
      </c>
      <c r="B138" s="6" t="s">
        <v>469</v>
      </c>
      <c r="C138" s="6" t="s">
        <v>578</v>
      </c>
      <c r="D138" s="6" t="s">
        <v>579</v>
      </c>
      <c r="E138" s="6" t="s">
        <v>580</v>
      </c>
      <c r="F138" s="6" t="s">
        <v>6</v>
      </c>
      <c r="G138" s="6" t="n">
        <v>5</v>
      </c>
      <c r="H138" s="6" t="n">
        <v>20</v>
      </c>
      <c r="I138" s="7" t="n">
        <v>850</v>
      </c>
      <c r="J138" s="7" t="n">
        <v>1200</v>
      </c>
      <c r="K138" s="7" t="n">
        <f aca="false">J138-I138</f>
        <v>350</v>
      </c>
      <c r="L138" s="8" t="n">
        <f aca="false">IF(J138&gt;0,(J138-I138)/J138,0)</f>
        <v>0.291666666666667</v>
      </c>
      <c r="M138" s="6" t="s">
        <v>581</v>
      </c>
      <c r="N138" s="6" t="s">
        <v>582</v>
      </c>
      <c r="O138" s="6" t="s">
        <v>23</v>
      </c>
    </row>
    <row r="139" customFormat="false" ht="15" hidden="false" customHeight="false" outlineLevel="0" collapsed="false">
      <c r="A139" s="3" t="s">
        <v>583</v>
      </c>
      <c r="B139" s="3" t="s">
        <v>469</v>
      </c>
      <c r="C139" s="3" t="s">
        <v>578</v>
      </c>
      <c r="D139" s="3" t="s">
        <v>584</v>
      </c>
      <c r="E139" s="3" t="s">
        <v>585</v>
      </c>
      <c r="F139" s="3" t="s">
        <v>6</v>
      </c>
      <c r="G139" s="3" t="n">
        <v>3</v>
      </c>
      <c r="H139" s="3" t="n">
        <v>10</v>
      </c>
      <c r="I139" s="4" t="n">
        <v>4500</v>
      </c>
      <c r="J139" s="4" t="n">
        <v>6200</v>
      </c>
      <c r="K139" s="4" t="n">
        <f aca="false">J139-I139</f>
        <v>1700</v>
      </c>
      <c r="L139" s="5" t="n">
        <f aca="false">IF(J139&gt;0,(J139-I139)/J139,0)</f>
        <v>0.274193548387097</v>
      </c>
      <c r="M139" s="3" t="s">
        <v>586</v>
      </c>
      <c r="N139" s="3" t="s">
        <v>587</v>
      </c>
      <c r="O139" s="3" t="s">
        <v>23</v>
      </c>
    </row>
    <row r="140" customFormat="false" ht="15" hidden="false" customHeight="false" outlineLevel="0" collapsed="false">
      <c r="A140" s="6" t="s">
        <v>588</v>
      </c>
      <c r="B140" s="6" t="s">
        <v>469</v>
      </c>
      <c r="C140" s="6" t="s">
        <v>578</v>
      </c>
      <c r="D140" s="6" t="s">
        <v>589</v>
      </c>
      <c r="E140" s="6" t="s">
        <v>590</v>
      </c>
      <c r="F140" s="6" t="s">
        <v>6</v>
      </c>
      <c r="G140" s="6" t="n">
        <v>10</v>
      </c>
      <c r="H140" s="6" t="n">
        <v>40</v>
      </c>
      <c r="I140" s="7" t="n">
        <v>350</v>
      </c>
      <c r="J140" s="7" t="n">
        <v>520</v>
      </c>
      <c r="K140" s="7" t="n">
        <f aca="false">J140-I140</f>
        <v>170</v>
      </c>
      <c r="L140" s="8" t="n">
        <f aca="false">IF(J140&gt;0,(J140-I140)/J140,0)</f>
        <v>0.326923076923077</v>
      </c>
      <c r="M140" s="6" t="s">
        <v>581</v>
      </c>
      <c r="N140" s="6" t="s">
        <v>582</v>
      </c>
      <c r="O140" s="6" t="s">
        <v>23</v>
      </c>
    </row>
    <row r="141" customFormat="false" ht="15" hidden="false" customHeight="false" outlineLevel="0" collapsed="false">
      <c r="A141" s="3" t="s">
        <v>591</v>
      </c>
      <c r="B141" s="3" t="s">
        <v>469</v>
      </c>
      <c r="C141" s="3" t="s">
        <v>578</v>
      </c>
      <c r="D141" s="3" t="s">
        <v>592</v>
      </c>
      <c r="E141" s="3" t="s">
        <v>593</v>
      </c>
      <c r="F141" s="3" t="s">
        <v>6</v>
      </c>
      <c r="G141" s="3" t="n">
        <v>10</v>
      </c>
      <c r="H141" s="3" t="n">
        <v>40</v>
      </c>
      <c r="I141" s="4" t="n">
        <v>450</v>
      </c>
      <c r="J141" s="4" t="n">
        <v>680</v>
      </c>
      <c r="K141" s="4" t="n">
        <f aca="false">J141-I141</f>
        <v>230</v>
      </c>
      <c r="L141" s="5" t="n">
        <f aca="false">IF(J141&gt;0,(J141-I141)/J141,0)</f>
        <v>0.338235294117647</v>
      </c>
      <c r="M141" s="3" t="s">
        <v>492</v>
      </c>
      <c r="N141" s="3" t="s">
        <v>488</v>
      </c>
      <c r="O141" s="3" t="s">
        <v>23</v>
      </c>
    </row>
    <row r="142" customFormat="false" ht="15" hidden="false" customHeight="false" outlineLevel="0" collapsed="false">
      <c r="A142" s="6" t="s">
        <v>594</v>
      </c>
      <c r="B142" s="6" t="s">
        <v>469</v>
      </c>
      <c r="C142" s="6" t="s">
        <v>578</v>
      </c>
      <c r="D142" s="6" t="s">
        <v>595</v>
      </c>
      <c r="E142" s="6" t="s">
        <v>596</v>
      </c>
      <c r="F142" s="6" t="s">
        <v>6</v>
      </c>
      <c r="G142" s="6" t="n">
        <v>5</v>
      </c>
      <c r="H142" s="6" t="n">
        <v>20</v>
      </c>
      <c r="I142" s="7" t="n">
        <v>1800</v>
      </c>
      <c r="J142" s="7" t="n">
        <v>2600</v>
      </c>
      <c r="K142" s="7" t="n">
        <f aca="false">J142-I142</f>
        <v>800</v>
      </c>
      <c r="L142" s="8" t="n">
        <f aca="false">IF(J142&gt;0,(J142-I142)/J142,0)</f>
        <v>0.307692307692308</v>
      </c>
      <c r="M142" s="6" t="s">
        <v>581</v>
      </c>
      <c r="N142" s="6" t="s">
        <v>582</v>
      </c>
      <c r="O142" s="6" t="s">
        <v>23</v>
      </c>
    </row>
    <row r="143" customFormat="false" ht="15" hidden="false" customHeight="false" outlineLevel="0" collapsed="false">
      <c r="A143" s="3" t="s">
        <v>597</v>
      </c>
      <c r="B143" s="3" t="s">
        <v>469</v>
      </c>
      <c r="C143" s="3" t="s">
        <v>578</v>
      </c>
      <c r="D143" s="3" t="s">
        <v>598</v>
      </c>
      <c r="E143" s="3" t="s">
        <v>599</v>
      </c>
      <c r="F143" s="3" t="s">
        <v>6</v>
      </c>
      <c r="G143" s="3" t="n">
        <v>10</v>
      </c>
      <c r="H143" s="3" t="n">
        <v>40</v>
      </c>
      <c r="I143" s="4" t="n">
        <v>600</v>
      </c>
      <c r="J143" s="4" t="n">
        <v>900</v>
      </c>
      <c r="K143" s="4" t="n">
        <f aca="false">J143-I143</f>
        <v>300</v>
      </c>
      <c r="L143" s="5" t="n">
        <f aca="false">IF(J143&gt;0,(J143-I143)/J143,0)</f>
        <v>0.333333333333333</v>
      </c>
      <c r="M143" s="3" t="s">
        <v>517</v>
      </c>
      <c r="N143" s="3" t="s">
        <v>518</v>
      </c>
      <c r="O143" s="3" t="s">
        <v>23</v>
      </c>
    </row>
    <row r="144" customFormat="false" ht="15" hidden="false" customHeight="false" outlineLevel="0" collapsed="false">
      <c r="A144" s="6" t="s">
        <v>600</v>
      </c>
      <c r="B144" s="6" t="s">
        <v>469</v>
      </c>
      <c r="C144" s="6" t="s">
        <v>578</v>
      </c>
      <c r="D144" s="6" t="s">
        <v>601</v>
      </c>
      <c r="E144" s="6" t="s">
        <v>602</v>
      </c>
      <c r="F144" s="6" t="s">
        <v>6</v>
      </c>
      <c r="G144" s="6" t="n">
        <v>10</v>
      </c>
      <c r="H144" s="6" t="n">
        <v>50</v>
      </c>
      <c r="I144" s="7" t="n">
        <v>280</v>
      </c>
      <c r="J144" s="7" t="n">
        <v>420</v>
      </c>
      <c r="K144" s="7" t="n">
        <f aca="false">J144-I144</f>
        <v>140</v>
      </c>
      <c r="L144" s="8" t="n">
        <f aca="false">IF(J144&gt;0,(J144-I144)/J144,0)</f>
        <v>0.333333333333333</v>
      </c>
      <c r="M144" s="6" t="s">
        <v>603</v>
      </c>
      <c r="N144" s="6" t="s">
        <v>604</v>
      </c>
      <c r="O144" s="6" t="s">
        <v>23</v>
      </c>
    </row>
    <row r="145" customFormat="false" ht="15" hidden="false" customHeight="false" outlineLevel="0" collapsed="false">
      <c r="A145" s="3" t="s">
        <v>605</v>
      </c>
      <c r="B145" s="3" t="s">
        <v>469</v>
      </c>
      <c r="C145" s="3" t="s">
        <v>578</v>
      </c>
      <c r="D145" s="3" t="s">
        <v>606</v>
      </c>
      <c r="E145" s="3" t="s">
        <v>607</v>
      </c>
      <c r="F145" s="3" t="s">
        <v>6</v>
      </c>
      <c r="G145" s="3" t="n">
        <v>10</v>
      </c>
      <c r="H145" s="3" t="n">
        <v>40</v>
      </c>
      <c r="I145" s="4" t="n">
        <v>450</v>
      </c>
      <c r="J145" s="4" t="n">
        <v>680</v>
      </c>
      <c r="K145" s="4" t="n">
        <f aca="false">J145-I145</f>
        <v>230</v>
      </c>
      <c r="L145" s="5" t="n">
        <f aca="false">IF(J145&gt;0,(J145-I145)/J145,0)</f>
        <v>0.338235294117647</v>
      </c>
      <c r="M145" s="3" t="s">
        <v>603</v>
      </c>
      <c r="N145" s="3" t="s">
        <v>604</v>
      </c>
      <c r="O145" s="3" t="s">
        <v>23</v>
      </c>
    </row>
    <row r="146" customFormat="false" ht="15" hidden="false" customHeight="false" outlineLevel="0" collapsed="false">
      <c r="A146" s="6" t="s">
        <v>608</v>
      </c>
      <c r="B146" s="6" t="s">
        <v>609</v>
      </c>
      <c r="C146" s="6" t="s">
        <v>610</v>
      </c>
      <c r="D146" s="6" t="s">
        <v>611</v>
      </c>
      <c r="E146" s="6" t="s">
        <v>612</v>
      </c>
      <c r="F146" s="6" t="s">
        <v>6</v>
      </c>
      <c r="G146" s="6" t="n">
        <v>30</v>
      </c>
      <c r="H146" s="6" t="n">
        <v>150</v>
      </c>
      <c r="I146" s="7" t="n">
        <v>85</v>
      </c>
      <c r="J146" s="7" t="n">
        <v>120</v>
      </c>
      <c r="K146" s="7" t="n">
        <f aca="false">J146-I146</f>
        <v>35</v>
      </c>
      <c r="L146" s="8" t="n">
        <f aca="false">IF(J146&gt;0,(J146-I146)/J146,0)</f>
        <v>0.291666666666667</v>
      </c>
      <c r="M146" s="6" t="s">
        <v>613</v>
      </c>
      <c r="N146" s="6" t="s">
        <v>614</v>
      </c>
      <c r="O146" s="6" t="s">
        <v>23</v>
      </c>
    </row>
    <row r="147" customFormat="false" ht="15" hidden="false" customHeight="false" outlineLevel="0" collapsed="false">
      <c r="A147" s="3" t="s">
        <v>615</v>
      </c>
      <c r="B147" s="3" t="s">
        <v>609</v>
      </c>
      <c r="C147" s="3" t="s">
        <v>610</v>
      </c>
      <c r="D147" s="3" t="s">
        <v>616</v>
      </c>
      <c r="E147" s="3" t="s">
        <v>617</v>
      </c>
      <c r="F147" s="3" t="s">
        <v>6</v>
      </c>
      <c r="G147" s="3" t="n">
        <v>30</v>
      </c>
      <c r="H147" s="3" t="n">
        <v>150</v>
      </c>
      <c r="I147" s="4" t="n">
        <v>70</v>
      </c>
      <c r="J147" s="4" t="n">
        <v>100</v>
      </c>
      <c r="K147" s="4" t="n">
        <f aca="false">J147-I147</f>
        <v>30</v>
      </c>
      <c r="L147" s="5" t="n">
        <f aca="false">IF(J147&gt;0,(J147-I147)/J147,0)</f>
        <v>0.3</v>
      </c>
      <c r="M147" s="3" t="s">
        <v>613</v>
      </c>
      <c r="N147" s="3" t="s">
        <v>614</v>
      </c>
      <c r="O147" s="3" t="s">
        <v>23</v>
      </c>
    </row>
    <row r="148" customFormat="false" ht="15" hidden="false" customHeight="false" outlineLevel="0" collapsed="false">
      <c r="A148" s="6" t="s">
        <v>618</v>
      </c>
      <c r="B148" s="6" t="s">
        <v>609</v>
      </c>
      <c r="C148" s="6" t="s">
        <v>610</v>
      </c>
      <c r="D148" s="6" t="s">
        <v>619</v>
      </c>
      <c r="E148" s="6" t="s">
        <v>620</v>
      </c>
      <c r="F148" s="6" t="s">
        <v>6</v>
      </c>
      <c r="G148" s="6" t="n">
        <v>30</v>
      </c>
      <c r="H148" s="6" t="n">
        <v>150</v>
      </c>
      <c r="I148" s="7" t="n">
        <v>95</v>
      </c>
      <c r="J148" s="7" t="n">
        <v>135</v>
      </c>
      <c r="K148" s="7" t="n">
        <f aca="false">J148-I148</f>
        <v>40</v>
      </c>
      <c r="L148" s="8" t="n">
        <f aca="false">IF(J148&gt;0,(J148-I148)/J148,0)</f>
        <v>0.296296296296296</v>
      </c>
      <c r="M148" s="6" t="s">
        <v>621</v>
      </c>
      <c r="N148" s="6" t="s">
        <v>622</v>
      </c>
      <c r="O148" s="6" t="s">
        <v>23</v>
      </c>
    </row>
    <row r="149" customFormat="false" ht="15" hidden="false" customHeight="false" outlineLevel="0" collapsed="false">
      <c r="A149" s="3" t="s">
        <v>623</v>
      </c>
      <c r="B149" s="3" t="s">
        <v>609</v>
      </c>
      <c r="C149" s="3" t="s">
        <v>610</v>
      </c>
      <c r="D149" s="3" t="s">
        <v>624</v>
      </c>
      <c r="E149" s="3" t="s">
        <v>625</v>
      </c>
      <c r="F149" s="3" t="s">
        <v>6</v>
      </c>
      <c r="G149" s="3" t="n">
        <v>30</v>
      </c>
      <c r="H149" s="3" t="n">
        <v>150</v>
      </c>
      <c r="I149" s="4" t="n">
        <v>45</v>
      </c>
      <c r="J149" s="4" t="n">
        <v>70</v>
      </c>
      <c r="K149" s="4" t="n">
        <f aca="false">J149-I149</f>
        <v>25</v>
      </c>
      <c r="L149" s="5" t="n">
        <f aca="false">IF(J149&gt;0,(J149-I149)/J149,0)</f>
        <v>0.357142857142857</v>
      </c>
      <c r="M149" s="3" t="s">
        <v>626</v>
      </c>
      <c r="N149" s="3" t="s">
        <v>627</v>
      </c>
      <c r="O149" s="3" t="s">
        <v>23</v>
      </c>
    </row>
    <row r="150" customFormat="false" ht="15" hidden="false" customHeight="false" outlineLevel="0" collapsed="false">
      <c r="A150" s="6" t="s">
        <v>628</v>
      </c>
      <c r="B150" s="6" t="s">
        <v>609</v>
      </c>
      <c r="C150" s="6" t="s">
        <v>610</v>
      </c>
      <c r="D150" s="6" t="s">
        <v>629</v>
      </c>
      <c r="E150" s="6" t="s">
        <v>630</v>
      </c>
      <c r="F150" s="6" t="s">
        <v>6</v>
      </c>
      <c r="G150" s="6" t="n">
        <v>30</v>
      </c>
      <c r="H150" s="6" t="n">
        <v>150</v>
      </c>
      <c r="I150" s="7" t="n">
        <v>120</v>
      </c>
      <c r="J150" s="7" t="n">
        <v>175</v>
      </c>
      <c r="K150" s="7" t="n">
        <f aca="false">J150-I150</f>
        <v>55</v>
      </c>
      <c r="L150" s="8" t="n">
        <f aca="false">IF(J150&gt;0,(J150-I150)/J150,0)</f>
        <v>0.314285714285714</v>
      </c>
      <c r="M150" s="6" t="s">
        <v>631</v>
      </c>
      <c r="N150" s="6" t="s">
        <v>632</v>
      </c>
      <c r="O150" s="6" t="s">
        <v>23</v>
      </c>
    </row>
    <row r="151" customFormat="false" ht="15" hidden="false" customHeight="false" outlineLevel="0" collapsed="false">
      <c r="A151" s="3" t="s">
        <v>633</v>
      </c>
      <c r="B151" s="3" t="s">
        <v>609</v>
      </c>
      <c r="C151" s="3" t="s">
        <v>610</v>
      </c>
      <c r="D151" s="3" t="s">
        <v>634</v>
      </c>
      <c r="E151" s="3" t="s">
        <v>635</v>
      </c>
      <c r="F151" s="3" t="s">
        <v>6</v>
      </c>
      <c r="G151" s="3" t="n">
        <v>15</v>
      </c>
      <c r="H151" s="3" t="n">
        <v>60</v>
      </c>
      <c r="I151" s="4" t="n">
        <v>350</v>
      </c>
      <c r="J151" s="4" t="n">
        <v>520</v>
      </c>
      <c r="K151" s="4" t="n">
        <f aca="false">J151-I151</f>
        <v>170</v>
      </c>
      <c r="L151" s="5" t="n">
        <f aca="false">IF(J151&gt;0,(J151-I151)/J151,0)</f>
        <v>0.326923076923077</v>
      </c>
      <c r="M151" s="3" t="s">
        <v>636</v>
      </c>
      <c r="N151" s="3" t="s">
        <v>636</v>
      </c>
      <c r="O151" s="3" t="s">
        <v>23</v>
      </c>
    </row>
    <row r="152" customFormat="false" ht="15" hidden="false" customHeight="false" outlineLevel="0" collapsed="false">
      <c r="A152" s="6" t="s">
        <v>637</v>
      </c>
      <c r="B152" s="6" t="s">
        <v>609</v>
      </c>
      <c r="C152" s="6" t="s">
        <v>610</v>
      </c>
      <c r="D152" s="6" t="s">
        <v>638</v>
      </c>
      <c r="E152" s="6" t="s">
        <v>639</v>
      </c>
      <c r="F152" s="6" t="s">
        <v>6</v>
      </c>
      <c r="G152" s="6" t="n">
        <v>20</v>
      </c>
      <c r="H152" s="6" t="n">
        <v>80</v>
      </c>
      <c r="I152" s="7" t="n">
        <v>180</v>
      </c>
      <c r="J152" s="7" t="n">
        <v>260</v>
      </c>
      <c r="K152" s="7" t="n">
        <f aca="false">J152-I152</f>
        <v>80</v>
      </c>
      <c r="L152" s="8" t="n">
        <f aca="false">IF(J152&gt;0,(J152-I152)/J152,0)</f>
        <v>0.307692307692308</v>
      </c>
      <c r="M152" s="6" t="s">
        <v>640</v>
      </c>
      <c r="N152" s="6" t="s">
        <v>641</v>
      </c>
      <c r="O152" s="6" t="s">
        <v>23</v>
      </c>
    </row>
    <row r="153" customFormat="false" ht="15" hidden="false" customHeight="false" outlineLevel="0" collapsed="false">
      <c r="A153" s="3" t="s">
        <v>642</v>
      </c>
      <c r="B153" s="3" t="s">
        <v>609</v>
      </c>
      <c r="C153" s="3" t="s">
        <v>610</v>
      </c>
      <c r="D153" s="3" t="s">
        <v>643</v>
      </c>
      <c r="E153" s="3" t="s">
        <v>644</v>
      </c>
      <c r="F153" s="3" t="s">
        <v>6</v>
      </c>
      <c r="G153" s="3" t="n">
        <v>20</v>
      </c>
      <c r="H153" s="3" t="n">
        <v>80</v>
      </c>
      <c r="I153" s="4" t="n">
        <v>145</v>
      </c>
      <c r="J153" s="4" t="n">
        <v>210</v>
      </c>
      <c r="K153" s="4" t="n">
        <f aca="false">J153-I153</f>
        <v>65</v>
      </c>
      <c r="L153" s="5" t="n">
        <f aca="false">IF(J153&gt;0,(J153-I153)/J153,0)</f>
        <v>0.30952380952381</v>
      </c>
      <c r="M153" s="3" t="s">
        <v>645</v>
      </c>
      <c r="N153" s="3" t="s">
        <v>645</v>
      </c>
      <c r="O153" s="3" t="s">
        <v>23</v>
      </c>
    </row>
    <row r="154" customFormat="false" ht="15" hidden="false" customHeight="false" outlineLevel="0" collapsed="false">
      <c r="A154" s="6" t="s">
        <v>646</v>
      </c>
      <c r="B154" s="6" t="s">
        <v>609</v>
      </c>
      <c r="C154" s="6" t="s">
        <v>610</v>
      </c>
      <c r="D154" s="6" t="s">
        <v>647</v>
      </c>
      <c r="E154" s="6" t="s">
        <v>648</v>
      </c>
      <c r="F154" s="6" t="s">
        <v>6</v>
      </c>
      <c r="G154" s="6" t="n">
        <v>20</v>
      </c>
      <c r="H154" s="6" t="n">
        <v>80</v>
      </c>
      <c r="I154" s="7" t="n">
        <v>165</v>
      </c>
      <c r="J154" s="7" t="n">
        <v>240</v>
      </c>
      <c r="K154" s="7" t="n">
        <f aca="false">J154-I154</f>
        <v>75</v>
      </c>
      <c r="L154" s="8" t="n">
        <f aca="false">IF(J154&gt;0,(J154-I154)/J154,0)</f>
        <v>0.3125</v>
      </c>
      <c r="M154" s="6" t="s">
        <v>613</v>
      </c>
      <c r="N154" s="6" t="s">
        <v>649</v>
      </c>
      <c r="O154" s="6" t="s">
        <v>23</v>
      </c>
    </row>
    <row r="155" customFormat="false" ht="15" hidden="false" customHeight="false" outlineLevel="0" collapsed="false">
      <c r="A155" s="3" t="s">
        <v>650</v>
      </c>
      <c r="B155" s="3" t="s">
        <v>609</v>
      </c>
      <c r="C155" s="3" t="s">
        <v>610</v>
      </c>
      <c r="D155" s="3" t="s">
        <v>651</v>
      </c>
      <c r="E155" s="3" t="s">
        <v>652</v>
      </c>
      <c r="F155" s="3" t="s">
        <v>6</v>
      </c>
      <c r="G155" s="3" t="n">
        <v>20</v>
      </c>
      <c r="H155" s="3" t="n">
        <v>80</v>
      </c>
      <c r="I155" s="4" t="n">
        <v>145</v>
      </c>
      <c r="J155" s="4" t="n">
        <v>215</v>
      </c>
      <c r="K155" s="4" t="n">
        <f aca="false">J155-I155</f>
        <v>70</v>
      </c>
      <c r="L155" s="5" t="n">
        <f aca="false">IF(J155&gt;0,(J155-I155)/J155,0)</f>
        <v>0.325581395348837</v>
      </c>
      <c r="M155" s="3" t="s">
        <v>653</v>
      </c>
      <c r="N155" s="3" t="s">
        <v>654</v>
      </c>
      <c r="O155" s="3" t="s">
        <v>23</v>
      </c>
    </row>
    <row r="156" customFormat="false" ht="15" hidden="false" customHeight="false" outlineLevel="0" collapsed="false">
      <c r="A156" s="6" t="s">
        <v>655</v>
      </c>
      <c r="B156" s="6" t="s">
        <v>609</v>
      </c>
      <c r="C156" s="6" t="s">
        <v>656</v>
      </c>
      <c r="D156" s="6" t="s">
        <v>657</v>
      </c>
      <c r="E156" s="6" t="s">
        <v>658</v>
      </c>
      <c r="F156" s="6" t="s">
        <v>6</v>
      </c>
      <c r="G156" s="6" t="n">
        <v>10</v>
      </c>
      <c r="H156" s="6" t="n">
        <v>50</v>
      </c>
      <c r="I156" s="7" t="n">
        <v>380</v>
      </c>
      <c r="J156" s="7" t="n">
        <v>580</v>
      </c>
      <c r="K156" s="7" t="n">
        <f aca="false">J156-I156</f>
        <v>200</v>
      </c>
      <c r="L156" s="8" t="n">
        <f aca="false">IF(J156&gt;0,(J156-I156)/J156,0)</f>
        <v>0.344827586206897</v>
      </c>
      <c r="M156" s="6" t="s">
        <v>492</v>
      </c>
      <c r="N156" s="6" t="s">
        <v>488</v>
      </c>
      <c r="O156" s="6" t="s">
        <v>23</v>
      </c>
    </row>
    <row r="157" customFormat="false" ht="15" hidden="false" customHeight="false" outlineLevel="0" collapsed="false">
      <c r="A157" s="3" t="s">
        <v>659</v>
      </c>
      <c r="B157" s="3" t="s">
        <v>609</v>
      </c>
      <c r="C157" s="3" t="s">
        <v>656</v>
      </c>
      <c r="D157" s="3" t="s">
        <v>660</v>
      </c>
      <c r="E157" s="3" t="s">
        <v>661</v>
      </c>
      <c r="F157" s="3" t="s">
        <v>6</v>
      </c>
      <c r="G157" s="3" t="n">
        <v>10</v>
      </c>
      <c r="H157" s="3" t="n">
        <v>50</v>
      </c>
      <c r="I157" s="4" t="n">
        <v>550</v>
      </c>
      <c r="J157" s="4" t="n">
        <v>820</v>
      </c>
      <c r="K157" s="4" t="n">
        <f aca="false">J157-I157</f>
        <v>270</v>
      </c>
      <c r="L157" s="5" t="n">
        <f aca="false">IF(J157&gt;0,(J157-I157)/J157,0)</f>
        <v>0.329268292682927</v>
      </c>
      <c r="M157" s="3" t="s">
        <v>662</v>
      </c>
      <c r="N157" s="3" t="s">
        <v>662</v>
      </c>
      <c r="O157" s="3" t="s">
        <v>23</v>
      </c>
    </row>
    <row r="158" customFormat="false" ht="15" hidden="false" customHeight="false" outlineLevel="0" collapsed="false">
      <c r="A158" s="6" t="s">
        <v>663</v>
      </c>
      <c r="B158" s="6" t="s">
        <v>609</v>
      </c>
      <c r="C158" s="6" t="s">
        <v>656</v>
      </c>
      <c r="D158" s="6" t="s">
        <v>664</v>
      </c>
      <c r="E158" s="6" t="s">
        <v>665</v>
      </c>
      <c r="F158" s="6" t="s">
        <v>6</v>
      </c>
      <c r="G158" s="6" t="n">
        <v>20</v>
      </c>
      <c r="H158" s="6" t="n">
        <v>80</v>
      </c>
      <c r="I158" s="7" t="n">
        <v>85</v>
      </c>
      <c r="J158" s="7" t="n">
        <v>130</v>
      </c>
      <c r="K158" s="7" t="n">
        <f aca="false">J158-I158</f>
        <v>45</v>
      </c>
      <c r="L158" s="8" t="n">
        <f aca="false">IF(J158&gt;0,(J158-I158)/J158,0)</f>
        <v>0.346153846153846</v>
      </c>
      <c r="M158" s="6" t="s">
        <v>666</v>
      </c>
      <c r="N158" s="6" t="s">
        <v>667</v>
      </c>
      <c r="O158" s="6" t="s">
        <v>23</v>
      </c>
    </row>
    <row r="159" customFormat="false" ht="15" hidden="false" customHeight="false" outlineLevel="0" collapsed="false">
      <c r="A159" s="3" t="s">
        <v>668</v>
      </c>
      <c r="B159" s="3" t="s">
        <v>609</v>
      </c>
      <c r="C159" s="3" t="s">
        <v>656</v>
      </c>
      <c r="D159" s="3" t="s">
        <v>669</v>
      </c>
      <c r="E159" s="3" t="s">
        <v>670</v>
      </c>
      <c r="F159" s="3" t="s">
        <v>6</v>
      </c>
      <c r="G159" s="3" t="n">
        <v>10</v>
      </c>
      <c r="H159" s="3" t="n">
        <v>40</v>
      </c>
      <c r="I159" s="4" t="n">
        <v>380</v>
      </c>
      <c r="J159" s="4" t="n">
        <v>550</v>
      </c>
      <c r="K159" s="4" t="n">
        <f aca="false">J159-I159</f>
        <v>170</v>
      </c>
      <c r="L159" s="5" t="n">
        <f aca="false">IF(J159&gt;0,(J159-I159)/J159,0)</f>
        <v>0.309090909090909</v>
      </c>
      <c r="M159" s="3" t="s">
        <v>626</v>
      </c>
      <c r="N159" s="3" t="s">
        <v>671</v>
      </c>
      <c r="O159" s="3" t="s">
        <v>23</v>
      </c>
    </row>
    <row r="160" customFormat="false" ht="15" hidden="false" customHeight="false" outlineLevel="0" collapsed="false">
      <c r="A160" s="6" t="s">
        <v>672</v>
      </c>
      <c r="B160" s="6" t="s">
        <v>609</v>
      </c>
      <c r="C160" s="6" t="s">
        <v>656</v>
      </c>
      <c r="D160" s="6" t="s">
        <v>673</v>
      </c>
      <c r="E160" s="6" t="s">
        <v>674</v>
      </c>
      <c r="F160" s="6" t="s">
        <v>6</v>
      </c>
      <c r="G160" s="6" t="n">
        <v>20</v>
      </c>
      <c r="H160" s="6" t="n">
        <v>80</v>
      </c>
      <c r="I160" s="7" t="n">
        <v>120</v>
      </c>
      <c r="J160" s="7" t="n">
        <v>180</v>
      </c>
      <c r="K160" s="7" t="n">
        <f aca="false">J160-I160</f>
        <v>60</v>
      </c>
      <c r="L160" s="8" t="n">
        <f aca="false">IF(J160&gt;0,(J160-I160)/J160,0)</f>
        <v>0.333333333333333</v>
      </c>
      <c r="M160" s="6" t="s">
        <v>492</v>
      </c>
      <c r="N160" s="6" t="s">
        <v>488</v>
      </c>
      <c r="O160" s="6" t="s">
        <v>23</v>
      </c>
    </row>
    <row r="161" customFormat="false" ht="15" hidden="false" customHeight="false" outlineLevel="0" collapsed="false">
      <c r="A161" s="3" t="s">
        <v>675</v>
      </c>
      <c r="B161" s="3" t="s">
        <v>609</v>
      </c>
      <c r="C161" s="3" t="s">
        <v>656</v>
      </c>
      <c r="D161" s="3" t="s">
        <v>676</v>
      </c>
      <c r="E161" s="3" t="s">
        <v>677</v>
      </c>
      <c r="F161" s="3" t="s">
        <v>6</v>
      </c>
      <c r="G161" s="3" t="n">
        <v>3</v>
      </c>
      <c r="H161" s="3" t="n">
        <v>10</v>
      </c>
      <c r="I161" s="4" t="n">
        <v>2800</v>
      </c>
      <c r="J161" s="4" t="n">
        <v>4200</v>
      </c>
      <c r="K161" s="4" t="n">
        <f aca="false">J161-I161</f>
        <v>1400</v>
      </c>
      <c r="L161" s="5" t="n">
        <f aca="false">IF(J161&gt;0,(J161-I161)/J161,0)</f>
        <v>0.333333333333333</v>
      </c>
      <c r="M161" s="3" t="s">
        <v>678</v>
      </c>
      <c r="N161" s="3" t="s">
        <v>678</v>
      </c>
      <c r="O161" s="3" t="s">
        <v>23</v>
      </c>
    </row>
    <row r="162" customFormat="false" ht="15" hidden="false" customHeight="false" outlineLevel="0" collapsed="false">
      <c r="A162" s="6" t="s">
        <v>679</v>
      </c>
      <c r="B162" s="6" t="s">
        <v>609</v>
      </c>
      <c r="C162" s="6" t="s">
        <v>656</v>
      </c>
      <c r="D162" s="6" t="s">
        <v>680</v>
      </c>
      <c r="E162" s="6" t="s">
        <v>681</v>
      </c>
      <c r="F162" s="6" t="s">
        <v>6</v>
      </c>
      <c r="G162" s="6" t="n">
        <v>5</v>
      </c>
      <c r="H162" s="6" t="n">
        <v>20</v>
      </c>
      <c r="I162" s="7" t="n">
        <v>650</v>
      </c>
      <c r="J162" s="7" t="n">
        <v>1000</v>
      </c>
      <c r="K162" s="7" t="n">
        <f aca="false">J162-I162</f>
        <v>350</v>
      </c>
      <c r="L162" s="8" t="n">
        <f aca="false">IF(J162&gt;0,(J162-I162)/J162,0)</f>
        <v>0.35</v>
      </c>
      <c r="M162" s="6" t="s">
        <v>678</v>
      </c>
      <c r="N162" s="6" t="s">
        <v>678</v>
      </c>
      <c r="O162" s="6" t="s">
        <v>23</v>
      </c>
    </row>
    <row r="163" customFormat="false" ht="15" hidden="false" customHeight="false" outlineLevel="0" collapsed="false">
      <c r="A163" s="3" t="s">
        <v>682</v>
      </c>
      <c r="B163" s="3" t="s">
        <v>609</v>
      </c>
      <c r="C163" s="3" t="s">
        <v>656</v>
      </c>
      <c r="D163" s="3" t="s">
        <v>683</v>
      </c>
      <c r="E163" s="3" t="s">
        <v>684</v>
      </c>
      <c r="F163" s="3" t="s">
        <v>6</v>
      </c>
      <c r="G163" s="3" t="n">
        <v>3</v>
      </c>
      <c r="H163" s="3" t="n">
        <v>10</v>
      </c>
      <c r="I163" s="4" t="n">
        <v>3500</v>
      </c>
      <c r="J163" s="4" t="n">
        <v>5200</v>
      </c>
      <c r="K163" s="4" t="n">
        <f aca="false">J163-I163</f>
        <v>1700</v>
      </c>
      <c r="L163" s="5" t="n">
        <f aca="false">IF(J163&gt;0,(J163-I163)/J163,0)</f>
        <v>0.326923076923077</v>
      </c>
      <c r="M163" s="3" t="s">
        <v>685</v>
      </c>
      <c r="N163" s="3" t="s">
        <v>686</v>
      </c>
      <c r="O163" s="3" t="s">
        <v>23</v>
      </c>
    </row>
    <row r="164" customFormat="false" ht="15" hidden="false" customHeight="false" outlineLevel="0" collapsed="false">
      <c r="A164" s="6" t="s">
        <v>687</v>
      </c>
      <c r="B164" s="6" t="s">
        <v>609</v>
      </c>
      <c r="C164" s="6" t="s">
        <v>688</v>
      </c>
      <c r="D164" s="6" t="s">
        <v>689</v>
      </c>
      <c r="E164" s="6" t="s">
        <v>690</v>
      </c>
      <c r="F164" s="6" t="s">
        <v>6</v>
      </c>
      <c r="G164" s="6" t="n">
        <v>10</v>
      </c>
      <c r="H164" s="6" t="n">
        <v>40</v>
      </c>
      <c r="I164" s="7" t="n">
        <v>750</v>
      </c>
      <c r="J164" s="7" t="n">
        <v>1050</v>
      </c>
      <c r="K164" s="7" t="n">
        <f aca="false">J164-I164</f>
        <v>300</v>
      </c>
      <c r="L164" s="8" t="n">
        <f aca="false">IF(J164&gt;0,(J164-I164)/J164,0)</f>
        <v>0.285714285714286</v>
      </c>
      <c r="M164" s="6" t="s">
        <v>691</v>
      </c>
      <c r="N164" s="6" t="s">
        <v>692</v>
      </c>
      <c r="O164" s="6" t="s">
        <v>23</v>
      </c>
    </row>
    <row r="165" customFormat="false" ht="15" hidden="false" customHeight="false" outlineLevel="0" collapsed="false">
      <c r="A165" s="3" t="s">
        <v>693</v>
      </c>
      <c r="B165" s="3" t="s">
        <v>609</v>
      </c>
      <c r="C165" s="3" t="s">
        <v>688</v>
      </c>
      <c r="D165" s="3" t="s">
        <v>694</v>
      </c>
      <c r="E165" s="3" t="s">
        <v>695</v>
      </c>
      <c r="F165" s="3" t="s">
        <v>6</v>
      </c>
      <c r="G165" s="3" t="n">
        <v>10</v>
      </c>
      <c r="H165" s="3" t="n">
        <v>40</v>
      </c>
      <c r="I165" s="4" t="n">
        <v>680</v>
      </c>
      <c r="J165" s="4" t="n">
        <v>950</v>
      </c>
      <c r="K165" s="4" t="n">
        <f aca="false">J165-I165</f>
        <v>270</v>
      </c>
      <c r="L165" s="5" t="n">
        <f aca="false">IF(J165&gt;0,(J165-I165)/J165,0)</f>
        <v>0.284210526315789</v>
      </c>
      <c r="M165" s="3" t="s">
        <v>691</v>
      </c>
      <c r="N165" s="3" t="s">
        <v>696</v>
      </c>
      <c r="O165" s="3" t="s">
        <v>23</v>
      </c>
    </row>
    <row r="166" customFormat="false" ht="15" hidden="false" customHeight="false" outlineLevel="0" collapsed="false">
      <c r="A166" s="6" t="s">
        <v>697</v>
      </c>
      <c r="B166" s="6" t="s">
        <v>609</v>
      </c>
      <c r="C166" s="6" t="s">
        <v>688</v>
      </c>
      <c r="D166" s="6" t="s">
        <v>698</v>
      </c>
      <c r="E166" s="6" t="s">
        <v>699</v>
      </c>
      <c r="F166" s="6" t="s">
        <v>6</v>
      </c>
      <c r="G166" s="6" t="n">
        <v>20</v>
      </c>
      <c r="H166" s="6" t="n">
        <v>80</v>
      </c>
      <c r="I166" s="7" t="n">
        <v>120</v>
      </c>
      <c r="J166" s="7" t="n">
        <v>175</v>
      </c>
      <c r="K166" s="7" t="n">
        <f aca="false">J166-I166</f>
        <v>55</v>
      </c>
      <c r="L166" s="8" t="n">
        <f aca="false">IF(J166&gt;0,(J166-I166)/J166,0)</f>
        <v>0.314285714285714</v>
      </c>
      <c r="M166" s="6" t="s">
        <v>691</v>
      </c>
      <c r="N166" s="6" t="s">
        <v>700</v>
      </c>
      <c r="O166" s="6" t="s">
        <v>23</v>
      </c>
    </row>
    <row r="167" customFormat="false" ht="15" hidden="false" customHeight="false" outlineLevel="0" collapsed="false">
      <c r="A167" s="3" t="s">
        <v>701</v>
      </c>
      <c r="B167" s="3" t="s">
        <v>609</v>
      </c>
      <c r="C167" s="3" t="s">
        <v>688</v>
      </c>
      <c r="D167" s="3" t="s">
        <v>702</v>
      </c>
      <c r="E167" s="3" t="s">
        <v>703</v>
      </c>
      <c r="F167" s="3" t="s">
        <v>6</v>
      </c>
      <c r="G167" s="3" t="n">
        <v>8</v>
      </c>
      <c r="H167" s="3" t="n">
        <v>30</v>
      </c>
      <c r="I167" s="4" t="n">
        <v>680</v>
      </c>
      <c r="J167" s="4" t="n">
        <v>980</v>
      </c>
      <c r="K167" s="4" t="n">
        <f aca="false">J167-I167</f>
        <v>300</v>
      </c>
      <c r="L167" s="5" t="n">
        <f aca="false">IF(J167&gt;0,(J167-I167)/J167,0)</f>
        <v>0.306122448979592</v>
      </c>
      <c r="M167" s="3" t="s">
        <v>260</v>
      </c>
      <c r="N167" s="3" t="s">
        <v>704</v>
      </c>
      <c r="O167" s="3" t="s">
        <v>23</v>
      </c>
    </row>
    <row r="168" customFormat="false" ht="15" hidden="false" customHeight="false" outlineLevel="0" collapsed="false">
      <c r="A168" s="6" t="s">
        <v>705</v>
      </c>
      <c r="B168" s="6" t="s">
        <v>609</v>
      </c>
      <c r="C168" s="6" t="s">
        <v>688</v>
      </c>
      <c r="D168" s="6" t="s">
        <v>706</v>
      </c>
      <c r="E168" s="6" t="s">
        <v>707</v>
      </c>
      <c r="F168" s="6" t="s">
        <v>6</v>
      </c>
      <c r="G168" s="6" t="n">
        <v>20</v>
      </c>
      <c r="H168" s="6" t="n">
        <v>80</v>
      </c>
      <c r="I168" s="7" t="n">
        <v>220</v>
      </c>
      <c r="J168" s="7" t="n">
        <v>310</v>
      </c>
      <c r="K168" s="7" t="n">
        <f aca="false">J168-I168</f>
        <v>90</v>
      </c>
      <c r="L168" s="8" t="n">
        <f aca="false">IF(J168&gt;0,(J168-I168)/J168,0)</f>
        <v>0.290322580645161</v>
      </c>
      <c r="M168" s="6" t="s">
        <v>708</v>
      </c>
      <c r="N168" s="6" t="s">
        <v>709</v>
      </c>
      <c r="O168" s="6" t="s">
        <v>23</v>
      </c>
    </row>
    <row r="169" customFormat="false" ht="15" hidden="false" customHeight="false" outlineLevel="0" collapsed="false">
      <c r="A169" s="3" t="s">
        <v>710</v>
      </c>
      <c r="B169" s="3" t="s">
        <v>609</v>
      </c>
      <c r="C169" s="3" t="s">
        <v>688</v>
      </c>
      <c r="D169" s="3" t="s">
        <v>711</v>
      </c>
      <c r="E169" s="3" t="s">
        <v>712</v>
      </c>
      <c r="F169" s="3" t="s">
        <v>6</v>
      </c>
      <c r="G169" s="3" t="n">
        <v>20</v>
      </c>
      <c r="H169" s="3" t="n">
        <v>80</v>
      </c>
      <c r="I169" s="4" t="n">
        <v>200</v>
      </c>
      <c r="J169" s="4" t="n">
        <v>290</v>
      </c>
      <c r="K169" s="4" t="n">
        <f aca="false">J169-I169</f>
        <v>90</v>
      </c>
      <c r="L169" s="5" t="n">
        <f aca="false">IF(J169&gt;0,(J169-I169)/J169,0)</f>
        <v>0.310344827586207</v>
      </c>
      <c r="M169" s="3" t="s">
        <v>260</v>
      </c>
      <c r="N169" s="3" t="s">
        <v>713</v>
      </c>
      <c r="O169" s="3" t="s">
        <v>23</v>
      </c>
    </row>
    <row r="170" customFormat="false" ht="15" hidden="false" customHeight="false" outlineLevel="0" collapsed="false">
      <c r="A170" s="6" t="s">
        <v>714</v>
      </c>
      <c r="B170" s="6" t="s">
        <v>609</v>
      </c>
      <c r="C170" s="6" t="s">
        <v>688</v>
      </c>
      <c r="D170" s="6" t="s">
        <v>715</v>
      </c>
      <c r="E170" s="6" t="s">
        <v>716</v>
      </c>
      <c r="F170" s="6" t="s">
        <v>6</v>
      </c>
      <c r="G170" s="6" t="n">
        <v>10</v>
      </c>
      <c r="H170" s="6" t="n">
        <v>40</v>
      </c>
      <c r="I170" s="7" t="n">
        <v>750</v>
      </c>
      <c r="J170" s="7" t="n">
        <v>1100</v>
      </c>
      <c r="K170" s="7" t="n">
        <f aca="false">J170-I170</f>
        <v>350</v>
      </c>
      <c r="L170" s="8" t="n">
        <f aca="false">IF(J170&gt;0,(J170-I170)/J170,0)</f>
        <v>0.318181818181818</v>
      </c>
      <c r="M170" s="6" t="s">
        <v>691</v>
      </c>
      <c r="N170" s="6" t="s">
        <v>717</v>
      </c>
      <c r="O170" s="6" t="s">
        <v>23</v>
      </c>
    </row>
    <row r="171" customFormat="false" ht="15" hidden="false" customHeight="false" outlineLevel="0" collapsed="false">
      <c r="A171" s="3" t="s">
        <v>718</v>
      </c>
      <c r="B171" s="3" t="s">
        <v>609</v>
      </c>
      <c r="C171" s="3" t="s">
        <v>688</v>
      </c>
      <c r="D171" s="3" t="s">
        <v>719</v>
      </c>
      <c r="E171" s="3" t="s">
        <v>720</v>
      </c>
      <c r="F171" s="3" t="s">
        <v>6</v>
      </c>
      <c r="G171" s="3" t="n">
        <v>15</v>
      </c>
      <c r="H171" s="3" t="n">
        <v>60</v>
      </c>
      <c r="I171" s="4" t="n">
        <v>380</v>
      </c>
      <c r="J171" s="4" t="n">
        <v>540</v>
      </c>
      <c r="K171" s="4" t="n">
        <f aca="false">J171-I171</f>
        <v>160</v>
      </c>
      <c r="L171" s="5" t="n">
        <f aca="false">IF(J171&gt;0,(J171-I171)/J171,0)</f>
        <v>0.296296296296296</v>
      </c>
      <c r="M171" s="3" t="s">
        <v>260</v>
      </c>
      <c r="N171" s="3" t="s">
        <v>721</v>
      </c>
      <c r="O171" s="3" t="s">
        <v>23</v>
      </c>
    </row>
    <row r="172" customFormat="false" ht="15" hidden="false" customHeight="false" outlineLevel="0" collapsed="false">
      <c r="A172" s="6" t="s">
        <v>722</v>
      </c>
      <c r="B172" s="6" t="s">
        <v>609</v>
      </c>
      <c r="C172" s="6" t="s">
        <v>688</v>
      </c>
      <c r="D172" s="6" t="s">
        <v>723</v>
      </c>
      <c r="E172" s="6" t="s">
        <v>724</v>
      </c>
      <c r="F172" s="6" t="s">
        <v>6</v>
      </c>
      <c r="G172" s="6" t="n">
        <v>15</v>
      </c>
      <c r="H172" s="6" t="n">
        <v>60</v>
      </c>
      <c r="I172" s="7" t="n">
        <v>320</v>
      </c>
      <c r="J172" s="7" t="n">
        <v>470</v>
      </c>
      <c r="K172" s="7" t="n">
        <f aca="false">J172-I172</f>
        <v>150</v>
      </c>
      <c r="L172" s="8" t="n">
        <f aca="false">IF(J172&gt;0,(J172-I172)/J172,0)</f>
        <v>0.319148936170213</v>
      </c>
      <c r="M172" s="6" t="s">
        <v>626</v>
      </c>
      <c r="N172" s="6" t="s">
        <v>671</v>
      </c>
      <c r="O172" s="6" t="s">
        <v>23</v>
      </c>
    </row>
    <row r="173" customFormat="false" ht="15" hidden="false" customHeight="false" outlineLevel="0" collapsed="false">
      <c r="A173" s="3" t="s">
        <v>725</v>
      </c>
      <c r="B173" s="3" t="s">
        <v>609</v>
      </c>
      <c r="C173" s="3" t="s">
        <v>688</v>
      </c>
      <c r="D173" s="3" t="s">
        <v>726</v>
      </c>
      <c r="E173" s="3" t="s">
        <v>727</v>
      </c>
      <c r="F173" s="3" t="s">
        <v>6</v>
      </c>
      <c r="G173" s="3" t="n">
        <v>10</v>
      </c>
      <c r="H173" s="3" t="n">
        <v>40</v>
      </c>
      <c r="I173" s="4" t="n">
        <v>550</v>
      </c>
      <c r="J173" s="4" t="n">
        <v>800</v>
      </c>
      <c r="K173" s="4" t="n">
        <f aca="false">J173-I173</f>
        <v>250</v>
      </c>
      <c r="L173" s="5" t="n">
        <f aca="false">IF(J173&gt;0,(J173-I173)/J173,0)</f>
        <v>0.3125</v>
      </c>
      <c r="M173" s="3" t="s">
        <v>728</v>
      </c>
      <c r="N173" s="3" t="s">
        <v>729</v>
      </c>
      <c r="O173" s="3" t="s">
        <v>23</v>
      </c>
    </row>
    <row r="174" customFormat="false" ht="15" hidden="false" customHeight="false" outlineLevel="0" collapsed="false">
      <c r="A174" s="6" t="s">
        <v>730</v>
      </c>
      <c r="B174" s="6" t="s">
        <v>731</v>
      </c>
      <c r="C174" s="6" t="s">
        <v>732</v>
      </c>
      <c r="D174" s="6" t="s">
        <v>733</v>
      </c>
      <c r="E174" s="6" t="s">
        <v>734</v>
      </c>
      <c r="F174" s="6" t="s">
        <v>6</v>
      </c>
      <c r="G174" s="6" t="n">
        <v>10</v>
      </c>
      <c r="H174" s="6" t="n">
        <v>50</v>
      </c>
      <c r="I174" s="7" t="n">
        <v>1100</v>
      </c>
      <c r="J174" s="7" t="n">
        <v>1550</v>
      </c>
      <c r="K174" s="7" t="n">
        <f aca="false">J174-I174</f>
        <v>450</v>
      </c>
      <c r="L174" s="8" t="n">
        <f aca="false">IF(J174&gt;0,(J174-I174)/J174,0)</f>
        <v>0.290322580645161</v>
      </c>
      <c r="M174" s="6" t="s">
        <v>735</v>
      </c>
      <c r="N174" s="6" t="s">
        <v>736</v>
      </c>
      <c r="O174" s="6" t="s">
        <v>23</v>
      </c>
    </row>
    <row r="175" customFormat="false" ht="15" hidden="false" customHeight="false" outlineLevel="0" collapsed="false">
      <c r="A175" s="3" t="s">
        <v>737</v>
      </c>
      <c r="B175" s="3" t="s">
        <v>731</v>
      </c>
      <c r="C175" s="3" t="s">
        <v>732</v>
      </c>
      <c r="D175" s="3" t="s">
        <v>738</v>
      </c>
      <c r="E175" s="3" t="s">
        <v>739</v>
      </c>
      <c r="F175" s="3" t="s">
        <v>6</v>
      </c>
      <c r="G175" s="3" t="n">
        <v>20</v>
      </c>
      <c r="H175" s="3" t="n">
        <v>100</v>
      </c>
      <c r="I175" s="4" t="n">
        <v>180</v>
      </c>
      <c r="J175" s="4" t="n">
        <v>270</v>
      </c>
      <c r="K175" s="4" t="n">
        <f aca="false">J175-I175</f>
        <v>90</v>
      </c>
      <c r="L175" s="5" t="n">
        <f aca="false">IF(J175&gt;0,(J175-I175)/J175,0)</f>
        <v>0.333333333333333</v>
      </c>
      <c r="M175" s="3" t="s">
        <v>740</v>
      </c>
      <c r="N175" s="3" t="s">
        <v>741</v>
      </c>
      <c r="O175" s="3" t="s">
        <v>23</v>
      </c>
    </row>
    <row r="176" customFormat="false" ht="15" hidden="false" customHeight="false" outlineLevel="0" collapsed="false">
      <c r="A176" s="6" t="s">
        <v>742</v>
      </c>
      <c r="B176" s="6" t="s">
        <v>731</v>
      </c>
      <c r="C176" s="6" t="s">
        <v>732</v>
      </c>
      <c r="D176" s="6" t="s">
        <v>743</v>
      </c>
      <c r="E176" s="6" t="s">
        <v>744</v>
      </c>
      <c r="F176" s="6" t="s">
        <v>6</v>
      </c>
      <c r="G176" s="6" t="n">
        <v>15</v>
      </c>
      <c r="H176" s="6" t="n">
        <v>60</v>
      </c>
      <c r="I176" s="7" t="n">
        <v>150</v>
      </c>
      <c r="J176" s="7" t="n">
        <v>225</v>
      </c>
      <c r="K176" s="7" t="n">
        <f aca="false">J176-I176</f>
        <v>75</v>
      </c>
      <c r="L176" s="8" t="n">
        <f aca="false">IF(J176&gt;0,(J176-I176)/J176,0)</f>
        <v>0.333333333333333</v>
      </c>
      <c r="M176" s="6" t="s">
        <v>740</v>
      </c>
      <c r="N176" s="6" t="s">
        <v>741</v>
      </c>
      <c r="O176" s="6" t="s">
        <v>23</v>
      </c>
    </row>
    <row r="177" customFormat="false" ht="15" hidden="false" customHeight="false" outlineLevel="0" collapsed="false">
      <c r="A177" s="3" t="s">
        <v>745</v>
      </c>
      <c r="B177" s="3" t="s">
        <v>731</v>
      </c>
      <c r="C177" s="3" t="s">
        <v>732</v>
      </c>
      <c r="D177" s="3" t="s">
        <v>746</v>
      </c>
      <c r="E177" s="3" t="s">
        <v>747</v>
      </c>
      <c r="F177" s="3" t="s">
        <v>6</v>
      </c>
      <c r="G177" s="3" t="n">
        <v>15</v>
      </c>
      <c r="H177" s="3" t="n">
        <v>60</v>
      </c>
      <c r="I177" s="4" t="n">
        <v>180</v>
      </c>
      <c r="J177" s="4" t="n">
        <v>270</v>
      </c>
      <c r="K177" s="4" t="n">
        <f aca="false">J177-I177</f>
        <v>90</v>
      </c>
      <c r="L177" s="5" t="n">
        <f aca="false">IF(J177&gt;0,(J177-I177)/J177,0)</f>
        <v>0.333333333333333</v>
      </c>
      <c r="M177" s="3" t="s">
        <v>740</v>
      </c>
      <c r="N177" s="3" t="s">
        <v>741</v>
      </c>
      <c r="O177" s="3" t="s">
        <v>23</v>
      </c>
    </row>
    <row r="178" customFormat="false" ht="15" hidden="false" customHeight="false" outlineLevel="0" collapsed="false">
      <c r="A178" s="6" t="s">
        <v>748</v>
      </c>
      <c r="B178" s="6" t="s">
        <v>731</v>
      </c>
      <c r="C178" s="6" t="s">
        <v>732</v>
      </c>
      <c r="D178" s="6" t="s">
        <v>749</v>
      </c>
      <c r="E178" s="6" t="s">
        <v>750</v>
      </c>
      <c r="F178" s="6" t="s">
        <v>6</v>
      </c>
      <c r="G178" s="6" t="n">
        <v>10</v>
      </c>
      <c r="H178" s="6" t="n">
        <v>40</v>
      </c>
      <c r="I178" s="7" t="n">
        <v>380</v>
      </c>
      <c r="J178" s="7" t="n">
        <v>550</v>
      </c>
      <c r="K178" s="7" t="n">
        <f aca="false">J178-I178</f>
        <v>170</v>
      </c>
      <c r="L178" s="8" t="n">
        <f aca="false">IF(J178&gt;0,(J178-I178)/J178,0)</f>
        <v>0.309090909090909</v>
      </c>
      <c r="M178" s="6" t="s">
        <v>740</v>
      </c>
      <c r="N178" s="6" t="s">
        <v>741</v>
      </c>
      <c r="O178" s="6" t="s">
        <v>23</v>
      </c>
    </row>
    <row r="179" customFormat="false" ht="15" hidden="false" customHeight="false" outlineLevel="0" collapsed="false">
      <c r="A179" s="3" t="s">
        <v>751</v>
      </c>
      <c r="B179" s="3" t="s">
        <v>731</v>
      </c>
      <c r="C179" s="3" t="s">
        <v>732</v>
      </c>
      <c r="D179" s="3" t="s">
        <v>752</v>
      </c>
      <c r="E179" s="3" t="s">
        <v>753</v>
      </c>
      <c r="F179" s="3" t="s">
        <v>6</v>
      </c>
      <c r="G179" s="3" t="n">
        <v>20</v>
      </c>
      <c r="H179" s="3" t="n">
        <v>80</v>
      </c>
      <c r="I179" s="4" t="n">
        <v>120</v>
      </c>
      <c r="J179" s="4" t="n">
        <v>185</v>
      </c>
      <c r="K179" s="4" t="n">
        <f aca="false">J179-I179</f>
        <v>65</v>
      </c>
      <c r="L179" s="5" t="n">
        <f aca="false">IF(J179&gt;0,(J179-I179)/J179,0)</f>
        <v>0.351351351351351</v>
      </c>
      <c r="M179" s="3" t="s">
        <v>603</v>
      </c>
      <c r="N179" s="3" t="s">
        <v>604</v>
      </c>
      <c r="O179" s="3" t="s">
        <v>23</v>
      </c>
    </row>
    <row r="180" customFormat="false" ht="15" hidden="false" customHeight="false" outlineLevel="0" collapsed="false">
      <c r="A180" s="6" t="s">
        <v>754</v>
      </c>
      <c r="B180" s="6" t="s">
        <v>731</v>
      </c>
      <c r="C180" s="6" t="s">
        <v>732</v>
      </c>
      <c r="D180" s="6" t="s">
        <v>755</v>
      </c>
      <c r="E180" s="6" t="s">
        <v>756</v>
      </c>
      <c r="F180" s="6" t="s">
        <v>6</v>
      </c>
      <c r="G180" s="6" t="n">
        <v>10</v>
      </c>
      <c r="H180" s="6" t="n">
        <v>40</v>
      </c>
      <c r="I180" s="7" t="n">
        <v>320</v>
      </c>
      <c r="J180" s="7" t="n">
        <v>480</v>
      </c>
      <c r="K180" s="7" t="n">
        <f aca="false">J180-I180</f>
        <v>160</v>
      </c>
      <c r="L180" s="8" t="n">
        <f aca="false">IF(J180&gt;0,(J180-I180)/J180,0)</f>
        <v>0.333333333333333</v>
      </c>
      <c r="M180" s="6" t="s">
        <v>740</v>
      </c>
      <c r="N180" s="6" t="s">
        <v>741</v>
      </c>
      <c r="O180" s="6" t="s">
        <v>23</v>
      </c>
    </row>
    <row r="181" customFormat="false" ht="15" hidden="false" customHeight="false" outlineLevel="0" collapsed="false">
      <c r="A181" s="3" t="s">
        <v>757</v>
      </c>
      <c r="B181" s="3" t="s">
        <v>731</v>
      </c>
      <c r="C181" s="3" t="s">
        <v>758</v>
      </c>
      <c r="D181" s="3" t="s">
        <v>759</v>
      </c>
      <c r="E181" s="3" t="s">
        <v>760</v>
      </c>
      <c r="F181" s="3" t="s">
        <v>6</v>
      </c>
      <c r="G181" s="3" t="n">
        <v>10</v>
      </c>
      <c r="H181" s="3" t="n">
        <v>50</v>
      </c>
      <c r="I181" s="4" t="n">
        <v>120</v>
      </c>
      <c r="J181" s="4" t="n">
        <v>185</v>
      </c>
      <c r="K181" s="4" t="n">
        <f aca="false">J181-I181</f>
        <v>65</v>
      </c>
      <c r="L181" s="5" t="n">
        <f aca="false">IF(J181&gt;0,(J181-I181)/J181,0)</f>
        <v>0.351351351351351</v>
      </c>
      <c r="M181" s="3" t="s">
        <v>761</v>
      </c>
      <c r="N181" s="3" t="s">
        <v>761</v>
      </c>
      <c r="O181" s="3" t="s">
        <v>23</v>
      </c>
    </row>
    <row r="182" customFormat="false" ht="15" hidden="false" customHeight="false" outlineLevel="0" collapsed="false">
      <c r="A182" s="6" t="s">
        <v>762</v>
      </c>
      <c r="B182" s="6" t="s">
        <v>731</v>
      </c>
      <c r="C182" s="6" t="s">
        <v>758</v>
      </c>
      <c r="D182" s="6" t="s">
        <v>763</v>
      </c>
      <c r="E182" s="6" t="s">
        <v>764</v>
      </c>
      <c r="F182" s="6" t="s">
        <v>6</v>
      </c>
      <c r="G182" s="6" t="n">
        <v>20</v>
      </c>
      <c r="H182" s="6" t="n">
        <v>100</v>
      </c>
      <c r="I182" s="7" t="n">
        <v>45</v>
      </c>
      <c r="J182" s="7" t="n">
        <v>72</v>
      </c>
      <c r="K182" s="7" t="n">
        <f aca="false">J182-I182</f>
        <v>27</v>
      </c>
      <c r="L182" s="8" t="n">
        <f aca="false">IF(J182&gt;0,(J182-I182)/J182,0)</f>
        <v>0.375</v>
      </c>
      <c r="M182" s="6" t="s">
        <v>765</v>
      </c>
      <c r="N182" s="6" t="s">
        <v>765</v>
      </c>
      <c r="O182" s="6" t="s">
        <v>23</v>
      </c>
    </row>
    <row r="183" customFormat="false" ht="15" hidden="false" customHeight="false" outlineLevel="0" collapsed="false">
      <c r="A183" s="3" t="s">
        <v>766</v>
      </c>
      <c r="B183" s="3" t="s">
        <v>731</v>
      </c>
      <c r="C183" s="3" t="s">
        <v>758</v>
      </c>
      <c r="D183" s="3" t="s">
        <v>767</v>
      </c>
      <c r="E183" s="3" t="s">
        <v>768</v>
      </c>
      <c r="F183" s="3" t="s">
        <v>6</v>
      </c>
      <c r="G183" s="3" t="n">
        <v>5</v>
      </c>
      <c r="H183" s="3" t="n">
        <v>20</v>
      </c>
      <c r="I183" s="4" t="n">
        <v>1500</v>
      </c>
      <c r="J183" s="4" t="n">
        <v>2400</v>
      </c>
      <c r="K183" s="4" t="n">
        <f aca="false">J183-I183</f>
        <v>900</v>
      </c>
      <c r="L183" s="5" t="n">
        <f aca="false">IF(J183&gt;0,(J183-I183)/J183,0)</f>
        <v>0.375</v>
      </c>
      <c r="M183" s="3" t="s">
        <v>769</v>
      </c>
      <c r="N183" s="3" t="s">
        <v>769</v>
      </c>
      <c r="O183" s="3" t="s">
        <v>23</v>
      </c>
    </row>
    <row r="184" customFormat="false" ht="15" hidden="false" customHeight="false" outlineLevel="0" collapsed="false">
      <c r="A184" s="6" t="s">
        <v>770</v>
      </c>
      <c r="B184" s="6" t="s">
        <v>731</v>
      </c>
      <c r="C184" s="6" t="s">
        <v>758</v>
      </c>
      <c r="D184" s="6" t="s">
        <v>771</v>
      </c>
      <c r="E184" s="6" t="s">
        <v>772</v>
      </c>
      <c r="F184" s="6" t="s">
        <v>6</v>
      </c>
      <c r="G184" s="6" t="n">
        <v>10</v>
      </c>
      <c r="H184" s="6" t="n">
        <v>40</v>
      </c>
      <c r="I184" s="7" t="n">
        <v>350</v>
      </c>
      <c r="J184" s="7" t="n">
        <v>540</v>
      </c>
      <c r="K184" s="7" t="n">
        <f aca="false">J184-I184</f>
        <v>190</v>
      </c>
      <c r="L184" s="8" t="n">
        <f aca="false">IF(J184&gt;0,(J184-I184)/J184,0)</f>
        <v>0.351851851851852</v>
      </c>
      <c r="M184" s="6" t="s">
        <v>765</v>
      </c>
      <c r="N184" s="6" t="s">
        <v>765</v>
      </c>
      <c r="O184" s="6" t="s">
        <v>23</v>
      </c>
    </row>
    <row r="185" customFormat="false" ht="15" hidden="false" customHeight="false" outlineLevel="0" collapsed="false">
      <c r="A185" s="3" t="s">
        <v>773</v>
      </c>
      <c r="B185" s="3" t="s">
        <v>731</v>
      </c>
      <c r="C185" s="3" t="s">
        <v>758</v>
      </c>
      <c r="D185" s="3" t="s">
        <v>774</v>
      </c>
      <c r="E185" s="3" t="s">
        <v>775</v>
      </c>
      <c r="F185" s="3" t="s">
        <v>6</v>
      </c>
      <c r="G185" s="3" t="n">
        <v>15</v>
      </c>
      <c r="H185" s="3" t="n">
        <v>60</v>
      </c>
      <c r="I185" s="4" t="n">
        <v>280</v>
      </c>
      <c r="J185" s="4" t="n">
        <v>430</v>
      </c>
      <c r="K185" s="4" t="n">
        <f aca="false">J185-I185</f>
        <v>150</v>
      </c>
      <c r="L185" s="5" t="n">
        <f aca="false">IF(J185&gt;0,(J185-I185)/J185,0)</f>
        <v>0.348837209302326</v>
      </c>
      <c r="M185" s="3" t="s">
        <v>776</v>
      </c>
      <c r="N185" s="3" t="s">
        <v>776</v>
      </c>
      <c r="O185" s="3" t="s">
        <v>23</v>
      </c>
    </row>
    <row r="186" customFormat="false" ht="15" hidden="false" customHeight="false" outlineLevel="0" collapsed="false">
      <c r="A186" s="6" t="s">
        <v>777</v>
      </c>
      <c r="B186" s="6" t="s">
        <v>731</v>
      </c>
      <c r="C186" s="6" t="s">
        <v>758</v>
      </c>
      <c r="D186" s="6" t="s">
        <v>778</v>
      </c>
      <c r="E186" s="6" t="s">
        <v>779</v>
      </c>
      <c r="F186" s="6" t="s">
        <v>6</v>
      </c>
      <c r="G186" s="6" t="n">
        <v>20</v>
      </c>
      <c r="H186" s="6" t="n">
        <v>80</v>
      </c>
      <c r="I186" s="7" t="n">
        <v>180</v>
      </c>
      <c r="J186" s="7" t="n">
        <v>280</v>
      </c>
      <c r="K186" s="7" t="n">
        <f aca="false">J186-I186</f>
        <v>100</v>
      </c>
      <c r="L186" s="8" t="n">
        <f aca="false">IF(J186&gt;0,(J186-I186)/J186,0)</f>
        <v>0.357142857142857</v>
      </c>
      <c r="M186" s="6" t="s">
        <v>780</v>
      </c>
      <c r="N186" s="6" t="s">
        <v>776</v>
      </c>
      <c r="O186" s="6" t="s">
        <v>23</v>
      </c>
    </row>
    <row r="187" customFormat="false" ht="15" hidden="false" customHeight="false" outlineLevel="0" collapsed="false">
      <c r="A187" s="3" t="s">
        <v>781</v>
      </c>
      <c r="B187" s="3" t="s">
        <v>731</v>
      </c>
      <c r="C187" s="3" t="s">
        <v>758</v>
      </c>
      <c r="D187" s="3" t="s">
        <v>782</v>
      </c>
      <c r="E187" s="3" t="s">
        <v>783</v>
      </c>
      <c r="F187" s="3" t="s">
        <v>6</v>
      </c>
      <c r="G187" s="3" t="n">
        <v>30</v>
      </c>
      <c r="H187" s="3" t="n">
        <v>100</v>
      </c>
      <c r="I187" s="4" t="n">
        <v>50</v>
      </c>
      <c r="J187" s="4" t="n">
        <v>80</v>
      </c>
      <c r="K187" s="4" t="n">
        <f aca="false">J187-I187</f>
        <v>30</v>
      </c>
      <c r="L187" s="5" t="n">
        <f aca="false">IF(J187&gt;0,(J187-I187)/J187,0)</f>
        <v>0.375</v>
      </c>
      <c r="M187" s="3" t="s">
        <v>776</v>
      </c>
      <c r="N187" s="3" t="s">
        <v>776</v>
      </c>
      <c r="O187" s="3" t="s">
        <v>23</v>
      </c>
    </row>
    <row r="188" customFormat="false" ht="15" hidden="false" customHeight="false" outlineLevel="0" collapsed="false">
      <c r="A188" s="6" t="s">
        <v>784</v>
      </c>
      <c r="B188" s="6" t="s">
        <v>731</v>
      </c>
      <c r="C188" s="6" t="s">
        <v>785</v>
      </c>
      <c r="D188" s="6" t="s">
        <v>786</v>
      </c>
      <c r="E188" s="6" t="s">
        <v>787</v>
      </c>
      <c r="F188" s="6" t="s">
        <v>6</v>
      </c>
      <c r="G188" s="6" t="n">
        <v>5</v>
      </c>
      <c r="H188" s="6" t="n">
        <v>20</v>
      </c>
      <c r="I188" s="7" t="n">
        <v>650</v>
      </c>
      <c r="J188" s="7" t="n">
        <v>980</v>
      </c>
      <c r="K188" s="7" t="n">
        <f aca="false">J188-I188</f>
        <v>330</v>
      </c>
      <c r="L188" s="8" t="n">
        <f aca="false">IF(J188&gt;0,(J188-I188)/J188,0)</f>
        <v>0.336734693877551</v>
      </c>
      <c r="M188" s="6" t="s">
        <v>788</v>
      </c>
      <c r="N188" s="6" t="s">
        <v>788</v>
      </c>
      <c r="O188" s="6" t="s">
        <v>23</v>
      </c>
    </row>
    <row r="189" customFormat="false" ht="15" hidden="false" customHeight="false" outlineLevel="0" collapsed="false">
      <c r="A189" s="3" t="s">
        <v>789</v>
      </c>
      <c r="B189" s="3" t="s">
        <v>731</v>
      </c>
      <c r="C189" s="3" t="s">
        <v>785</v>
      </c>
      <c r="D189" s="3" t="s">
        <v>790</v>
      </c>
      <c r="E189" s="3" t="s">
        <v>791</v>
      </c>
      <c r="F189" s="3" t="s">
        <v>6</v>
      </c>
      <c r="G189" s="3" t="n">
        <v>10</v>
      </c>
      <c r="H189" s="3" t="n">
        <v>50</v>
      </c>
      <c r="I189" s="4" t="n">
        <v>120</v>
      </c>
      <c r="J189" s="4" t="n">
        <v>190</v>
      </c>
      <c r="K189" s="4" t="n">
        <f aca="false">J189-I189</f>
        <v>70</v>
      </c>
      <c r="L189" s="5" t="n">
        <f aca="false">IF(J189&gt;0,(J189-I189)/J189,0)</f>
        <v>0.368421052631579</v>
      </c>
      <c r="M189" s="3" t="s">
        <v>788</v>
      </c>
      <c r="N189" s="3" t="s">
        <v>788</v>
      </c>
      <c r="O189" s="3" t="s">
        <v>23</v>
      </c>
    </row>
    <row r="190" customFormat="false" ht="15" hidden="false" customHeight="false" outlineLevel="0" collapsed="false">
      <c r="A190" s="6" t="s">
        <v>792</v>
      </c>
      <c r="B190" s="6" t="s">
        <v>731</v>
      </c>
      <c r="C190" s="6" t="s">
        <v>785</v>
      </c>
      <c r="D190" s="6" t="s">
        <v>793</v>
      </c>
      <c r="E190" s="6" t="s">
        <v>794</v>
      </c>
      <c r="F190" s="6" t="s">
        <v>6</v>
      </c>
      <c r="G190" s="6" t="n">
        <v>5</v>
      </c>
      <c r="H190" s="6" t="n">
        <v>20</v>
      </c>
      <c r="I190" s="7" t="n">
        <v>550</v>
      </c>
      <c r="J190" s="7" t="n">
        <v>830</v>
      </c>
      <c r="K190" s="7" t="n">
        <f aca="false">J190-I190</f>
        <v>280</v>
      </c>
      <c r="L190" s="8" t="n">
        <f aca="false">IF(J190&gt;0,(J190-I190)/J190,0)</f>
        <v>0.337349397590361</v>
      </c>
      <c r="M190" s="6" t="s">
        <v>788</v>
      </c>
      <c r="N190" s="6" t="s">
        <v>788</v>
      </c>
      <c r="O190" s="6" t="s">
        <v>23</v>
      </c>
    </row>
    <row r="191" customFormat="false" ht="15" hidden="false" customHeight="false" outlineLevel="0" collapsed="false">
      <c r="A191" s="3" t="s">
        <v>795</v>
      </c>
      <c r="B191" s="3" t="s">
        <v>731</v>
      </c>
      <c r="C191" s="3" t="s">
        <v>785</v>
      </c>
      <c r="D191" s="3" t="s">
        <v>796</v>
      </c>
      <c r="E191" s="3" t="s">
        <v>797</v>
      </c>
      <c r="F191" s="3" t="s">
        <v>6</v>
      </c>
      <c r="G191" s="3" t="n">
        <v>10</v>
      </c>
      <c r="H191" s="3" t="n">
        <v>40</v>
      </c>
      <c r="I191" s="4" t="n">
        <v>280</v>
      </c>
      <c r="J191" s="4" t="n">
        <v>430</v>
      </c>
      <c r="K191" s="4" t="n">
        <f aca="false">J191-I191</f>
        <v>150</v>
      </c>
      <c r="L191" s="5" t="n">
        <f aca="false">IF(J191&gt;0,(J191-I191)/J191,0)</f>
        <v>0.348837209302326</v>
      </c>
      <c r="M191" s="3" t="s">
        <v>798</v>
      </c>
      <c r="N191" s="3" t="s">
        <v>798</v>
      </c>
      <c r="O191" s="3" t="s">
        <v>23</v>
      </c>
    </row>
    <row r="192" customFormat="false" ht="15" hidden="false" customHeight="false" outlineLevel="0" collapsed="false">
      <c r="A192" s="6" t="s">
        <v>799</v>
      </c>
      <c r="B192" s="6" t="s">
        <v>731</v>
      </c>
      <c r="C192" s="6" t="s">
        <v>785</v>
      </c>
      <c r="D192" s="6" t="s">
        <v>800</v>
      </c>
      <c r="E192" s="6" t="s">
        <v>801</v>
      </c>
      <c r="F192" s="6" t="s">
        <v>6</v>
      </c>
      <c r="G192" s="6" t="n">
        <v>10</v>
      </c>
      <c r="H192" s="6" t="n">
        <v>40</v>
      </c>
      <c r="I192" s="7" t="n">
        <v>380</v>
      </c>
      <c r="J192" s="7" t="n">
        <v>580</v>
      </c>
      <c r="K192" s="7" t="n">
        <f aca="false">J192-I192</f>
        <v>200</v>
      </c>
      <c r="L192" s="8" t="n">
        <f aca="false">IF(J192&gt;0,(J192-I192)/J192,0)</f>
        <v>0.344827586206897</v>
      </c>
      <c r="M192" s="6" t="s">
        <v>603</v>
      </c>
      <c r="N192" s="6" t="s">
        <v>604</v>
      </c>
      <c r="O192" s="6" t="s">
        <v>23</v>
      </c>
    </row>
    <row r="193" customFormat="false" ht="15" hidden="false" customHeight="false" outlineLevel="0" collapsed="false">
      <c r="A193" s="3" t="s">
        <v>802</v>
      </c>
      <c r="B193" s="3" t="s">
        <v>731</v>
      </c>
      <c r="C193" s="3" t="s">
        <v>785</v>
      </c>
      <c r="D193" s="3" t="s">
        <v>803</v>
      </c>
      <c r="E193" s="3" t="s">
        <v>804</v>
      </c>
      <c r="F193" s="3" t="s">
        <v>6</v>
      </c>
      <c r="G193" s="3" t="n">
        <v>20</v>
      </c>
      <c r="H193" s="3" t="n">
        <v>100</v>
      </c>
      <c r="I193" s="4" t="n">
        <v>85</v>
      </c>
      <c r="J193" s="4" t="n">
        <v>135</v>
      </c>
      <c r="K193" s="4" t="n">
        <f aca="false">J193-I193</f>
        <v>50</v>
      </c>
      <c r="L193" s="5" t="n">
        <f aca="false">IF(J193&gt;0,(J193-I193)/J193,0)</f>
        <v>0.37037037037037</v>
      </c>
      <c r="M193" s="3" t="s">
        <v>740</v>
      </c>
      <c r="N193" s="3" t="s">
        <v>741</v>
      </c>
      <c r="O193" s="3" t="s">
        <v>23</v>
      </c>
    </row>
    <row r="194" customFormat="false" ht="15" hidden="false" customHeight="false" outlineLevel="0" collapsed="false">
      <c r="A194" s="6" t="s">
        <v>805</v>
      </c>
      <c r="B194" s="6" t="s">
        <v>731</v>
      </c>
      <c r="C194" s="6" t="s">
        <v>785</v>
      </c>
      <c r="D194" s="6" t="s">
        <v>806</v>
      </c>
      <c r="E194" s="6" t="s">
        <v>807</v>
      </c>
      <c r="F194" s="6" t="s">
        <v>6</v>
      </c>
      <c r="G194" s="6" t="n">
        <v>10</v>
      </c>
      <c r="H194" s="6" t="n">
        <v>50</v>
      </c>
      <c r="I194" s="7" t="n">
        <v>120</v>
      </c>
      <c r="J194" s="7" t="n">
        <v>185</v>
      </c>
      <c r="K194" s="7" t="n">
        <f aca="false">J194-I194</f>
        <v>65</v>
      </c>
      <c r="L194" s="8" t="n">
        <f aca="false">IF(J194&gt;0,(J194-I194)/J194,0)</f>
        <v>0.351351351351351</v>
      </c>
      <c r="M194" s="6" t="s">
        <v>488</v>
      </c>
      <c r="N194" s="6" t="s">
        <v>488</v>
      </c>
      <c r="O194" s="6" t="s">
        <v>23</v>
      </c>
    </row>
    <row r="195" customFormat="false" ht="15" hidden="false" customHeight="false" outlineLevel="0" collapsed="false">
      <c r="A195" s="3" t="s">
        <v>808</v>
      </c>
      <c r="B195" s="3" t="s">
        <v>731</v>
      </c>
      <c r="C195" s="3" t="s">
        <v>785</v>
      </c>
      <c r="D195" s="3" t="s">
        <v>809</v>
      </c>
      <c r="E195" s="3" t="s">
        <v>810</v>
      </c>
      <c r="F195" s="3" t="s">
        <v>6</v>
      </c>
      <c r="G195" s="3" t="n">
        <v>15</v>
      </c>
      <c r="H195" s="3" t="n">
        <v>60</v>
      </c>
      <c r="I195" s="4" t="n">
        <v>250</v>
      </c>
      <c r="J195" s="4" t="n">
        <v>390</v>
      </c>
      <c r="K195" s="4" t="n">
        <f aca="false">J195-I195</f>
        <v>140</v>
      </c>
      <c r="L195" s="5" t="n">
        <f aca="false">IF(J195&gt;0,(J195-I195)/J195,0)</f>
        <v>0.358974358974359</v>
      </c>
      <c r="M195" s="3" t="s">
        <v>765</v>
      </c>
      <c r="N195" s="3" t="s">
        <v>765</v>
      </c>
      <c r="O195" s="3" t="s">
        <v>23</v>
      </c>
    </row>
    <row r="196" customFormat="false" ht="15" hidden="false" customHeight="false" outlineLevel="0" collapsed="false">
      <c r="A196" s="6" t="s">
        <v>811</v>
      </c>
      <c r="B196" s="6" t="s">
        <v>731</v>
      </c>
      <c r="C196" s="6" t="s">
        <v>785</v>
      </c>
      <c r="D196" s="6" t="s">
        <v>812</v>
      </c>
      <c r="E196" s="6" t="s">
        <v>813</v>
      </c>
      <c r="F196" s="6" t="s">
        <v>6</v>
      </c>
      <c r="G196" s="6" t="n">
        <v>5</v>
      </c>
      <c r="H196" s="6" t="n">
        <v>20</v>
      </c>
      <c r="I196" s="7" t="n">
        <v>1800</v>
      </c>
      <c r="J196" s="7" t="n">
        <v>2700</v>
      </c>
      <c r="K196" s="7" t="n">
        <f aca="false">J196-I196</f>
        <v>900</v>
      </c>
      <c r="L196" s="8" t="n">
        <f aca="false">IF(J196&gt;0,(J196-I196)/J196,0)</f>
        <v>0.333333333333333</v>
      </c>
      <c r="M196" s="6" t="s">
        <v>814</v>
      </c>
      <c r="N196" s="6" t="s">
        <v>814</v>
      </c>
      <c r="O196" s="6" t="s">
        <v>23</v>
      </c>
    </row>
    <row r="197" customFormat="false" ht="15" hidden="false" customHeight="false" outlineLevel="0" collapsed="false">
      <c r="A197" s="3" t="s">
        <v>815</v>
      </c>
      <c r="B197" s="3" t="s">
        <v>816</v>
      </c>
      <c r="C197" s="3" t="s">
        <v>817</v>
      </c>
      <c r="D197" s="3" t="s">
        <v>818</v>
      </c>
      <c r="E197" s="3" t="s">
        <v>819</v>
      </c>
      <c r="F197" s="3" t="s">
        <v>6</v>
      </c>
      <c r="G197" s="3" t="n">
        <v>5</v>
      </c>
      <c r="H197" s="3" t="n">
        <v>20</v>
      </c>
      <c r="I197" s="4" t="n">
        <v>3500</v>
      </c>
      <c r="J197" s="4" t="n">
        <v>4800</v>
      </c>
      <c r="K197" s="4" t="n">
        <f aca="false">J197-I197</f>
        <v>1300</v>
      </c>
      <c r="L197" s="5" t="n">
        <f aca="false">IF(J197&gt;0,(J197-I197)/J197,0)</f>
        <v>0.270833333333333</v>
      </c>
      <c r="M197" s="3" t="s">
        <v>820</v>
      </c>
      <c r="N197" s="3" t="s">
        <v>821</v>
      </c>
      <c r="O197" s="3" t="s">
        <v>23</v>
      </c>
    </row>
    <row r="198" customFormat="false" ht="15" hidden="false" customHeight="false" outlineLevel="0" collapsed="false">
      <c r="A198" s="6" t="s">
        <v>822</v>
      </c>
      <c r="B198" s="6" t="s">
        <v>816</v>
      </c>
      <c r="C198" s="6" t="s">
        <v>817</v>
      </c>
      <c r="D198" s="6" t="s">
        <v>823</v>
      </c>
      <c r="E198" s="6" t="s">
        <v>824</v>
      </c>
      <c r="F198" s="6" t="s">
        <v>6</v>
      </c>
      <c r="G198" s="6" t="n">
        <v>5</v>
      </c>
      <c r="H198" s="6" t="n">
        <v>20</v>
      </c>
      <c r="I198" s="7" t="n">
        <v>3200</v>
      </c>
      <c r="J198" s="7" t="n">
        <v>4500</v>
      </c>
      <c r="K198" s="7" t="n">
        <f aca="false">J198-I198</f>
        <v>1300</v>
      </c>
      <c r="L198" s="8" t="n">
        <f aca="false">IF(J198&gt;0,(J198-I198)/J198,0)</f>
        <v>0.288888888888889</v>
      </c>
      <c r="M198" s="6" t="s">
        <v>825</v>
      </c>
      <c r="N198" s="6" t="s">
        <v>826</v>
      </c>
      <c r="O198" s="6" t="s">
        <v>23</v>
      </c>
    </row>
    <row r="199" customFormat="false" ht="15" hidden="false" customHeight="false" outlineLevel="0" collapsed="false">
      <c r="A199" s="3" t="s">
        <v>827</v>
      </c>
      <c r="B199" s="3" t="s">
        <v>816</v>
      </c>
      <c r="C199" s="3" t="s">
        <v>817</v>
      </c>
      <c r="D199" s="3" t="s">
        <v>828</v>
      </c>
      <c r="E199" s="3" t="s">
        <v>829</v>
      </c>
      <c r="F199" s="3" t="s">
        <v>6</v>
      </c>
      <c r="G199" s="3" t="n">
        <v>5</v>
      </c>
      <c r="H199" s="3" t="n">
        <v>20</v>
      </c>
      <c r="I199" s="4" t="n">
        <v>3300</v>
      </c>
      <c r="J199" s="4" t="n">
        <v>4600</v>
      </c>
      <c r="K199" s="4" t="n">
        <f aca="false">J199-I199</f>
        <v>1300</v>
      </c>
      <c r="L199" s="5" t="n">
        <f aca="false">IF(J199&gt;0,(J199-I199)/J199,0)</f>
        <v>0.282608695652174</v>
      </c>
      <c r="M199" s="3" t="s">
        <v>830</v>
      </c>
      <c r="N199" s="3" t="s">
        <v>831</v>
      </c>
      <c r="O199" s="3" t="s">
        <v>23</v>
      </c>
    </row>
    <row r="200" customFormat="false" ht="15" hidden="false" customHeight="false" outlineLevel="0" collapsed="false">
      <c r="A200" s="6" t="s">
        <v>832</v>
      </c>
      <c r="B200" s="6" t="s">
        <v>816</v>
      </c>
      <c r="C200" s="6" t="s">
        <v>817</v>
      </c>
      <c r="D200" s="6" t="s">
        <v>833</v>
      </c>
      <c r="E200" s="6" t="s">
        <v>834</v>
      </c>
      <c r="F200" s="6" t="s">
        <v>6</v>
      </c>
      <c r="G200" s="6" t="n">
        <v>5</v>
      </c>
      <c r="H200" s="6" t="n">
        <v>20</v>
      </c>
      <c r="I200" s="7" t="n">
        <v>1200</v>
      </c>
      <c r="J200" s="7" t="n">
        <v>1750</v>
      </c>
      <c r="K200" s="7" t="n">
        <f aca="false">J200-I200</f>
        <v>550</v>
      </c>
      <c r="L200" s="8" t="n">
        <f aca="false">IF(J200&gt;0,(J200-I200)/J200,0)</f>
        <v>0.314285714285714</v>
      </c>
      <c r="M200" s="6" t="s">
        <v>835</v>
      </c>
      <c r="N200" s="6" t="s">
        <v>836</v>
      </c>
      <c r="O200" s="6" t="s">
        <v>23</v>
      </c>
    </row>
    <row r="201" customFormat="false" ht="15" hidden="false" customHeight="false" outlineLevel="0" collapsed="false">
      <c r="A201" s="3" t="s">
        <v>837</v>
      </c>
      <c r="B201" s="3" t="s">
        <v>816</v>
      </c>
      <c r="C201" s="3" t="s">
        <v>817</v>
      </c>
      <c r="D201" s="3" t="s">
        <v>838</v>
      </c>
      <c r="E201" s="3" t="s">
        <v>839</v>
      </c>
      <c r="F201" s="3" t="s">
        <v>6</v>
      </c>
      <c r="G201" s="3" t="n">
        <v>10</v>
      </c>
      <c r="H201" s="3" t="n">
        <v>40</v>
      </c>
      <c r="I201" s="4" t="n">
        <v>550</v>
      </c>
      <c r="J201" s="4" t="n">
        <v>800</v>
      </c>
      <c r="K201" s="4" t="n">
        <f aca="false">J201-I201</f>
        <v>250</v>
      </c>
      <c r="L201" s="5" t="n">
        <f aca="false">IF(J201&gt;0,(J201-I201)/J201,0)</f>
        <v>0.3125</v>
      </c>
      <c r="M201" s="3" t="s">
        <v>586</v>
      </c>
      <c r="N201" s="3" t="s">
        <v>587</v>
      </c>
      <c r="O201" s="3" t="s">
        <v>23</v>
      </c>
    </row>
    <row r="202" customFormat="false" ht="15" hidden="false" customHeight="false" outlineLevel="0" collapsed="false">
      <c r="A202" s="6" t="s">
        <v>840</v>
      </c>
      <c r="B202" s="6" t="s">
        <v>816</v>
      </c>
      <c r="C202" s="6" t="s">
        <v>817</v>
      </c>
      <c r="D202" s="6" t="s">
        <v>841</v>
      </c>
      <c r="E202" s="6" t="s">
        <v>842</v>
      </c>
      <c r="F202" s="6" t="s">
        <v>6</v>
      </c>
      <c r="G202" s="6" t="n">
        <v>10</v>
      </c>
      <c r="H202" s="6" t="n">
        <v>40</v>
      </c>
      <c r="I202" s="7" t="n">
        <v>650</v>
      </c>
      <c r="J202" s="7" t="n">
        <v>950</v>
      </c>
      <c r="K202" s="7" t="n">
        <f aca="false">J202-I202</f>
        <v>300</v>
      </c>
      <c r="L202" s="8" t="n">
        <f aca="false">IF(J202&gt;0,(J202-I202)/J202,0)</f>
        <v>0.315789473684211</v>
      </c>
      <c r="M202" s="6" t="s">
        <v>843</v>
      </c>
      <c r="N202" s="6" t="s">
        <v>488</v>
      </c>
      <c r="O202" s="6" t="s">
        <v>23</v>
      </c>
    </row>
    <row r="203" customFormat="false" ht="15" hidden="false" customHeight="false" outlineLevel="0" collapsed="false">
      <c r="A203" s="3" t="s">
        <v>844</v>
      </c>
      <c r="B203" s="3" t="s">
        <v>816</v>
      </c>
      <c r="C203" s="3" t="s">
        <v>817</v>
      </c>
      <c r="D203" s="3" t="s">
        <v>845</v>
      </c>
      <c r="E203" s="3" t="s">
        <v>846</v>
      </c>
      <c r="F203" s="3" t="s">
        <v>6</v>
      </c>
      <c r="G203" s="3" t="n">
        <v>10</v>
      </c>
      <c r="H203" s="3" t="n">
        <v>40</v>
      </c>
      <c r="I203" s="4" t="n">
        <v>380</v>
      </c>
      <c r="J203" s="4" t="n">
        <v>560</v>
      </c>
      <c r="K203" s="4" t="n">
        <f aca="false">J203-I203</f>
        <v>180</v>
      </c>
      <c r="L203" s="5" t="n">
        <f aca="false">IF(J203&gt;0,(J203-I203)/J203,0)</f>
        <v>0.321428571428571</v>
      </c>
      <c r="M203" s="3" t="s">
        <v>830</v>
      </c>
      <c r="N203" s="3" t="s">
        <v>831</v>
      </c>
      <c r="O203" s="3" t="s">
        <v>23</v>
      </c>
    </row>
    <row r="204" customFormat="false" ht="15" hidden="false" customHeight="false" outlineLevel="0" collapsed="false">
      <c r="A204" s="6" t="s">
        <v>847</v>
      </c>
      <c r="B204" s="6" t="s">
        <v>816</v>
      </c>
      <c r="C204" s="6" t="s">
        <v>817</v>
      </c>
      <c r="D204" s="6" t="s">
        <v>848</v>
      </c>
      <c r="E204" s="6" t="s">
        <v>849</v>
      </c>
      <c r="F204" s="6" t="s">
        <v>6</v>
      </c>
      <c r="G204" s="6" t="n">
        <v>10</v>
      </c>
      <c r="H204" s="6" t="n">
        <v>40</v>
      </c>
      <c r="I204" s="7" t="n">
        <v>320</v>
      </c>
      <c r="J204" s="7" t="n">
        <v>480</v>
      </c>
      <c r="K204" s="7" t="n">
        <f aca="false">J204-I204</f>
        <v>160</v>
      </c>
      <c r="L204" s="8" t="n">
        <f aca="false">IF(J204&gt;0,(J204-I204)/J204,0)</f>
        <v>0.333333333333333</v>
      </c>
      <c r="M204" s="6" t="s">
        <v>825</v>
      </c>
      <c r="N204" s="6" t="s">
        <v>826</v>
      </c>
      <c r="O204" s="6" t="s">
        <v>23</v>
      </c>
    </row>
    <row r="205" customFormat="false" ht="15" hidden="false" customHeight="false" outlineLevel="0" collapsed="false">
      <c r="A205" s="3" t="s">
        <v>850</v>
      </c>
      <c r="B205" s="3" t="s">
        <v>816</v>
      </c>
      <c r="C205" s="3" t="s">
        <v>851</v>
      </c>
      <c r="D205" s="3" t="s">
        <v>852</v>
      </c>
      <c r="E205" s="3" t="s">
        <v>853</v>
      </c>
      <c r="F205" s="3" t="s">
        <v>6</v>
      </c>
      <c r="G205" s="3" t="n">
        <v>5</v>
      </c>
      <c r="H205" s="3" t="n">
        <v>10</v>
      </c>
      <c r="I205" s="4" t="n">
        <v>12500</v>
      </c>
      <c r="J205" s="4" t="n">
        <v>16500</v>
      </c>
      <c r="K205" s="4" t="n">
        <f aca="false">J205-I205</f>
        <v>4000</v>
      </c>
      <c r="L205" s="5" t="n">
        <f aca="false">IF(J205&gt;0,(J205-I205)/J205,0)</f>
        <v>0.242424242424242</v>
      </c>
      <c r="M205" s="3" t="s">
        <v>854</v>
      </c>
      <c r="N205" s="3" t="s">
        <v>854</v>
      </c>
      <c r="O205" s="3" t="s">
        <v>23</v>
      </c>
    </row>
    <row r="206" customFormat="false" ht="15" hidden="false" customHeight="false" outlineLevel="0" collapsed="false">
      <c r="A206" s="6" t="s">
        <v>855</v>
      </c>
      <c r="B206" s="6" t="s">
        <v>816</v>
      </c>
      <c r="C206" s="6" t="s">
        <v>851</v>
      </c>
      <c r="D206" s="6" t="s">
        <v>856</v>
      </c>
      <c r="E206" s="6" t="s">
        <v>857</v>
      </c>
      <c r="F206" s="6" t="s">
        <v>6</v>
      </c>
      <c r="G206" s="6" t="n">
        <v>4</v>
      </c>
      <c r="H206" s="6" t="n">
        <v>8</v>
      </c>
      <c r="I206" s="7" t="n">
        <v>16000</v>
      </c>
      <c r="J206" s="7" t="n">
        <v>21000</v>
      </c>
      <c r="K206" s="7" t="n">
        <f aca="false">J206-I206</f>
        <v>5000</v>
      </c>
      <c r="L206" s="8" t="n">
        <f aca="false">IF(J206&gt;0,(J206-I206)/J206,0)</f>
        <v>0.238095238095238</v>
      </c>
      <c r="M206" s="6" t="s">
        <v>858</v>
      </c>
      <c r="N206" s="6" t="s">
        <v>859</v>
      </c>
      <c r="O206" s="6" t="s">
        <v>23</v>
      </c>
    </row>
    <row r="207" customFormat="false" ht="15" hidden="false" customHeight="false" outlineLevel="0" collapsed="false">
      <c r="A207" s="3" t="s">
        <v>860</v>
      </c>
      <c r="B207" s="3" t="s">
        <v>816</v>
      </c>
      <c r="C207" s="3" t="s">
        <v>851</v>
      </c>
      <c r="D207" s="3" t="s">
        <v>861</v>
      </c>
      <c r="E207" s="3" t="s">
        <v>862</v>
      </c>
      <c r="F207" s="3" t="s">
        <v>6</v>
      </c>
      <c r="G207" s="3" t="n">
        <v>3</v>
      </c>
      <c r="H207" s="3" t="n">
        <v>8</v>
      </c>
      <c r="I207" s="4" t="n">
        <v>14000</v>
      </c>
      <c r="J207" s="4" t="n">
        <v>18500</v>
      </c>
      <c r="K207" s="4" t="n">
        <f aca="false">J207-I207</f>
        <v>4500</v>
      </c>
      <c r="L207" s="5" t="n">
        <f aca="false">IF(J207&gt;0,(J207-I207)/J207,0)</f>
        <v>0.243243243243243</v>
      </c>
      <c r="M207" s="3" t="s">
        <v>863</v>
      </c>
      <c r="N207" s="3" t="s">
        <v>864</v>
      </c>
      <c r="O207" s="3" t="s">
        <v>23</v>
      </c>
    </row>
    <row r="208" customFormat="false" ht="15" hidden="false" customHeight="false" outlineLevel="0" collapsed="false">
      <c r="A208" s="6" t="s">
        <v>865</v>
      </c>
      <c r="B208" s="6" t="s">
        <v>816</v>
      </c>
      <c r="C208" s="6" t="s">
        <v>851</v>
      </c>
      <c r="D208" s="6" t="s">
        <v>866</v>
      </c>
      <c r="E208" s="6" t="s">
        <v>867</v>
      </c>
      <c r="F208" s="6" t="s">
        <v>6</v>
      </c>
      <c r="G208" s="6" t="n">
        <v>3</v>
      </c>
      <c r="H208" s="6" t="n">
        <v>8</v>
      </c>
      <c r="I208" s="7" t="n">
        <v>16500</v>
      </c>
      <c r="J208" s="7" t="n">
        <v>21500</v>
      </c>
      <c r="K208" s="7" t="n">
        <f aca="false">J208-I208</f>
        <v>5000</v>
      </c>
      <c r="L208" s="8" t="n">
        <f aca="false">IF(J208&gt;0,(J208-I208)/J208,0)</f>
        <v>0.232558139534884</v>
      </c>
      <c r="M208" s="6" t="s">
        <v>863</v>
      </c>
      <c r="N208" s="6" t="s">
        <v>868</v>
      </c>
      <c r="O208" s="6" t="s">
        <v>23</v>
      </c>
    </row>
    <row r="209" customFormat="false" ht="15" hidden="false" customHeight="false" outlineLevel="0" collapsed="false">
      <c r="A209" s="3" t="s">
        <v>869</v>
      </c>
      <c r="B209" s="3" t="s">
        <v>816</v>
      </c>
      <c r="C209" s="3" t="s">
        <v>851</v>
      </c>
      <c r="D209" s="3" t="s">
        <v>870</v>
      </c>
      <c r="E209" s="3" t="s">
        <v>871</v>
      </c>
      <c r="F209" s="3" t="s">
        <v>6</v>
      </c>
      <c r="G209" s="3" t="n">
        <v>3</v>
      </c>
      <c r="H209" s="3" t="n">
        <v>8</v>
      </c>
      <c r="I209" s="4" t="n">
        <v>10500</v>
      </c>
      <c r="J209" s="4" t="n">
        <v>14000</v>
      </c>
      <c r="K209" s="4" t="n">
        <f aca="false">J209-I209</f>
        <v>3500</v>
      </c>
      <c r="L209" s="5" t="n">
        <f aca="false">IF(J209&gt;0,(J209-I209)/J209,0)</f>
        <v>0.25</v>
      </c>
      <c r="M209" s="3" t="s">
        <v>872</v>
      </c>
      <c r="N209" s="3" t="s">
        <v>873</v>
      </c>
      <c r="O209" s="3" t="s">
        <v>23</v>
      </c>
    </row>
    <row r="210" customFormat="false" ht="15" hidden="false" customHeight="false" outlineLevel="0" collapsed="false">
      <c r="A210" s="6" t="s">
        <v>874</v>
      </c>
      <c r="B210" s="6" t="s">
        <v>816</v>
      </c>
      <c r="C210" s="6" t="s">
        <v>875</v>
      </c>
      <c r="D210" s="6" t="s">
        <v>876</v>
      </c>
      <c r="E210" s="6" t="s">
        <v>877</v>
      </c>
      <c r="F210" s="6" t="s">
        <v>6</v>
      </c>
      <c r="G210" s="6" t="n">
        <v>10</v>
      </c>
      <c r="H210" s="6" t="n">
        <v>30</v>
      </c>
      <c r="I210" s="7" t="n">
        <v>1800</v>
      </c>
      <c r="J210" s="7" t="n">
        <v>2700</v>
      </c>
      <c r="K210" s="7" t="n">
        <f aca="false">J210-I210</f>
        <v>900</v>
      </c>
      <c r="L210" s="8" t="n">
        <f aca="false">IF(J210&gt;0,(J210-I210)/J210,0)</f>
        <v>0.333333333333333</v>
      </c>
      <c r="M210" s="6" t="s">
        <v>878</v>
      </c>
      <c r="N210" s="6" t="s">
        <v>878</v>
      </c>
      <c r="O210" s="6" t="s">
        <v>23</v>
      </c>
    </row>
    <row r="211" customFormat="false" ht="15" hidden="false" customHeight="false" outlineLevel="0" collapsed="false">
      <c r="A211" s="3" t="s">
        <v>879</v>
      </c>
      <c r="B211" s="3" t="s">
        <v>816</v>
      </c>
      <c r="C211" s="3" t="s">
        <v>875</v>
      </c>
      <c r="D211" s="3" t="s">
        <v>880</v>
      </c>
      <c r="E211" s="3" t="s">
        <v>881</v>
      </c>
      <c r="F211" s="3" t="s">
        <v>6</v>
      </c>
      <c r="G211" s="3" t="n">
        <v>5</v>
      </c>
      <c r="H211" s="3" t="n">
        <v>15</v>
      </c>
      <c r="I211" s="4" t="n">
        <v>2500</v>
      </c>
      <c r="J211" s="4" t="n">
        <v>3800</v>
      </c>
      <c r="K211" s="4" t="n">
        <f aca="false">J211-I211</f>
        <v>1300</v>
      </c>
      <c r="L211" s="5" t="n">
        <f aca="false">IF(J211&gt;0,(J211-I211)/J211,0)</f>
        <v>0.342105263157895</v>
      </c>
      <c r="M211" s="3" t="s">
        <v>878</v>
      </c>
      <c r="N211" s="3" t="s">
        <v>878</v>
      </c>
      <c r="O211" s="3" t="s">
        <v>23</v>
      </c>
    </row>
    <row r="212" customFormat="false" ht="15" hidden="false" customHeight="false" outlineLevel="0" collapsed="false">
      <c r="A212" s="6" t="s">
        <v>882</v>
      </c>
      <c r="B212" s="6" t="s">
        <v>816</v>
      </c>
      <c r="C212" s="6" t="s">
        <v>875</v>
      </c>
      <c r="D212" s="6" t="s">
        <v>883</v>
      </c>
      <c r="E212" s="6" t="s">
        <v>884</v>
      </c>
      <c r="F212" s="6" t="s">
        <v>6</v>
      </c>
      <c r="G212" s="6" t="n">
        <v>15</v>
      </c>
      <c r="H212" s="6" t="n">
        <v>50</v>
      </c>
      <c r="I212" s="7" t="n">
        <v>380</v>
      </c>
      <c r="J212" s="7" t="n">
        <v>600</v>
      </c>
      <c r="K212" s="7" t="n">
        <f aca="false">J212-I212</f>
        <v>220</v>
      </c>
      <c r="L212" s="8" t="n">
        <f aca="false">IF(J212&gt;0,(J212-I212)/J212,0)</f>
        <v>0.366666666666667</v>
      </c>
      <c r="M212" s="6" t="s">
        <v>878</v>
      </c>
      <c r="N212" s="6" t="s">
        <v>878</v>
      </c>
      <c r="O212" s="6" t="s">
        <v>23</v>
      </c>
    </row>
    <row r="213" customFormat="false" ht="15" hidden="false" customHeight="false" outlineLevel="0" collapsed="false">
      <c r="A213" s="3" t="s">
        <v>885</v>
      </c>
      <c r="B213" s="3" t="s">
        <v>816</v>
      </c>
      <c r="C213" s="3" t="s">
        <v>875</v>
      </c>
      <c r="D213" s="3" t="s">
        <v>886</v>
      </c>
      <c r="E213" s="3" t="s">
        <v>887</v>
      </c>
      <c r="F213" s="3" t="s">
        <v>6</v>
      </c>
      <c r="G213" s="3" t="n">
        <v>20</v>
      </c>
      <c r="H213" s="3" t="n">
        <v>80</v>
      </c>
      <c r="I213" s="4" t="n">
        <v>180</v>
      </c>
      <c r="J213" s="4" t="n">
        <v>290</v>
      </c>
      <c r="K213" s="4" t="n">
        <f aca="false">J213-I213</f>
        <v>110</v>
      </c>
      <c r="L213" s="5" t="n">
        <f aca="false">IF(J213&gt;0,(J213-I213)/J213,0)</f>
        <v>0.379310344827586</v>
      </c>
      <c r="M213" s="3" t="s">
        <v>888</v>
      </c>
      <c r="N213" s="3" t="s">
        <v>888</v>
      </c>
      <c r="O213" s="3" t="s">
        <v>23</v>
      </c>
    </row>
    <row r="214" customFormat="false" ht="15" hidden="false" customHeight="false" outlineLevel="0" collapsed="false">
      <c r="A214" s="6" t="s">
        <v>889</v>
      </c>
      <c r="B214" s="6" t="s">
        <v>816</v>
      </c>
      <c r="C214" s="6" t="s">
        <v>875</v>
      </c>
      <c r="D214" s="6" t="s">
        <v>890</v>
      </c>
      <c r="E214" s="6" t="s">
        <v>891</v>
      </c>
      <c r="F214" s="6" t="s">
        <v>6</v>
      </c>
      <c r="G214" s="6" t="n">
        <v>10</v>
      </c>
      <c r="H214" s="6" t="n">
        <v>30</v>
      </c>
      <c r="I214" s="7" t="n">
        <v>550</v>
      </c>
      <c r="J214" s="7" t="n">
        <v>850</v>
      </c>
      <c r="K214" s="7" t="n">
        <f aca="false">J214-I214</f>
        <v>300</v>
      </c>
      <c r="L214" s="8" t="n">
        <f aca="false">IF(J214&gt;0,(J214-I214)/J214,0)</f>
        <v>0.352941176470588</v>
      </c>
      <c r="M214" s="6" t="s">
        <v>586</v>
      </c>
      <c r="N214" s="6" t="s">
        <v>587</v>
      </c>
      <c r="O214" s="6" t="s">
        <v>23</v>
      </c>
    </row>
    <row r="215" customFormat="false" ht="15" hidden="false" customHeight="false" outlineLevel="0" collapsed="false">
      <c r="A215" s="3" t="s">
        <v>892</v>
      </c>
      <c r="B215" s="3" t="s">
        <v>816</v>
      </c>
      <c r="C215" s="3" t="s">
        <v>875</v>
      </c>
      <c r="D215" s="3" t="s">
        <v>893</v>
      </c>
      <c r="E215" s="3" t="s">
        <v>894</v>
      </c>
      <c r="F215" s="3" t="s">
        <v>6</v>
      </c>
      <c r="G215" s="3" t="n">
        <v>5</v>
      </c>
      <c r="H215" s="3" t="n">
        <v>15</v>
      </c>
      <c r="I215" s="4" t="n">
        <v>1800</v>
      </c>
      <c r="J215" s="4" t="n">
        <v>2800</v>
      </c>
      <c r="K215" s="4" t="n">
        <f aca="false">J215-I215</f>
        <v>1000</v>
      </c>
      <c r="L215" s="5" t="n">
        <f aca="false">IF(J215&gt;0,(J215-I215)/J215,0)</f>
        <v>0.357142857142857</v>
      </c>
      <c r="M215" s="3" t="s">
        <v>492</v>
      </c>
      <c r="N215" s="3" t="s">
        <v>488</v>
      </c>
      <c r="O215" s="3" t="s">
        <v>23</v>
      </c>
    </row>
    <row r="216" customFormat="false" ht="15" hidden="false" customHeight="false" outlineLevel="0" collapsed="false">
      <c r="A216" s="6" t="s">
        <v>895</v>
      </c>
      <c r="B216" s="6" t="s">
        <v>816</v>
      </c>
      <c r="C216" s="6" t="s">
        <v>875</v>
      </c>
      <c r="D216" s="6" t="s">
        <v>896</v>
      </c>
      <c r="E216" s="6" t="s">
        <v>897</v>
      </c>
      <c r="F216" s="6" t="s">
        <v>6</v>
      </c>
      <c r="G216" s="6" t="n">
        <v>3</v>
      </c>
      <c r="H216" s="6" t="n">
        <v>10</v>
      </c>
      <c r="I216" s="7" t="n">
        <v>5500</v>
      </c>
      <c r="J216" s="7" t="n">
        <v>8000</v>
      </c>
      <c r="K216" s="7" t="n">
        <f aca="false">J216-I216</f>
        <v>2500</v>
      </c>
      <c r="L216" s="8" t="n">
        <f aca="false">IF(J216&gt;0,(J216-I216)/J216,0)</f>
        <v>0.3125</v>
      </c>
      <c r="M216" s="6" t="s">
        <v>59</v>
      </c>
      <c r="N216" s="6" t="s">
        <v>60</v>
      </c>
      <c r="O216" s="6" t="s">
        <v>23</v>
      </c>
    </row>
  </sheetData>
  <mergeCells count="1">
    <mergeCell ref="A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1" t="s">
        <v>898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6.85" hidden="false" customHeight="false" outlineLevel="0" collapsed="false">
      <c r="A2" s="2" t="s">
        <v>899</v>
      </c>
      <c r="B2" s="2" t="s">
        <v>900</v>
      </c>
      <c r="C2" s="2" t="s">
        <v>2</v>
      </c>
      <c r="D2" s="2" t="s">
        <v>901</v>
      </c>
      <c r="E2" s="2" t="s">
        <v>902</v>
      </c>
      <c r="F2" s="2" t="s">
        <v>903</v>
      </c>
      <c r="G2" s="2" t="s">
        <v>904</v>
      </c>
      <c r="H2" s="2" t="s">
        <v>905</v>
      </c>
      <c r="I2" s="2" t="s">
        <v>906</v>
      </c>
      <c r="J2" s="2" t="s">
        <v>15</v>
      </c>
    </row>
    <row r="3" customFormat="false" ht="15" hidden="false" customHeight="false" outlineLevel="0" collapsed="false">
      <c r="A3" s="3" t="s">
        <v>907</v>
      </c>
      <c r="B3" s="3" t="s">
        <v>21</v>
      </c>
      <c r="C3" s="3" t="s">
        <v>908</v>
      </c>
      <c r="D3" s="3" t="s">
        <v>909</v>
      </c>
      <c r="E3" s="3" t="s">
        <v>910</v>
      </c>
      <c r="F3" s="3" t="s">
        <v>911</v>
      </c>
      <c r="G3" s="3" t="s">
        <v>912</v>
      </c>
      <c r="H3" s="3" t="n">
        <v>30</v>
      </c>
      <c r="I3" s="4" t="n">
        <v>500000</v>
      </c>
      <c r="J3" s="3" t="s">
        <v>23</v>
      </c>
    </row>
    <row r="4" customFormat="false" ht="15" hidden="false" customHeight="false" outlineLevel="0" collapsed="false">
      <c r="A4" s="6" t="s">
        <v>913</v>
      </c>
      <c r="B4" s="6" t="s">
        <v>30</v>
      </c>
      <c r="C4" s="6" t="s">
        <v>908</v>
      </c>
      <c r="D4" s="6" t="s">
        <v>914</v>
      </c>
      <c r="E4" s="6" t="s">
        <v>915</v>
      </c>
      <c r="F4" s="6" t="s">
        <v>916</v>
      </c>
      <c r="G4" s="6" t="s">
        <v>917</v>
      </c>
      <c r="H4" s="6" t="n">
        <v>15</v>
      </c>
      <c r="I4" s="7" t="n">
        <v>1000000</v>
      </c>
      <c r="J4" s="6" t="s">
        <v>23</v>
      </c>
    </row>
    <row r="5" customFormat="false" ht="15" hidden="false" customHeight="false" outlineLevel="0" collapsed="false">
      <c r="A5" s="3" t="s">
        <v>918</v>
      </c>
      <c r="B5" s="3" t="s">
        <v>38</v>
      </c>
      <c r="C5" s="3" t="s">
        <v>908</v>
      </c>
      <c r="D5" s="3" t="s">
        <v>919</v>
      </c>
      <c r="E5" s="3" t="s">
        <v>920</v>
      </c>
      <c r="F5" s="3" t="s">
        <v>921</v>
      </c>
      <c r="G5" s="3" t="s">
        <v>912</v>
      </c>
      <c r="H5" s="3" t="n">
        <v>30</v>
      </c>
      <c r="I5" s="4" t="n">
        <v>600000</v>
      </c>
      <c r="J5" s="3" t="s">
        <v>23</v>
      </c>
    </row>
    <row r="6" customFormat="false" ht="15" hidden="false" customHeight="false" outlineLevel="0" collapsed="false">
      <c r="A6" s="6" t="s">
        <v>922</v>
      </c>
      <c r="B6" s="6" t="s">
        <v>46</v>
      </c>
      <c r="C6" s="6" t="s">
        <v>908</v>
      </c>
      <c r="D6" s="6" t="s">
        <v>923</v>
      </c>
      <c r="E6" s="6" t="s">
        <v>924</v>
      </c>
      <c r="F6" s="6" t="s">
        <v>925</v>
      </c>
      <c r="G6" s="6" t="s">
        <v>926</v>
      </c>
      <c r="H6" s="6" t="n">
        <v>30</v>
      </c>
      <c r="I6" s="7" t="n">
        <v>500000</v>
      </c>
      <c r="J6" s="6" t="s">
        <v>23</v>
      </c>
    </row>
    <row r="7" customFormat="false" ht="15" hidden="false" customHeight="false" outlineLevel="0" collapsed="false">
      <c r="A7" s="3" t="s">
        <v>927</v>
      </c>
      <c r="B7" s="3" t="s">
        <v>54</v>
      </c>
      <c r="C7" s="3" t="s">
        <v>908</v>
      </c>
      <c r="D7" s="3" t="s">
        <v>928</v>
      </c>
      <c r="E7" s="3" t="s">
        <v>929</v>
      </c>
      <c r="F7" s="3" t="s">
        <v>930</v>
      </c>
      <c r="G7" s="3" t="s">
        <v>912</v>
      </c>
      <c r="H7" s="3" t="n">
        <v>30</v>
      </c>
      <c r="I7" s="4" t="n">
        <v>400000</v>
      </c>
      <c r="J7" s="3" t="s">
        <v>23</v>
      </c>
    </row>
    <row r="8" customFormat="false" ht="15" hidden="false" customHeight="false" outlineLevel="0" collapsed="false">
      <c r="A8" s="6" t="s">
        <v>931</v>
      </c>
      <c r="B8" s="6" t="s">
        <v>59</v>
      </c>
      <c r="C8" s="6" t="s">
        <v>908</v>
      </c>
      <c r="D8" s="6" t="s">
        <v>932</v>
      </c>
      <c r="E8" s="6" t="s">
        <v>933</v>
      </c>
      <c r="F8" s="6" t="s">
        <v>934</v>
      </c>
      <c r="G8" s="6" t="s">
        <v>912</v>
      </c>
      <c r="H8" s="6" t="n">
        <v>30</v>
      </c>
      <c r="I8" s="7" t="n">
        <v>450000</v>
      </c>
      <c r="J8" s="6" t="s">
        <v>23</v>
      </c>
    </row>
    <row r="9" customFormat="false" ht="15" hidden="false" customHeight="false" outlineLevel="0" collapsed="false">
      <c r="A9" s="3" t="s">
        <v>935</v>
      </c>
      <c r="B9" s="3" t="s">
        <v>65</v>
      </c>
      <c r="C9" s="3" t="s">
        <v>936</v>
      </c>
      <c r="D9" s="3" t="s">
        <v>937</v>
      </c>
      <c r="E9" s="3" t="s">
        <v>938</v>
      </c>
      <c r="F9" s="3" t="s">
        <v>939</v>
      </c>
      <c r="G9" s="3" t="s">
        <v>917</v>
      </c>
      <c r="H9" s="3" t="n">
        <v>45</v>
      </c>
      <c r="I9" s="4" t="n">
        <v>800000</v>
      </c>
      <c r="J9" s="3" t="s">
        <v>23</v>
      </c>
    </row>
    <row r="10" customFormat="false" ht="15" hidden="false" customHeight="false" outlineLevel="0" collapsed="false">
      <c r="A10" s="6" t="s">
        <v>940</v>
      </c>
      <c r="B10" s="6" t="s">
        <v>70</v>
      </c>
      <c r="C10" s="6" t="s">
        <v>936</v>
      </c>
      <c r="D10" s="6" t="s">
        <v>941</v>
      </c>
      <c r="E10" s="6" t="s">
        <v>942</v>
      </c>
      <c r="F10" s="6" t="s">
        <v>943</v>
      </c>
      <c r="G10" s="6" t="s">
        <v>912</v>
      </c>
      <c r="H10" s="6" t="n">
        <v>45</v>
      </c>
      <c r="I10" s="7" t="n">
        <v>700000</v>
      </c>
      <c r="J10" s="6" t="s">
        <v>23</v>
      </c>
    </row>
    <row r="11" customFormat="false" ht="15" hidden="false" customHeight="false" outlineLevel="0" collapsed="false">
      <c r="A11" s="3" t="s">
        <v>944</v>
      </c>
      <c r="B11" s="3" t="s">
        <v>75</v>
      </c>
      <c r="C11" s="3" t="s">
        <v>936</v>
      </c>
      <c r="D11" s="3" t="s">
        <v>945</v>
      </c>
      <c r="E11" s="3" t="s">
        <v>946</v>
      </c>
      <c r="F11" s="3" t="s">
        <v>947</v>
      </c>
      <c r="G11" s="3" t="s">
        <v>926</v>
      </c>
      <c r="H11" s="3" t="n">
        <v>45</v>
      </c>
      <c r="I11" s="4" t="n">
        <v>600000</v>
      </c>
      <c r="J11" s="3" t="s">
        <v>23</v>
      </c>
    </row>
    <row r="12" customFormat="false" ht="15" hidden="false" customHeight="false" outlineLevel="0" collapsed="false">
      <c r="A12" s="6" t="s">
        <v>948</v>
      </c>
      <c r="B12" s="6" t="s">
        <v>80</v>
      </c>
      <c r="C12" s="6" t="s">
        <v>936</v>
      </c>
      <c r="D12" s="6" t="s">
        <v>949</v>
      </c>
      <c r="E12" s="6" t="s">
        <v>950</v>
      </c>
      <c r="F12" s="6" t="s">
        <v>951</v>
      </c>
      <c r="G12" s="6" t="s">
        <v>917</v>
      </c>
      <c r="H12" s="6" t="n">
        <v>45</v>
      </c>
      <c r="I12" s="7" t="n">
        <v>550000</v>
      </c>
      <c r="J12" s="6" t="s">
        <v>23</v>
      </c>
    </row>
    <row r="13" customFormat="false" ht="15" hidden="false" customHeight="false" outlineLevel="0" collapsed="false">
      <c r="A13" s="3" t="s">
        <v>952</v>
      </c>
      <c r="B13" s="3" t="s">
        <v>94</v>
      </c>
      <c r="C13" s="3" t="s">
        <v>936</v>
      </c>
      <c r="D13" s="3" t="s">
        <v>953</v>
      </c>
      <c r="E13" s="3" t="s">
        <v>954</v>
      </c>
      <c r="F13" s="3" t="s">
        <v>955</v>
      </c>
      <c r="G13" s="3" t="s">
        <v>912</v>
      </c>
      <c r="H13" s="3" t="n">
        <v>45</v>
      </c>
      <c r="I13" s="4" t="n">
        <v>500000</v>
      </c>
      <c r="J13" s="3" t="s">
        <v>23</v>
      </c>
    </row>
    <row r="14" customFormat="false" ht="15" hidden="false" customHeight="false" outlineLevel="0" collapsed="false">
      <c r="A14" s="6" t="s">
        <v>956</v>
      </c>
      <c r="B14" s="6" t="s">
        <v>106</v>
      </c>
      <c r="C14" s="6" t="s">
        <v>908</v>
      </c>
      <c r="D14" s="6" t="s">
        <v>957</v>
      </c>
      <c r="E14" s="6" t="s">
        <v>958</v>
      </c>
      <c r="F14" s="6" t="s">
        <v>959</v>
      </c>
      <c r="G14" s="6" t="s">
        <v>912</v>
      </c>
      <c r="H14" s="6" t="n">
        <v>30</v>
      </c>
      <c r="I14" s="7" t="n">
        <v>400000</v>
      </c>
      <c r="J14" s="6" t="s">
        <v>23</v>
      </c>
    </row>
    <row r="15" customFormat="false" ht="15" hidden="false" customHeight="false" outlineLevel="0" collapsed="false">
      <c r="A15" s="3" t="s">
        <v>960</v>
      </c>
      <c r="B15" s="3" t="s">
        <v>114</v>
      </c>
      <c r="C15" s="3" t="s">
        <v>961</v>
      </c>
      <c r="D15" s="3" t="s">
        <v>962</v>
      </c>
      <c r="E15" s="3" t="s">
        <v>963</v>
      </c>
      <c r="F15" s="3" t="s">
        <v>964</v>
      </c>
      <c r="G15" s="3" t="s">
        <v>912</v>
      </c>
      <c r="H15" s="3" t="n">
        <v>30</v>
      </c>
      <c r="I15" s="4" t="n">
        <v>800000</v>
      </c>
      <c r="J15" s="3" t="s">
        <v>23</v>
      </c>
    </row>
    <row r="16" customFormat="false" ht="15" hidden="false" customHeight="false" outlineLevel="0" collapsed="false">
      <c r="A16" s="6" t="s">
        <v>965</v>
      </c>
      <c r="B16" s="6" t="s">
        <v>133</v>
      </c>
      <c r="C16" s="6" t="s">
        <v>961</v>
      </c>
      <c r="D16" s="6" t="s">
        <v>966</v>
      </c>
      <c r="E16" s="6" t="s">
        <v>967</v>
      </c>
      <c r="F16" s="6" t="s">
        <v>968</v>
      </c>
      <c r="G16" s="6" t="s">
        <v>917</v>
      </c>
      <c r="H16" s="6" t="n">
        <v>30</v>
      </c>
      <c r="I16" s="7" t="n">
        <v>900000</v>
      </c>
      <c r="J16" s="6" t="s">
        <v>23</v>
      </c>
    </row>
    <row r="17" customFormat="false" ht="15" hidden="false" customHeight="false" outlineLevel="0" collapsed="false">
      <c r="A17" s="3" t="s">
        <v>969</v>
      </c>
      <c r="B17" s="3" t="s">
        <v>151</v>
      </c>
      <c r="C17" s="3" t="s">
        <v>961</v>
      </c>
      <c r="D17" s="3" t="s">
        <v>970</v>
      </c>
      <c r="E17" s="3" t="s">
        <v>971</v>
      </c>
      <c r="F17" s="3" t="s">
        <v>972</v>
      </c>
      <c r="G17" s="3" t="s">
        <v>912</v>
      </c>
      <c r="H17" s="3" t="n">
        <v>30</v>
      </c>
      <c r="I17" s="4" t="n">
        <v>700000</v>
      </c>
      <c r="J17" s="3" t="s">
        <v>23</v>
      </c>
    </row>
    <row r="18" customFormat="false" ht="15" hidden="false" customHeight="false" outlineLevel="0" collapsed="false">
      <c r="A18" s="6" t="s">
        <v>973</v>
      </c>
      <c r="B18" s="6" t="s">
        <v>140</v>
      </c>
      <c r="C18" s="6" t="s">
        <v>961</v>
      </c>
      <c r="D18" s="6" t="s">
        <v>974</v>
      </c>
      <c r="E18" s="6" t="s">
        <v>975</v>
      </c>
      <c r="F18" s="6" t="s">
        <v>976</v>
      </c>
      <c r="G18" s="6" t="s">
        <v>912</v>
      </c>
      <c r="H18" s="6" t="n">
        <v>30</v>
      </c>
      <c r="I18" s="7" t="n">
        <v>600000</v>
      </c>
      <c r="J18" s="6" t="s">
        <v>23</v>
      </c>
    </row>
    <row r="19" customFormat="false" ht="15" hidden="false" customHeight="false" outlineLevel="0" collapsed="false">
      <c r="A19" s="3" t="s">
        <v>977</v>
      </c>
      <c r="B19" s="3" t="s">
        <v>122</v>
      </c>
      <c r="C19" s="3" t="s">
        <v>908</v>
      </c>
      <c r="D19" s="3" t="s">
        <v>978</v>
      </c>
      <c r="E19" s="3" t="s">
        <v>979</v>
      </c>
      <c r="F19" s="3" t="s">
        <v>980</v>
      </c>
      <c r="G19" s="3" t="s">
        <v>917</v>
      </c>
      <c r="H19" s="3" t="n">
        <v>45</v>
      </c>
      <c r="I19" s="4" t="n">
        <v>1000000</v>
      </c>
      <c r="J19" s="3" t="s">
        <v>23</v>
      </c>
    </row>
    <row r="20" customFormat="false" ht="15" hidden="false" customHeight="false" outlineLevel="0" collapsed="false">
      <c r="A20" s="6" t="s">
        <v>981</v>
      </c>
      <c r="B20" s="6" t="s">
        <v>127</v>
      </c>
      <c r="C20" s="6" t="s">
        <v>908</v>
      </c>
      <c r="D20" s="6" t="s">
        <v>982</v>
      </c>
      <c r="E20" s="6" t="s">
        <v>983</v>
      </c>
      <c r="F20" s="6" t="s">
        <v>984</v>
      </c>
      <c r="G20" s="6" t="s">
        <v>926</v>
      </c>
      <c r="H20" s="6" t="n">
        <v>45</v>
      </c>
      <c r="I20" s="7" t="n">
        <v>900000</v>
      </c>
      <c r="J20" s="6" t="s">
        <v>23</v>
      </c>
    </row>
    <row r="21" customFormat="false" ht="15" hidden="false" customHeight="false" outlineLevel="0" collapsed="false">
      <c r="A21" s="3" t="s">
        <v>985</v>
      </c>
      <c r="B21" s="3" t="s">
        <v>173</v>
      </c>
      <c r="C21" s="3" t="s">
        <v>986</v>
      </c>
      <c r="D21" s="3" t="s">
        <v>987</v>
      </c>
      <c r="E21" s="3" t="s">
        <v>988</v>
      </c>
      <c r="F21" s="3" t="s">
        <v>989</v>
      </c>
      <c r="G21" s="3" t="s">
        <v>912</v>
      </c>
      <c r="H21" s="3" t="n">
        <v>15</v>
      </c>
      <c r="I21" s="4" t="n">
        <v>300000</v>
      </c>
      <c r="J21" s="3" t="s">
        <v>23</v>
      </c>
    </row>
    <row r="22" customFormat="false" ht="15" hidden="false" customHeight="false" outlineLevel="0" collapsed="false">
      <c r="A22" s="6" t="s">
        <v>990</v>
      </c>
      <c r="B22" s="6" t="s">
        <v>181</v>
      </c>
      <c r="C22" s="6" t="s">
        <v>986</v>
      </c>
      <c r="D22" s="6" t="s">
        <v>991</v>
      </c>
      <c r="E22" s="6" t="s">
        <v>992</v>
      </c>
      <c r="F22" s="6" t="s">
        <v>993</v>
      </c>
      <c r="G22" s="6" t="s">
        <v>917</v>
      </c>
      <c r="H22" s="6" t="n">
        <v>15</v>
      </c>
      <c r="I22" s="7" t="n">
        <v>250000</v>
      </c>
      <c r="J22" s="6" t="s">
        <v>23</v>
      </c>
    </row>
    <row r="23" customFormat="false" ht="15" hidden="false" customHeight="false" outlineLevel="0" collapsed="false">
      <c r="A23" s="3" t="s">
        <v>994</v>
      </c>
      <c r="B23" s="3" t="s">
        <v>189</v>
      </c>
      <c r="C23" s="3" t="s">
        <v>986</v>
      </c>
      <c r="D23" s="3" t="s">
        <v>995</v>
      </c>
      <c r="E23" s="3" t="s">
        <v>996</v>
      </c>
      <c r="F23" s="3" t="s">
        <v>997</v>
      </c>
      <c r="G23" s="3" t="s">
        <v>917</v>
      </c>
      <c r="H23" s="3" t="n">
        <v>15</v>
      </c>
      <c r="I23" s="4" t="n">
        <v>400000</v>
      </c>
      <c r="J23" s="3" t="s">
        <v>23</v>
      </c>
    </row>
    <row r="24" customFormat="false" ht="15" hidden="false" customHeight="false" outlineLevel="0" collapsed="false">
      <c r="A24" s="6" t="s">
        <v>998</v>
      </c>
      <c r="B24" s="6" t="s">
        <v>218</v>
      </c>
      <c r="C24" s="6" t="s">
        <v>986</v>
      </c>
      <c r="D24" s="6" t="s">
        <v>999</v>
      </c>
      <c r="E24" s="6" t="s">
        <v>1000</v>
      </c>
      <c r="F24" s="6" t="s">
        <v>1001</v>
      </c>
      <c r="G24" s="6" t="s">
        <v>917</v>
      </c>
      <c r="H24" s="6" t="n">
        <v>15</v>
      </c>
      <c r="I24" s="7" t="n">
        <v>350000</v>
      </c>
      <c r="J24" s="6" t="s">
        <v>23</v>
      </c>
    </row>
    <row r="25" customFormat="false" ht="15" hidden="false" customHeight="false" outlineLevel="0" collapsed="false">
      <c r="A25" s="3" t="s">
        <v>1002</v>
      </c>
      <c r="B25" s="3" t="s">
        <v>196</v>
      </c>
      <c r="C25" s="3" t="s">
        <v>986</v>
      </c>
      <c r="D25" s="3" t="s">
        <v>1003</v>
      </c>
      <c r="E25" s="3" t="s">
        <v>1004</v>
      </c>
      <c r="F25" s="3" t="s">
        <v>1005</v>
      </c>
      <c r="G25" s="3" t="s">
        <v>912</v>
      </c>
      <c r="H25" s="3" t="n">
        <v>15</v>
      </c>
      <c r="I25" s="4" t="n">
        <v>500000</v>
      </c>
      <c r="J25" s="3" t="s">
        <v>23</v>
      </c>
    </row>
    <row r="26" customFormat="false" ht="15" hidden="false" customHeight="false" outlineLevel="0" collapsed="false">
      <c r="A26" s="6" t="s">
        <v>1006</v>
      </c>
      <c r="B26" s="6" t="s">
        <v>226</v>
      </c>
      <c r="C26" s="6" t="s">
        <v>986</v>
      </c>
      <c r="D26" s="6" t="s">
        <v>1007</v>
      </c>
      <c r="E26" s="6" t="s">
        <v>1008</v>
      </c>
      <c r="F26" s="6" t="s">
        <v>1009</v>
      </c>
      <c r="G26" s="6" t="s">
        <v>917</v>
      </c>
      <c r="H26" s="6" t="n">
        <v>15</v>
      </c>
      <c r="I26" s="7" t="n">
        <v>200000</v>
      </c>
      <c r="J26" s="6" t="s">
        <v>23</v>
      </c>
    </row>
    <row r="27" customFormat="false" ht="15" hidden="false" customHeight="false" outlineLevel="0" collapsed="false">
      <c r="A27" s="3" t="s">
        <v>1010</v>
      </c>
      <c r="B27" s="3" t="s">
        <v>250</v>
      </c>
      <c r="C27" s="3" t="s">
        <v>1011</v>
      </c>
      <c r="D27" s="3" t="s">
        <v>1012</v>
      </c>
      <c r="E27" s="3" t="s">
        <v>1013</v>
      </c>
      <c r="F27" s="3" t="s">
        <v>1014</v>
      </c>
      <c r="G27" s="3" t="s">
        <v>912</v>
      </c>
      <c r="H27" s="3" t="n">
        <v>30</v>
      </c>
      <c r="I27" s="4" t="n">
        <v>600000</v>
      </c>
      <c r="J27" s="3" t="s">
        <v>23</v>
      </c>
    </row>
    <row r="28" customFormat="false" ht="15" hidden="false" customHeight="false" outlineLevel="0" collapsed="false">
      <c r="A28" s="6" t="s">
        <v>1015</v>
      </c>
      <c r="B28" s="6" t="s">
        <v>260</v>
      </c>
      <c r="C28" s="6" t="s">
        <v>1011</v>
      </c>
      <c r="D28" s="6" t="s">
        <v>1016</v>
      </c>
      <c r="E28" s="6" t="s">
        <v>1017</v>
      </c>
      <c r="F28" s="6" t="s">
        <v>1018</v>
      </c>
      <c r="G28" s="6" t="s">
        <v>917</v>
      </c>
      <c r="H28" s="6" t="n">
        <v>30</v>
      </c>
      <c r="I28" s="7" t="n">
        <v>800000</v>
      </c>
      <c r="J28" s="6" t="s">
        <v>23</v>
      </c>
    </row>
    <row r="29" customFormat="false" ht="15" hidden="false" customHeight="false" outlineLevel="0" collapsed="false">
      <c r="A29" s="3" t="s">
        <v>1019</v>
      </c>
      <c r="B29" s="3" t="s">
        <v>691</v>
      </c>
      <c r="C29" s="3" t="s">
        <v>1011</v>
      </c>
      <c r="D29" s="3" t="s">
        <v>1020</v>
      </c>
      <c r="E29" s="3" t="s">
        <v>1021</v>
      </c>
      <c r="F29" s="3" t="s">
        <v>1022</v>
      </c>
      <c r="G29" s="3" t="s">
        <v>912</v>
      </c>
      <c r="H29" s="3" t="n">
        <v>30</v>
      </c>
      <c r="I29" s="4" t="n">
        <v>700000</v>
      </c>
      <c r="J29" s="3" t="s">
        <v>23</v>
      </c>
    </row>
    <row r="30" customFormat="false" ht="15" hidden="false" customHeight="false" outlineLevel="0" collapsed="false">
      <c r="A30" s="6" t="s">
        <v>1023</v>
      </c>
      <c r="B30" s="6" t="s">
        <v>626</v>
      </c>
      <c r="C30" s="6" t="s">
        <v>1011</v>
      </c>
      <c r="D30" s="6" t="s">
        <v>1024</v>
      </c>
      <c r="E30" s="6" t="s">
        <v>1025</v>
      </c>
      <c r="F30" s="6" t="s">
        <v>1026</v>
      </c>
      <c r="G30" s="6" t="s">
        <v>917</v>
      </c>
      <c r="H30" s="6" t="n">
        <v>30</v>
      </c>
      <c r="I30" s="7" t="n">
        <v>500000</v>
      </c>
      <c r="J30" s="6" t="s">
        <v>23</v>
      </c>
    </row>
    <row r="31" customFormat="false" ht="15" hidden="false" customHeight="false" outlineLevel="0" collapsed="false">
      <c r="A31" s="3" t="s">
        <v>1027</v>
      </c>
      <c r="B31" s="3" t="s">
        <v>255</v>
      </c>
      <c r="C31" s="3" t="s">
        <v>247</v>
      </c>
      <c r="D31" s="3" t="s">
        <v>1028</v>
      </c>
      <c r="E31" s="3" t="s">
        <v>1029</v>
      </c>
      <c r="F31" s="3" t="s">
        <v>1030</v>
      </c>
      <c r="G31" s="3" t="s">
        <v>917</v>
      </c>
      <c r="H31" s="3" t="n">
        <v>15</v>
      </c>
      <c r="I31" s="4" t="n">
        <v>300000</v>
      </c>
      <c r="J31" s="3" t="s">
        <v>23</v>
      </c>
    </row>
    <row r="32" customFormat="false" ht="15" hidden="false" customHeight="false" outlineLevel="0" collapsed="false">
      <c r="A32" s="6" t="s">
        <v>1031</v>
      </c>
      <c r="B32" s="6" t="s">
        <v>270</v>
      </c>
      <c r="C32" s="6" t="s">
        <v>247</v>
      </c>
      <c r="D32" s="6" t="s">
        <v>1032</v>
      </c>
      <c r="E32" s="6" t="s">
        <v>1033</v>
      </c>
      <c r="F32" s="6" t="s">
        <v>1034</v>
      </c>
      <c r="G32" s="6" t="s">
        <v>917</v>
      </c>
      <c r="H32" s="6" t="n">
        <v>30</v>
      </c>
      <c r="I32" s="7" t="n">
        <v>250000</v>
      </c>
      <c r="J32" s="6" t="s">
        <v>23</v>
      </c>
    </row>
    <row r="33" customFormat="false" ht="15" hidden="false" customHeight="false" outlineLevel="0" collapsed="false">
      <c r="A33" s="3" t="s">
        <v>1035</v>
      </c>
      <c r="B33" s="3" t="s">
        <v>288</v>
      </c>
      <c r="C33" s="3" t="s">
        <v>1036</v>
      </c>
      <c r="D33" s="3" t="s">
        <v>1037</v>
      </c>
      <c r="E33" s="3" t="s">
        <v>1038</v>
      </c>
      <c r="F33" s="3" t="s">
        <v>1039</v>
      </c>
      <c r="G33" s="3" t="s">
        <v>912</v>
      </c>
      <c r="H33" s="3" t="n">
        <v>15</v>
      </c>
      <c r="I33" s="4" t="n">
        <v>400000</v>
      </c>
      <c r="J33" s="3" t="s">
        <v>23</v>
      </c>
    </row>
    <row r="34" customFormat="false" ht="15" hidden="false" customHeight="false" outlineLevel="0" collapsed="false">
      <c r="A34" s="6" t="s">
        <v>1040</v>
      </c>
      <c r="B34" s="6" t="s">
        <v>305</v>
      </c>
      <c r="C34" s="6" t="s">
        <v>1036</v>
      </c>
      <c r="D34" s="6" t="s">
        <v>1041</v>
      </c>
      <c r="E34" s="6" t="s">
        <v>1042</v>
      </c>
      <c r="F34" s="6" t="s">
        <v>1043</v>
      </c>
      <c r="G34" s="6" t="s">
        <v>912</v>
      </c>
      <c r="H34" s="6" t="n">
        <v>15</v>
      </c>
      <c r="I34" s="7" t="n">
        <v>350000</v>
      </c>
      <c r="J34" s="6" t="s">
        <v>23</v>
      </c>
    </row>
    <row r="35" customFormat="false" ht="15" hidden="false" customHeight="false" outlineLevel="0" collapsed="false">
      <c r="A35" s="3" t="s">
        <v>1044</v>
      </c>
      <c r="B35" s="3" t="s">
        <v>1045</v>
      </c>
      <c r="C35" s="3" t="s">
        <v>1046</v>
      </c>
      <c r="D35" s="3" t="s">
        <v>1047</v>
      </c>
      <c r="E35" s="3" t="s">
        <v>1048</v>
      </c>
      <c r="F35" s="3" t="s">
        <v>1049</v>
      </c>
      <c r="G35" s="3" t="s">
        <v>917</v>
      </c>
      <c r="H35" s="3" t="n">
        <v>15</v>
      </c>
      <c r="I35" s="4" t="n">
        <v>300000</v>
      </c>
      <c r="J35" s="3" t="s">
        <v>23</v>
      </c>
    </row>
    <row r="36" customFormat="false" ht="15" hidden="false" customHeight="false" outlineLevel="0" collapsed="false">
      <c r="A36" s="6" t="s">
        <v>1050</v>
      </c>
      <c r="B36" s="6" t="s">
        <v>315</v>
      </c>
      <c r="C36" s="6" t="s">
        <v>1051</v>
      </c>
      <c r="D36" s="6" t="s">
        <v>1052</v>
      </c>
      <c r="E36" s="6" t="s">
        <v>1053</v>
      </c>
      <c r="F36" s="6" t="s">
        <v>1054</v>
      </c>
      <c r="G36" s="6" t="s">
        <v>917</v>
      </c>
      <c r="H36" s="6" t="n">
        <v>15</v>
      </c>
      <c r="I36" s="7" t="n">
        <v>250000</v>
      </c>
      <c r="J36" s="6" t="s">
        <v>23</v>
      </c>
    </row>
    <row r="37" customFormat="false" ht="15" hidden="false" customHeight="false" outlineLevel="0" collapsed="false">
      <c r="A37" s="3" t="s">
        <v>1055</v>
      </c>
      <c r="B37" s="3" t="s">
        <v>334</v>
      </c>
      <c r="C37" s="3" t="s">
        <v>1056</v>
      </c>
      <c r="D37" s="3" t="s">
        <v>1057</v>
      </c>
      <c r="E37" s="3" t="s">
        <v>1058</v>
      </c>
      <c r="F37" s="3" t="s">
        <v>1059</v>
      </c>
      <c r="G37" s="3" t="s">
        <v>917</v>
      </c>
      <c r="H37" s="3" t="n">
        <v>30</v>
      </c>
      <c r="I37" s="4" t="n">
        <v>500000</v>
      </c>
      <c r="J37" s="3" t="s">
        <v>23</v>
      </c>
    </row>
    <row r="38" customFormat="false" ht="15" hidden="false" customHeight="false" outlineLevel="0" collapsed="false">
      <c r="A38" s="6" t="s">
        <v>1060</v>
      </c>
      <c r="B38" s="6" t="s">
        <v>342</v>
      </c>
      <c r="C38" s="6" t="s">
        <v>1056</v>
      </c>
      <c r="D38" s="6" t="s">
        <v>1061</v>
      </c>
      <c r="E38" s="6" t="s">
        <v>1062</v>
      </c>
      <c r="F38" s="6" t="s">
        <v>1063</v>
      </c>
      <c r="G38" s="6" t="s">
        <v>917</v>
      </c>
      <c r="H38" s="6" t="n">
        <v>30</v>
      </c>
      <c r="I38" s="7" t="n">
        <v>400000</v>
      </c>
      <c r="J38" s="6" t="s">
        <v>23</v>
      </c>
    </row>
    <row r="39" customFormat="false" ht="15" hidden="false" customHeight="false" outlineLevel="0" collapsed="false">
      <c r="A39" s="3" t="s">
        <v>1064</v>
      </c>
      <c r="B39" s="3" t="s">
        <v>363</v>
      </c>
      <c r="C39" s="3" t="s">
        <v>1056</v>
      </c>
      <c r="D39" s="3" t="s">
        <v>1065</v>
      </c>
      <c r="E39" s="3" t="s">
        <v>1066</v>
      </c>
      <c r="F39" s="3" t="s">
        <v>1067</v>
      </c>
      <c r="G39" s="3" t="s">
        <v>917</v>
      </c>
      <c r="H39" s="3" t="n">
        <v>30</v>
      </c>
      <c r="I39" s="4" t="n">
        <v>600000</v>
      </c>
      <c r="J39" s="3" t="s">
        <v>23</v>
      </c>
    </row>
    <row r="40" customFormat="false" ht="15" hidden="false" customHeight="false" outlineLevel="0" collapsed="false">
      <c r="A40" s="6" t="s">
        <v>1068</v>
      </c>
      <c r="B40" s="6" t="s">
        <v>388</v>
      </c>
      <c r="C40" s="6" t="s">
        <v>1056</v>
      </c>
      <c r="D40" s="6" t="s">
        <v>1069</v>
      </c>
      <c r="E40" s="6" t="s">
        <v>1070</v>
      </c>
      <c r="F40" s="6" t="s">
        <v>1071</v>
      </c>
      <c r="G40" s="6" t="s">
        <v>912</v>
      </c>
      <c r="H40" s="6" t="n">
        <v>30</v>
      </c>
      <c r="I40" s="7" t="n">
        <v>500000</v>
      </c>
      <c r="J40" s="6" t="s">
        <v>23</v>
      </c>
    </row>
    <row r="41" customFormat="false" ht="15" hidden="false" customHeight="false" outlineLevel="0" collapsed="false">
      <c r="A41" s="3" t="s">
        <v>1072</v>
      </c>
      <c r="B41" s="3" t="s">
        <v>1073</v>
      </c>
      <c r="C41" s="3" t="s">
        <v>1056</v>
      </c>
      <c r="D41" s="3" t="s">
        <v>1074</v>
      </c>
      <c r="E41" s="3" t="s">
        <v>1075</v>
      </c>
      <c r="F41" s="3" t="s">
        <v>1076</v>
      </c>
      <c r="G41" s="3" t="s">
        <v>912</v>
      </c>
      <c r="H41" s="3" t="n">
        <v>30</v>
      </c>
      <c r="I41" s="4" t="n">
        <v>400000</v>
      </c>
      <c r="J41" s="3" t="s">
        <v>23</v>
      </c>
    </row>
    <row r="42" customFormat="false" ht="15" hidden="false" customHeight="false" outlineLevel="0" collapsed="false">
      <c r="A42" s="6" t="s">
        <v>1077</v>
      </c>
      <c r="B42" s="6" t="s">
        <v>412</v>
      </c>
      <c r="C42" s="6" t="s">
        <v>409</v>
      </c>
      <c r="D42" s="6" t="s">
        <v>1078</v>
      </c>
      <c r="E42" s="6" t="s">
        <v>1079</v>
      </c>
      <c r="F42" s="6" t="s">
        <v>1080</v>
      </c>
      <c r="G42" s="6" t="s">
        <v>912</v>
      </c>
      <c r="H42" s="6" t="n">
        <v>30</v>
      </c>
      <c r="I42" s="7" t="n">
        <v>400000</v>
      </c>
      <c r="J42" s="6" t="s">
        <v>23</v>
      </c>
    </row>
    <row r="43" customFormat="false" ht="15" hidden="false" customHeight="false" outlineLevel="0" collapsed="false">
      <c r="A43" s="3" t="s">
        <v>1081</v>
      </c>
      <c r="B43" s="3" t="s">
        <v>420</v>
      </c>
      <c r="C43" s="3" t="s">
        <v>409</v>
      </c>
      <c r="D43" s="3" t="s">
        <v>1082</v>
      </c>
      <c r="E43" s="3" t="s">
        <v>1083</v>
      </c>
      <c r="F43" s="3" t="s">
        <v>1084</v>
      </c>
      <c r="G43" s="3" t="s">
        <v>912</v>
      </c>
      <c r="H43" s="3" t="n">
        <v>30</v>
      </c>
      <c r="I43" s="4" t="n">
        <v>350000</v>
      </c>
      <c r="J43" s="3" t="s">
        <v>23</v>
      </c>
    </row>
    <row r="44" customFormat="false" ht="15" hidden="false" customHeight="false" outlineLevel="0" collapsed="false">
      <c r="A44" s="6" t="s">
        <v>1085</v>
      </c>
      <c r="B44" s="6" t="s">
        <v>473</v>
      </c>
      <c r="C44" s="6" t="s">
        <v>1086</v>
      </c>
      <c r="D44" s="6" t="s">
        <v>1087</v>
      </c>
      <c r="E44" s="6" t="s">
        <v>1088</v>
      </c>
      <c r="F44" s="6" t="s">
        <v>1089</v>
      </c>
      <c r="G44" s="6" t="s">
        <v>912</v>
      </c>
      <c r="H44" s="6" t="n">
        <v>30</v>
      </c>
      <c r="I44" s="7" t="n">
        <v>1000000</v>
      </c>
      <c r="J44" s="6" t="s">
        <v>23</v>
      </c>
    </row>
    <row r="45" customFormat="false" ht="15" hidden="false" customHeight="false" outlineLevel="0" collapsed="false">
      <c r="A45" s="3" t="s">
        <v>1090</v>
      </c>
      <c r="B45" s="3" t="s">
        <v>478</v>
      </c>
      <c r="C45" s="3" t="s">
        <v>1086</v>
      </c>
      <c r="D45" s="3" t="s">
        <v>1091</v>
      </c>
      <c r="E45" s="3" t="s">
        <v>1092</v>
      </c>
      <c r="F45" s="3" t="s">
        <v>1093</v>
      </c>
      <c r="G45" s="3" t="s">
        <v>917</v>
      </c>
      <c r="H45" s="3" t="n">
        <v>30</v>
      </c>
      <c r="I45" s="4" t="n">
        <v>1000000</v>
      </c>
      <c r="J45" s="3" t="s">
        <v>23</v>
      </c>
    </row>
    <row r="46" customFormat="false" ht="15" hidden="false" customHeight="false" outlineLevel="0" collapsed="false">
      <c r="A46" s="6" t="s">
        <v>1094</v>
      </c>
      <c r="B46" s="6" t="s">
        <v>509</v>
      </c>
      <c r="C46" s="6" t="s">
        <v>1095</v>
      </c>
      <c r="D46" s="6" t="s">
        <v>1096</v>
      </c>
      <c r="E46" s="6" t="s">
        <v>1097</v>
      </c>
      <c r="F46" s="6" t="s">
        <v>1098</v>
      </c>
      <c r="G46" s="6" t="s">
        <v>917</v>
      </c>
      <c r="H46" s="6" t="n">
        <v>30</v>
      </c>
      <c r="I46" s="7" t="n">
        <v>400000</v>
      </c>
      <c r="J46" s="6" t="s">
        <v>23</v>
      </c>
    </row>
    <row r="47" customFormat="false" ht="15" hidden="false" customHeight="false" outlineLevel="0" collapsed="false">
      <c r="A47" s="3" t="s">
        <v>1099</v>
      </c>
      <c r="B47" s="3" t="s">
        <v>517</v>
      </c>
      <c r="C47" s="3" t="s">
        <v>1095</v>
      </c>
      <c r="D47" s="3" t="s">
        <v>1100</v>
      </c>
      <c r="E47" s="3" t="s">
        <v>1101</v>
      </c>
      <c r="F47" s="3" t="s">
        <v>1102</v>
      </c>
      <c r="G47" s="3" t="s">
        <v>912</v>
      </c>
      <c r="H47" s="3" t="n">
        <v>30</v>
      </c>
      <c r="I47" s="4" t="n">
        <v>350000</v>
      </c>
      <c r="J47" s="3" t="s">
        <v>23</v>
      </c>
    </row>
    <row r="48" customFormat="false" ht="15" hidden="false" customHeight="false" outlineLevel="0" collapsed="false">
      <c r="A48" s="6" t="s">
        <v>1103</v>
      </c>
      <c r="B48" s="6" t="s">
        <v>503</v>
      </c>
      <c r="C48" s="6" t="s">
        <v>1086</v>
      </c>
      <c r="D48" s="6" t="s">
        <v>1104</v>
      </c>
      <c r="E48" s="6" t="s">
        <v>1105</v>
      </c>
      <c r="F48" s="6" t="s">
        <v>1106</v>
      </c>
      <c r="G48" s="6" t="s">
        <v>917</v>
      </c>
      <c r="H48" s="6" t="n">
        <v>30</v>
      </c>
      <c r="I48" s="7" t="n">
        <v>800000</v>
      </c>
      <c r="J48" s="6" t="s">
        <v>23</v>
      </c>
    </row>
    <row r="49" customFormat="false" ht="15" hidden="false" customHeight="false" outlineLevel="0" collapsed="false">
      <c r="A49" s="3" t="s">
        <v>1107</v>
      </c>
      <c r="B49" s="3" t="s">
        <v>556</v>
      </c>
      <c r="C49" s="3" t="s">
        <v>1108</v>
      </c>
      <c r="D49" s="3" t="s">
        <v>1109</v>
      </c>
      <c r="E49" s="3" t="s">
        <v>1110</v>
      </c>
      <c r="F49" s="3" t="s">
        <v>1111</v>
      </c>
      <c r="G49" s="3" t="s">
        <v>912</v>
      </c>
      <c r="H49" s="3" t="n">
        <v>30</v>
      </c>
      <c r="I49" s="4" t="n">
        <v>500000</v>
      </c>
      <c r="J49" s="3" t="s">
        <v>23</v>
      </c>
    </row>
    <row r="50" customFormat="false" ht="15" hidden="false" customHeight="false" outlineLevel="0" collapsed="false">
      <c r="A50" s="6" t="s">
        <v>1112</v>
      </c>
      <c r="B50" s="6" t="s">
        <v>551</v>
      </c>
      <c r="C50" s="6" t="s">
        <v>1108</v>
      </c>
      <c r="D50" s="6" t="s">
        <v>1113</v>
      </c>
      <c r="E50" s="6" t="s">
        <v>1114</v>
      </c>
      <c r="F50" s="6" t="s">
        <v>1115</v>
      </c>
      <c r="G50" s="6" t="s">
        <v>912</v>
      </c>
      <c r="H50" s="6" t="n">
        <v>45</v>
      </c>
      <c r="I50" s="7" t="n">
        <v>600000</v>
      </c>
      <c r="J50" s="6" t="s">
        <v>23</v>
      </c>
    </row>
    <row r="51" customFormat="false" ht="15" hidden="false" customHeight="false" outlineLevel="0" collapsed="false">
      <c r="A51" s="3" t="s">
        <v>1116</v>
      </c>
      <c r="B51" s="3" t="s">
        <v>567</v>
      </c>
      <c r="C51" s="3" t="s">
        <v>1117</v>
      </c>
      <c r="D51" s="3" t="s">
        <v>1118</v>
      </c>
      <c r="E51" s="3" t="s">
        <v>1119</v>
      </c>
      <c r="F51" s="3" t="s">
        <v>1120</v>
      </c>
      <c r="G51" s="3" t="s">
        <v>917</v>
      </c>
      <c r="H51" s="3" t="n">
        <v>30</v>
      </c>
      <c r="I51" s="4" t="n">
        <v>400000</v>
      </c>
      <c r="J51" s="3" t="s">
        <v>23</v>
      </c>
    </row>
    <row r="52" customFormat="false" ht="15" hidden="false" customHeight="false" outlineLevel="0" collapsed="false">
      <c r="A52" s="6" t="s">
        <v>1121</v>
      </c>
      <c r="B52" s="6" t="s">
        <v>613</v>
      </c>
      <c r="C52" s="6" t="s">
        <v>1122</v>
      </c>
      <c r="D52" s="6" t="s">
        <v>1123</v>
      </c>
      <c r="E52" s="6" t="s">
        <v>1124</v>
      </c>
      <c r="F52" s="6" t="s">
        <v>1125</v>
      </c>
      <c r="G52" s="6" t="s">
        <v>912</v>
      </c>
      <c r="H52" s="6" t="n">
        <v>30</v>
      </c>
      <c r="I52" s="7" t="n">
        <v>500000</v>
      </c>
      <c r="J52" s="6" t="s">
        <v>23</v>
      </c>
    </row>
    <row r="53" customFormat="false" ht="15" hidden="false" customHeight="false" outlineLevel="0" collapsed="false">
      <c r="A53" s="3" t="s">
        <v>1126</v>
      </c>
      <c r="B53" s="3" t="s">
        <v>621</v>
      </c>
      <c r="C53" s="3" t="s">
        <v>1122</v>
      </c>
      <c r="D53" s="3" t="s">
        <v>1127</v>
      </c>
      <c r="E53" s="3" t="s">
        <v>1128</v>
      </c>
      <c r="F53" s="3" t="s">
        <v>1129</v>
      </c>
      <c r="G53" s="3" t="s">
        <v>917</v>
      </c>
      <c r="H53" s="3" t="n">
        <v>30</v>
      </c>
      <c r="I53" s="4" t="n">
        <v>450000</v>
      </c>
      <c r="J53" s="3" t="s">
        <v>23</v>
      </c>
    </row>
    <row r="54" customFormat="false" ht="15" hidden="false" customHeight="false" outlineLevel="0" collapsed="false">
      <c r="A54" s="6" t="s">
        <v>1130</v>
      </c>
      <c r="B54" s="6" t="s">
        <v>586</v>
      </c>
      <c r="C54" s="6" t="s">
        <v>1131</v>
      </c>
      <c r="D54" s="6" t="s">
        <v>1132</v>
      </c>
      <c r="E54" s="6" t="s">
        <v>1133</v>
      </c>
      <c r="F54" s="6" t="s">
        <v>1134</v>
      </c>
      <c r="G54" s="6" t="s">
        <v>912</v>
      </c>
      <c r="H54" s="6" t="n">
        <v>30</v>
      </c>
      <c r="I54" s="7" t="n">
        <v>300000</v>
      </c>
      <c r="J54" s="6" t="s">
        <v>23</v>
      </c>
    </row>
    <row r="55" customFormat="false" ht="15" hidden="false" customHeight="false" outlineLevel="0" collapsed="false">
      <c r="A55" s="3" t="s">
        <v>1135</v>
      </c>
      <c r="B55" s="3" t="s">
        <v>581</v>
      </c>
      <c r="C55" s="3" t="s">
        <v>1131</v>
      </c>
      <c r="D55" s="3" t="s">
        <v>1136</v>
      </c>
      <c r="E55" s="3" t="s">
        <v>1137</v>
      </c>
      <c r="F55" s="3" t="s">
        <v>1138</v>
      </c>
      <c r="G55" s="3" t="s">
        <v>917</v>
      </c>
      <c r="H55" s="3" t="n">
        <v>30</v>
      </c>
      <c r="I55" s="4" t="n">
        <v>250000</v>
      </c>
      <c r="J55" s="3" t="s">
        <v>23</v>
      </c>
    </row>
    <row r="56" customFormat="false" ht="15" hidden="false" customHeight="false" outlineLevel="0" collapsed="false">
      <c r="A56" s="6" t="s">
        <v>1139</v>
      </c>
      <c r="B56" s="6" t="s">
        <v>820</v>
      </c>
      <c r="C56" s="6" t="s">
        <v>1140</v>
      </c>
      <c r="D56" s="6" t="s">
        <v>1141</v>
      </c>
      <c r="E56" s="6" t="s">
        <v>1142</v>
      </c>
      <c r="F56" s="6" t="s">
        <v>1143</v>
      </c>
      <c r="G56" s="6" t="s">
        <v>912</v>
      </c>
      <c r="H56" s="6" t="n">
        <v>30</v>
      </c>
      <c r="I56" s="7" t="n">
        <v>350000</v>
      </c>
      <c r="J56" s="6" t="s">
        <v>23</v>
      </c>
    </row>
    <row r="57" customFormat="false" ht="15" hidden="false" customHeight="false" outlineLevel="0" collapsed="false">
      <c r="A57" s="3" t="s">
        <v>1144</v>
      </c>
      <c r="B57" s="3" t="s">
        <v>825</v>
      </c>
      <c r="C57" s="3" t="s">
        <v>1140</v>
      </c>
      <c r="D57" s="3" t="s">
        <v>1145</v>
      </c>
      <c r="E57" s="3" t="s">
        <v>1146</v>
      </c>
      <c r="F57" s="3" t="s">
        <v>1147</v>
      </c>
      <c r="G57" s="3" t="s">
        <v>917</v>
      </c>
      <c r="H57" s="3" t="n">
        <v>30</v>
      </c>
      <c r="I57" s="4" t="n">
        <v>400000</v>
      </c>
      <c r="J57" s="3" t="s">
        <v>23</v>
      </c>
    </row>
    <row r="58" customFormat="false" ht="15" hidden="false" customHeight="false" outlineLevel="0" collapsed="false">
      <c r="A58" s="6" t="s">
        <v>1148</v>
      </c>
      <c r="B58" s="6" t="s">
        <v>854</v>
      </c>
      <c r="C58" s="6" t="s">
        <v>1140</v>
      </c>
      <c r="D58" s="6" t="s">
        <v>1149</v>
      </c>
      <c r="E58" s="6" t="s">
        <v>1150</v>
      </c>
      <c r="F58" s="6" t="s">
        <v>1151</v>
      </c>
      <c r="G58" s="6" t="s">
        <v>917</v>
      </c>
      <c r="H58" s="6" t="n">
        <v>30</v>
      </c>
      <c r="I58" s="7" t="n">
        <v>600000</v>
      </c>
      <c r="J58" s="6" t="s">
        <v>23</v>
      </c>
    </row>
    <row r="59" customFormat="false" ht="15" hidden="false" customHeight="false" outlineLevel="0" collapsed="false">
      <c r="A59" s="3" t="s">
        <v>1152</v>
      </c>
      <c r="B59" s="3" t="s">
        <v>863</v>
      </c>
      <c r="C59" s="3" t="s">
        <v>1140</v>
      </c>
      <c r="D59" s="3" t="s">
        <v>1153</v>
      </c>
      <c r="E59" s="3" t="s">
        <v>1154</v>
      </c>
      <c r="F59" s="3" t="s">
        <v>1155</v>
      </c>
      <c r="G59" s="3" t="s">
        <v>912</v>
      </c>
      <c r="H59" s="3" t="n">
        <v>30</v>
      </c>
      <c r="I59" s="4" t="n">
        <v>500000</v>
      </c>
      <c r="J59" s="3" t="s">
        <v>23</v>
      </c>
    </row>
    <row r="60" customFormat="false" ht="15" hidden="false" customHeight="false" outlineLevel="0" collapsed="false">
      <c r="A60" s="6" t="s">
        <v>1156</v>
      </c>
      <c r="B60" s="6" t="s">
        <v>740</v>
      </c>
      <c r="C60" s="6" t="s">
        <v>1157</v>
      </c>
      <c r="D60" s="6" t="s">
        <v>1158</v>
      </c>
      <c r="E60" s="6" t="s">
        <v>1159</v>
      </c>
      <c r="F60" s="6" t="s">
        <v>1160</v>
      </c>
      <c r="G60" s="6" t="s">
        <v>912</v>
      </c>
      <c r="H60" s="6" t="n">
        <v>15</v>
      </c>
      <c r="I60" s="7" t="n">
        <v>200000</v>
      </c>
      <c r="J60" s="6" t="s">
        <v>23</v>
      </c>
    </row>
    <row r="61" customFormat="false" ht="15" hidden="false" customHeight="false" outlineLevel="0" collapsed="false">
      <c r="A61" s="3" t="s">
        <v>1161</v>
      </c>
      <c r="B61" s="3" t="s">
        <v>603</v>
      </c>
      <c r="C61" s="3" t="s">
        <v>1157</v>
      </c>
      <c r="D61" s="3" t="s">
        <v>1162</v>
      </c>
      <c r="E61" s="3" t="s">
        <v>1163</v>
      </c>
      <c r="F61" s="3" t="s">
        <v>1164</v>
      </c>
      <c r="G61" s="3" t="s">
        <v>917</v>
      </c>
      <c r="H61" s="3" t="n">
        <v>30</v>
      </c>
      <c r="I61" s="4" t="n">
        <v>300000</v>
      </c>
      <c r="J61" s="3" t="s">
        <v>23</v>
      </c>
    </row>
    <row r="62" customFormat="false" ht="15" hidden="false" customHeight="false" outlineLevel="0" collapsed="false">
      <c r="A62" s="6" t="s">
        <v>1165</v>
      </c>
      <c r="B62" s="6" t="s">
        <v>1166</v>
      </c>
      <c r="C62" s="6" t="s">
        <v>908</v>
      </c>
      <c r="D62" s="6" t="s">
        <v>1167</v>
      </c>
      <c r="E62" s="6" t="s">
        <v>1168</v>
      </c>
      <c r="F62" s="6" t="s">
        <v>1169</v>
      </c>
      <c r="G62" s="6" t="s">
        <v>912</v>
      </c>
      <c r="H62" s="6" t="n">
        <v>30</v>
      </c>
      <c r="I62" s="7" t="n">
        <v>250000</v>
      </c>
      <c r="J62" s="6" t="s">
        <v>23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32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1" t="s">
        <v>1170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6.85" hidden="false" customHeight="false" outlineLevel="0" collapsed="false">
      <c r="A2" s="2" t="s">
        <v>1171</v>
      </c>
      <c r="B2" s="2" t="s">
        <v>1172</v>
      </c>
      <c r="C2" s="2" t="s">
        <v>1173</v>
      </c>
      <c r="D2" s="2" t="s">
        <v>902</v>
      </c>
      <c r="E2" s="2" t="s">
        <v>903</v>
      </c>
      <c r="F2" s="2" t="s">
        <v>904</v>
      </c>
      <c r="G2" s="2" t="s">
        <v>1174</v>
      </c>
      <c r="H2" s="2" t="s">
        <v>906</v>
      </c>
      <c r="I2" s="2" t="s">
        <v>905</v>
      </c>
      <c r="J2" s="2" t="s">
        <v>1175</v>
      </c>
      <c r="K2" s="2" t="s">
        <v>15</v>
      </c>
    </row>
    <row r="3" customFormat="false" ht="15" hidden="false" customHeight="false" outlineLevel="0" collapsed="false">
      <c r="A3" s="3" t="s">
        <v>1176</v>
      </c>
      <c r="B3" s="3" t="s">
        <v>1177</v>
      </c>
      <c r="C3" s="3" t="s">
        <v>1178</v>
      </c>
      <c r="D3" s="3" t="s">
        <v>1179</v>
      </c>
      <c r="E3" s="3" t="s">
        <v>1180</v>
      </c>
      <c r="F3" s="3" t="s">
        <v>912</v>
      </c>
      <c r="G3" s="3" t="s">
        <v>1181</v>
      </c>
      <c r="H3" s="4" t="n">
        <v>50000</v>
      </c>
      <c r="I3" s="3" t="n">
        <v>7</v>
      </c>
      <c r="J3" s="4" t="n">
        <v>250000</v>
      </c>
      <c r="K3" s="3" t="s">
        <v>23</v>
      </c>
    </row>
    <row r="4" customFormat="false" ht="15" hidden="false" customHeight="false" outlineLevel="0" collapsed="false">
      <c r="A4" s="6" t="s">
        <v>1182</v>
      </c>
      <c r="B4" s="6" t="s">
        <v>1183</v>
      </c>
      <c r="C4" s="6" t="s">
        <v>1184</v>
      </c>
      <c r="D4" s="6" t="s">
        <v>1185</v>
      </c>
      <c r="E4" s="6" t="s">
        <v>1186</v>
      </c>
      <c r="F4" s="6" t="s">
        <v>912</v>
      </c>
      <c r="G4" s="6" t="s">
        <v>1187</v>
      </c>
      <c r="H4" s="7" t="n">
        <v>200000</v>
      </c>
      <c r="I4" s="6" t="n">
        <v>30</v>
      </c>
      <c r="J4" s="7" t="n">
        <v>1500000</v>
      </c>
      <c r="K4" s="6" t="s">
        <v>23</v>
      </c>
    </row>
    <row r="5" customFormat="false" ht="15" hidden="false" customHeight="false" outlineLevel="0" collapsed="false">
      <c r="A5" s="3" t="s">
        <v>1188</v>
      </c>
      <c r="B5" s="3" t="s">
        <v>1189</v>
      </c>
      <c r="C5" s="3" t="s">
        <v>1178</v>
      </c>
      <c r="D5" s="3" t="s">
        <v>1190</v>
      </c>
      <c r="E5" s="3" t="s">
        <v>1191</v>
      </c>
      <c r="F5" s="3" t="s">
        <v>912</v>
      </c>
      <c r="G5" s="3" t="s">
        <v>1192</v>
      </c>
      <c r="H5" s="4" t="n">
        <v>100000</v>
      </c>
      <c r="I5" s="3" t="n">
        <v>15</v>
      </c>
      <c r="J5" s="4" t="n">
        <v>800000</v>
      </c>
      <c r="K5" s="3" t="s">
        <v>23</v>
      </c>
    </row>
    <row r="6" customFormat="false" ht="15" hidden="false" customHeight="false" outlineLevel="0" collapsed="false">
      <c r="A6" s="6" t="s">
        <v>1193</v>
      </c>
      <c r="B6" s="6" t="s">
        <v>1194</v>
      </c>
      <c r="C6" s="6" t="s">
        <v>1184</v>
      </c>
      <c r="D6" s="6" t="s">
        <v>1195</v>
      </c>
      <c r="E6" s="6" t="s">
        <v>1196</v>
      </c>
      <c r="F6" s="6" t="s">
        <v>912</v>
      </c>
      <c r="G6" s="6" t="s">
        <v>1197</v>
      </c>
      <c r="H6" s="7" t="n">
        <v>500000</v>
      </c>
      <c r="I6" s="6" t="n">
        <v>30</v>
      </c>
      <c r="J6" s="7" t="n">
        <v>3500000</v>
      </c>
      <c r="K6" s="6" t="s">
        <v>23</v>
      </c>
    </row>
    <row r="7" customFormat="false" ht="15" hidden="false" customHeight="false" outlineLevel="0" collapsed="false">
      <c r="A7" s="3" t="s">
        <v>1198</v>
      </c>
      <c r="B7" s="3" t="s">
        <v>1199</v>
      </c>
      <c r="C7" s="3" t="s">
        <v>1200</v>
      </c>
      <c r="D7" s="3" t="s">
        <v>1201</v>
      </c>
      <c r="E7" s="3" t="s">
        <v>1202</v>
      </c>
      <c r="F7" s="3" t="s">
        <v>917</v>
      </c>
      <c r="G7" s="3" t="s">
        <v>1203</v>
      </c>
      <c r="H7" s="4" t="n">
        <v>800000</v>
      </c>
      <c r="I7" s="3" t="n">
        <v>45</v>
      </c>
      <c r="J7" s="4" t="n">
        <v>6000000</v>
      </c>
      <c r="K7" s="3" t="s">
        <v>23</v>
      </c>
    </row>
    <row r="8" customFormat="false" ht="15" hidden="false" customHeight="false" outlineLevel="0" collapsed="false">
      <c r="A8" s="6" t="s">
        <v>1204</v>
      </c>
      <c r="B8" s="6" t="s">
        <v>1205</v>
      </c>
      <c r="C8" s="6" t="s">
        <v>1178</v>
      </c>
      <c r="D8" s="6" t="s">
        <v>1206</v>
      </c>
      <c r="E8" s="6" t="s">
        <v>1207</v>
      </c>
      <c r="F8" s="6" t="s">
        <v>926</v>
      </c>
      <c r="G8" s="6" t="s">
        <v>1208</v>
      </c>
      <c r="H8" s="7" t="n">
        <v>75000</v>
      </c>
      <c r="I8" s="6" t="n">
        <v>15</v>
      </c>
      <c r="J8" s="7" t="n">
        <v>450000</v>
      </c>
      <c r="K8" s="6" t="s">
        <v>23</v>
      </c>
    </row>
    <row r="9" customFormat="false" ht="15" hidden="false" customHeight="false" outlineLevel="0" collapsed="false">
      <c r="A9" s="3" t="s">
        <v>1209</v>
      </c>
      <c r="B9" s="3" t="s">
        <v>1210</v>
      </c>
      <c r="C9" s="3" t="s">
        <v>1211</v>
      </c>
      <c r="D9" s="3" t="s">
        <v>1212</v>
      </c>
      <c r="E9" s="3" t="s">
        <v>1213</v>
      </c>
      <c r="F9" s="3" t="s">
        <v>912</v>
      </c>
      <c r="G9" s="3" t="s">
        <v>1214</v>
      </c>
      <c r="H9" s="4" t="n">
        <v>300000</v>
      </c>
      <c r="I9" s="3" t="n">
        <v>30</v>
      </c>
      <c r="J9" s="4" t="n">
        <v>2500000</v>
      </c>
      <c r="K9" s="3" t="s">
        <v>23</v>
      </c>
    </row>
    <row r="10" customFormat="false" ht="15" hidden="false" customHeight="false" outlineLevel="0" collapsed="false">
      <c r="A10" s="6" t="s">
        <v>1215</v>
      </c>
      <c r="B10" s="6" t="s">
        <v>1216</v>
      </c>
      <c r="C10" s="6" t="s">
        <v>1211</v>
      </c>
      <c r="D10" s="6" t="s">
        <v>1217</v>
      </c>
      <c r="E10" s="6" t="s">
        <v>1218</v>
      </c>
      <c r="F10" s="6" t="s">
        <v>917</v>
      </c>
      <c r="G10" s="6" t="s">
        <v>1219</v>
      </c>
      <c r="H10" s="7" t="n">
        <v>400000</v>
      </c>
      <c r="I10" s="6" t="n">
        <v>30</v>
      </c>
      <c r="J10" s="7" t="n">
        <v>3200000</v>
      </c>
      <c r="K10" s="6" t="s">
        <v>23</v>
      </c>
    </row>
    <row r="11" customFormat="false" ht="15" hidden="false" customHeight="false" outlineLevel="0" collapsed="false">
      <c r="A11" s="3" t="s">
        <v>1220</v>
      </c>
      <c r="B11" s="3" t="s">
        <v>1221</v>
      </c>
      <c r="C11" s="3" t="s">
        <v>1184</v>
      </c>
      <c r="D11" s="3" t="s">
        <v>1222</v>
      </c>
      <c r="E11" s="3" t="s">
        <v>1223</v>
      </c>
      <c r="F11" s="3" t="s">
        <v>1224</v>
      </c>
      <c r="G11" s="3" t="s">
        <v>1225</v>
      </c>
      <c r="H11" s="4" t="n">
        <v>600000</v>
      </c>
      <c r="I11" s="3" t="n">
        <v>45</v>
      </c>
      <c r="J11" s="4" t="n">
        <v>4500000</v>
      </c>
      <c r="K11" s="3" t="s">
        <v>23</v>
      </c>
    </row>
    <row r="12" customFormat="false" ht="15" hidden="false" customHeight="false" outlineLevel="0" collapsed="false">
      <c r="A12" s="6" t="s">
        <v>1226</v>
      </c>
      <c r="B12" s="6" t="s">
        <v>1227</v>
      </c>
      <c r="C12" s="6" t="s">
        <v>1184</v>
      </c>
      <c r="D12" s="6" t="s">
        <v>1228</v>
      </c>
      <c r="E12" s="6" t="s">
        <v>1229</v>
      </c>
      <c r="F12" s="6" t="s">
        <v>1230</v>
      </c>
      <c r="G12" s="6" t="s">
        <v>1231</v>
      </c>
      <c r="H12" s="7" t="n">
        <v>400000</v>
      </c>
      <c r="I12" s="6" t="n">
        <v>30</v>
      </c>
      <c r="J12" s="7" t="n">
        <v>3000000</v>
      </c>
      <c r="K12" s="6" t="s">
        <v>23</v>
      </c>
    </row>
    <row r="13" customFormat="false" ht="15" hidden="false" customHeight="false" outlineLevel="0" collapsed="false">
      <c r="A13" s="3" t="s">
        <v>1232</v>
      </c>
      <c r="B13" s="3" t="s">
        <v>1233</v>
      </c>
      <c r="C13" s="3" t="s">
        <v>1184</v>
      </c>
      <c r="D13" s="3" t="s">
        <v>1234</v>
      </c>
      <c r="E13" s="3" t="s">
        <v>1235</v>
      </c>
      <c r="F13" s="3" t="s">
        <v>1224</v>
      </c>
      <c r="G13" s="3" t="s">
        <v>1236</v>
      </c>
      <c r="H13" s="4" t="n">
        <v>800000</v>
      </c>
      <c r="I13" s="3" t="n">
        <v>30</v>
      </c>
      <c r="J13" s="4" t="n">
        <v>4674866</v>
      </c>
      <c r="K13" s="3" t="s">
        <v>23</v>
      </c>
    </row>
    <row r="14" customFormat="false" ht="15" hidden="false" customHeight="false" outlineLevel="0" collapsed="false">
      <c r="A14" s="6" t="s">
        <v>1237</v>
      </c>
      <c r="B14" s="6" t="s">
        <v>1238</v>
      </c>
      <c r="C14" s="6" t="s">
        <v>1178</v>
      </c>
      <c r="D14" s="6" t="s">
        <v>1239</v>
      </c>
      <c r="E14" s="6" t="s">
        <v>1240</v>
      </c>
      <c r="F14" s="6" t="s">
        <v>917</v>
      </c>
      <c r="G14" s="6" t="s">
        <v>1241</v>
      </c>
      <c r="H14" s="7" t="n">
        <v>500000</v>
      </c>
      <c r="I14" s="6" t="n">
        <v>7</v>
      </c>
      <c r="J14" s="7" t="n">
        <v>322599</v>
      </c>
      <c r="K14" s="6" t="s">
        <v>23</v>
      </c>
    </row>
    <row r="15" customFormat="false" ht="15" hidden="false" customHeight="false" outlineLevel="0" collapsed="false">
      <c r="A15" s="3" t="s">
        <v>1242</v>
      </c>
      <c r="B15" s="3" t="s">
        <v>1243</v>
      </c>
      <c r="C15" s="3" t="s">
        <v>1200</v>
      </c>
      <c r="D15" s="3" t="s">
        <v>1244</v>
      </c>
      <c r="E15" s="3" t="s">
        <v>1245</v>
      </c>
      <c r="F15" s="3" t="s">
        <v>1224</v>
      </c>
      <c r="G15" s="3" t="s">
        <v>1246</v>
      </c>
      <c r="H15" s="4" t="n">
        <v>50000</v>
      </c>
      <c r="I15" s="3" t="n">
        <v>45</v>
      </c>
      <c r="J15" s="4" t="n">
        <v>1439319</v>
      </c>
      <c r="K15" s="3" t="s">
        <v>23</v>
      </c>
    </row>
    <row r="16" customFormat="false" ht="15" hidden="false" customHeight="false" outlineLevel="0" collapsed="false">
      <c r="A16" s="6" t="s">
        <v>1247</v>
      </c>
      <c r="B16" s="6" t="s">
        <v>1248</v>
      </c>
      <c r="C16" s="6" t="s">
        <v>1184</v>
      </c>
      <c r="D16" s="6" t="s">
        <v>1249</v>
      </c>
      <c r="E16" s="6" t="s">
        <v>1250</v>
      </c>
      <c r="F16" s="6" t="s">
        <v>1224</v>
      </c>
      <c r="G16" s="6" t="s">
        <v>1251</v>
      </c>
      <c r="H16" s="7" t="n">
        <v>50000</v>
      </c>
      <c r="I16" s="6" t="n">
        <v>30</v>
      </c>
      <c r="J16" s="7" t="n">
        <v>3287061</v>
      </c>
      <c r="K16" s="6" t="s">
        <v>23</v>
      </c>
    </row>
    <row r="17" customFormat="false" ht="15" hidden="false" customHeight="false" outlineLevel="0" collapsed="false">
      <c r="A17" s="3" t="s">
        <v>1252</v>
      </c>
      <c r="B17" s="3" t="s">
        <v>1253</v>
      </c>
      <c r="C17" s="3" t="s">
        <v>1211</v>
      </c>
      <c r="D17" s="3" t="s">
        <v>1254</v>
      </c>
      <c r="E17" s="3" t="s">
        <v>1255</v>
      </c>
      <c r="F17" s="3" t="s">
        <v>912</v>
      </c>
      <c r="G17" s="3" t="s">
        <v>1256</v>
      </c>
      <c r="H17" s="4" t="n">
        <v>50000</v>
      </c>
      <c r="I17" s="3" t="n">
        <v>45</v>
      </c>
      <c r="J17" s="4" t="n">
        <v>3275376</v>
      </c>
      <c r="K17" s="3" t="s">
        <v>23</v>
      </c>
    </row>
    <row r="18" customFormat="false" ht="15" hidden="false" customHeight="false" outlineLevel="0" collapsed="false">
      <c r="A18" s="6" t="s">
        <v>1257</v>
      </c>
      <c r="B18" s="6" t="s">
        <v>1258</v>
      </c>
      <c r="C18" s="6" t="s">
        <v>1211</v>
      </c>
      <c r="D18" s="6" t="s">
        <v>1259</v>
      </c>
      <c r="E18" s="6" t="s">
        <v>1260</v>
      </c>
      <c r="F18" s="6" t="s">
        <v>1261</v>
      </c>
      <c r="G18" s="6" t="s">
        <v>1262</v>
      </c>
      <c r="H18" s="7" t="n">
        <v>50000</v>
      </c>
      <c r="I18" s="6" t="n">
        <v>45</v>
      </c>
      <c r="J18" s="7" t="n">
        <v>2011749</v>
      </c>
      <c r="K18" s="6" t="s">
        <v>23</v>
      </c>
    </row>
    <row r="19" customFormat="false" ht="15" hidden="false" customHeight="false" outlineLevel="0" collapsed="false">
      <c r="A19" s="3" t="s">
        <v>1263</v>
      </c>
      <c r="B19" s="3" t="s">
        <v>1264</v>
      </c>
      <c r="C19" s="3" t="s">
        <v>1178</v>
      </c>
      <c r="D19" s="3" t="s">
        <v>1265</v>
      </c>
      <c r="E19" s="3" t="s">
        <v>1266</v>
      </c>
      <c r="F19" s="3" t="s">
        <v>1267</v>
      </c>
      <c r="G19" s="3" t="s">
        <v>1268</v>
      </c>
      <c r="H19" s="4" t="n">
        <v>800000</v>
      </c>
      <c r="I19" s="3" t="n">
        <v>7</v>
      </c>
      <c r="J19" s="4" t="n">
        <v>3160434</v>
      </c>
      <c r="K19" s="3" t="s">
        <v>23</v>
      </c>
    </row>
    <row r="20" customFormat="false" ht="15" hidden="false" customHeight="false" outlineLevel="0" collapsed="false">
      <c r="A20" s="6" t="s">
        <v>1269</v>
      </c>
      <c r="B20" s="6" t="s">
        <v>1270</v>
      </c>
      <c r="C20" s="6" t="s">
        <v>1211</v>
      </c>
      <c r="D20" s="6" t="s">
        <v>1271</v>
      </c>
      <c r="E20" s="6" t="s">
        <v>1255</v>
      </c>
      <c r="F20" s="6" t="s">
        <v>917</v>
      </c>
      <c r="G20" s="6" t="s">
        <v>1272</v>
      </c>
      <c r="H20" s="7" t="n">
        <v>500000</v>
      </c>
      <c r="I20" s="6" t="n">
        <v>45</v>
      </c>
      <c r="J20" s="7" t="n">
        <v>2153622</v>
      </c>
      <c r="K20" s="6" t="s">
        <v>23</v>
      </c>
    </row>
    <row r="21" customFormat="false" ht="15" hidden="false" customHeight="false" outlineLevel="0" collapsed="false">
      <c r="A21" s="3" t="s">
        <v>1273</v>
      </c>
      <c r="B21" s="3" t="s">
        <v>1274</v>
      </c>
      <c r="C21" s="3" t="s">
        <v>1184</v>
      </c>
      <c r="D21" s="3" t="s">
        <v>1275</v>
      </c>
      <c r="E21" s="3" t="s">
        <v>1276</v>
      </c>
      <c r="F21" s="3" t="s">
        <v>1277</v>
      </c>
      <c r="G21" s="3" t="s">
        <v>1278</v>
      </c>
      <c r="H21" s="4" t="n">
        <v>50000</v>
      </c>
      <c r="I21" s="3" t="n">
        <v>30</v>
      </c>
      <c r="J21" s="4" t="n">
        <v>2746211</v>
      </c>
      <c r="K21" s="3" t="s">
        <v>23</v>
      </c>
    </row>
    <row r="22" customFormat="false" ht="15" hidden="false" customHeight="false" outlineLevel="0" collapsed="false">
      <c r="A22" s="6" t="s">
        <v>1279</v>
      </c>
      <c r="B22" s="6" t="s">
        <v>1280</v>
      </c>
      <c r="C22" s="6" t="s">
        <v>1211</v>
      </c>
      <c r="D22" s="6" t="s">
        <v>1281</v>
      </c>
      <c r="E22" s="6" t="s">
        <v>1282</v>
      </c>
      <c r="F22" s="6" t="s">
        <v>1224</v>
      </c>
      <c r="G22" s="6" t="s">
        <v>1283</v>
      </c>
      <c r="H22" s="7" t="n">
        <v>800000</v>
      </c>
      <c r="I22" s="6" t="n">
        <v>45</v>
      </c>
      <c r="J22" s="7" t="n">
        <v>3949128</v>
      </c>
      <c r="K22" s="6" t="s">
        <v>23</v>
      </c>
    </row>
    <row r="23" customFormat="false" ht="15" hidden="false" customHeight="false" outlineLevel="0" collapsed="false">
      <c r="A23" s="3" t="s">
        <v>1284</v>
      </c>
      <c r="B23" s="3" t="s">
        <v>1285</v>
      </c>
      <c r="C23" s="3" t="s">
        <v>1211</v>
      </c>
      <c r="D23" s="3" t="s">
        <v>1286</v>
      </c>
      <c r="E23" s="3" t="s">
        <v>1287</v>
      </c>
      <c r="F23" s="3" t="s">
        <v>1261</v>
      </c>
      <c r="G23" s="3" t="s">
        <v>1288</v>
      </c>
      <c r="H23" s="4" t="n">
        <v>200000</v>
      </c>
      <c r="I23" s="3" t="n">
        <v>45</v>
      </c>
      <c r="J23" s="4" t="n">
        <v>1939795</v>
      </c>
      <c r="K23" s="3" t="s">
        <v>23</v>
      </c>
    </row>
    <row r="24" customFormat="false" ht="15" hidden="false" customHeight="false" outlineLevel="0" collapsed="false">
      <c r="A24" s="6" t="s">
        <v>1289</v>
      </c>
      <c r="B24" s="6" t="s">
        <v>1290</v>
      </c>
      <c r="C24" s="6" t="s">
        <v>1178</v>
      </c>
      <c r="D24" s="6" t="s">
        <v>1291</v>
      </c>
      <c r="E24" s="6" t="s">
        <v>1292</v>
      </c>
      <c r="F24" s="6" t="s">
        <v>917</v>
      </c>
      <c r="G24" s="6" t="s">
        <v>1293</v>
      </c>
      <c r="H24" s="7" t="n">
        <v>800000</v>
      </c>
      <c r="I24" s="6" t="n">
        <v>7</v>
      </c>
      <c r="J24" s="7" t="n">
        <v>3641334</v>
      </c>
      <c r="K24" s="6" t="s">
        <v>23</v>
      </c>
    </row>
    <row r="25" customFormat="false" ht="15" hidden="false" customHeight="false" outlineLevel="0" collapsed="false">
      <c r="A25" s="3" t="s">
        <v>1294</v>
      </c>
      <c r="B25" s="3" t="s">
        <v>1295</v>
      </c>
      <c r="C25" s="3" t="s">
        <v>1200</v>
      </c>
      <c r="D25" s="3" t="s">
        <v>1296</v>
      </c>
      <c r="E25" s="3" t="s">
        <v>1297</v>
      </c>
      <c r="F25" s="3" t="s">
        <v>1298</v>
      </c>
      <c r="G25" s="3" t="s">
        <v>1299</v>
      </c>
      <c r="H25" s="4" t="n">
        <v>800000</v>
      </c>
      <c r="I25" s="3" t="n">
        <v>45</v>
      </c>
      <c r="J25" s="4" t="n">
        <v>1060929</v>
      </c>
      <c r="K25" s="3" t="s">
        <v>23</v>
      </c>
    </row>
    <row r="26" customFormat="false" ht="15" hidden="false" customHeight="false" outlineLevel="0" collapsed="false">
      <c r="A26" s="6" t="s">
        <v>1300</v>
      </c>
      <c r="B26" s="6" t="s">
        <v>1301</v>
      </c>
      <c r="C26" s="6" t="s">
        <v>1178</v>
      </c>
      <c r="D26" s="6" t="s">
        <v>1302</v>
      </c>
      <c r="E26" s="6" t="s">
        <v>1260</v>
      </c>
      <c r="F26" s="6" t="s">
        <v>1230</v>
      </c>
      <c r="G26" s="6" t="s">
        <v>1303</v>
      </c>
      <c r="H26" s="7" t="n">
        <v>300000</v>
      </c>
      <c r="I26" s="6" t="n">
        <v>7</v>
      </c>
      <c r="J26" s="7" t="n">
        <v>127223</v>
      </c>
      <c r="K26" s="6" t="s">
        <v>23</v>
      </c>
    </row>
    <row r="27" customFormat="false" ht="15" hidden="false" customHeight="false" outlineLevel="0" collapsed="false">
      <c r="A27" s="3" t="s">
        <v>1304</v>
      </c>
      <c r="B27" s="3" t="s">
        <v>1305</v>
      </c>
      <c r="C27" s="3" t="s">
        <v>1178</v>
      </c>
      <c r="D27" s="3" t="s">
        <v>1306</v>
      </c>
      <c r="E27" s="3" t="s">
        <v>1307</v>
      </c>
      <c r="F27" s="3" t="s">
        <v>1230</v>
      </c>
      <c r="G27" s="3" t="s">
        <v>1308</v>
      </c>
      <c r="H27" s="4" t="n">
        <v>100000</v>
      </c>
      <c r="I27" s="3" t="n">
        <v>7</v>
      </c>
      <c r="J27" s="4" t="n">
        <v>3236616</v>
      </c>
      <c r="K27" s="3" t="s">
        <v>23</v>
      </c>
    </row>
    <row r="28" customFormat="false" ht="15" hidden="false" customHeight="false" outlineLevel="0" collapsed="false">
      <c r="A28" s="6" t="s">
        <v>1309</v>
      </c>
      <c r="B28" s="6" t="s">
        <v>1310</v>
      </c>
      <c r="C28" s="6" t="s">
        <v>1178</v>
      </c>
      <c r="D28" s="6" t="s">
        <v>1311</v>
      </c>
      <c r="E28" s="6" t="s">
        <v>1312</v>
      </c>
      <c r="F28" s="6" t="s">
        <v>1261</v>
      </c>
      <c r="G28" s="6" t="s">
        <v>1313</v>
      </c>
      <c r="H28" s="7" t="n">
        <v>50000</v>
      </c>
      <c r="I28" s="6" t="n">
        <v>7</v>
      </c>
      <c r="J28" s="7" t="n">
        <v>1038414</v>
      </c>
      <c r="K28" s="6" t="s">
        <v>23</v>
      </c>
    </row>
    <row r="29" customFormat="false" ht="15" hidden="false" customHeight="false" outlineLevel="0" collapsed="false">
      <c r="A29" s="3" t="s">
        <v>1314</v>
      </c>
      <c r="B29" s="3" t="s">
        <v>1315</v>
      </c>
      <c r="C29" s="3" t="s">
        <v>1184</v>
      </c>
      <c r="D29" s="3" t="s">
        <v>1316</v>
      </c>
      <c r="E29" s="3" t="s">
        <v>1317</v>
      </c>
      <c r="F29" s="3" t="s">
        <v>1261</v>
      </c>
      <c r="G29" s="3" t="s">
        <v>1318</v>
      </c>
      <c r="H29" s="4" t="n">
        <v>800000</v>
      </c>
      <c r="I29" s="3" t="n">
        <v>30</v>
      </c>
      <c r="J29" s="4" t="n">
        <v>4176783</v>
      </c>
      <c r="K29" s="3" t="s">
        <v>23</v>
      </c>
    </row>
    <row r="30" customFormat="false" ht="15" hidden="false" customHeight="false" outlineLevel="0" collapsed="false">
      <c r="A30" s="6" t="s">
        <v>1319</v>
      </c>
      <c r="B30" s="6" t="s">
        <v>1320</v>
      </c>
      <c r="C30" s="6" t="s">
        <v>1200</v>
      </c>
      <c r="D30" s="6" t="s">
        <v>1321</v>
      </c>
      <c r="E30" s="6" t="s">
        <v>1322</v>
      </c>
      <c r="F30" s="6" t="s">
        <v>1298</v>
      </c>
      <c r="G30" s="6" t="s">
        <v>1323</v>
      </c>
      <c r="H30" s="7" t="n">
        <v>500000</v>
      </c>
      <c r="I30" s="6" t="n">
        <v>45</v>
      </c>
      <c r="J30" s="7" t="n">
        <v>3649538</v>
      </c>
      <c r="K30" s="6" t="s">
        <v>23</v>
      </c>
    </row>
    <row r="31" customFormat="false" ht="15" hidden="false" customHeight="false" outlineLevel="0" collapsed="false">
      <c r="A31" s="3" t="s">
        <v>1324</v>
      </c>
      <c r="B31" s="3" t="s">
        <v>1325</v>
      </c>
      <c r="C31" s="3" t="s">
        <v>1211</v>
      </c>
      <c r="D31" s="3" t="s">
        <v>1326</v>
      </c>
      <c r="E31" s="3" t="s">
        <v>1327</v>
      </c>
      <c r="F31" s="3" t="s">
        <v>1267</v>
      </c>
      <c r="G31" s="3" t="s">
        <v>1328</v>
      </c>
      <c r="H31" s="4" t="n">
        <v>500000</v>
      </c>
      <c r="I31" s="3" t="n">
        <v>45</v>
      </c>
      <c r="J31" s="4" t="n">
        <v>3887340</v>
      </c>
      <c r="K31" s="3" t="s">
        <v>23</v>
      </c>
    </row>
    <row r="32" customFormat="false" ht="15" hidden="false" customHeight="false" outlineLevel="0" collapsed="false">
      <c r="A32" s="6" t="s">
        <v>1329</v>
      </c>
      <c r="B32" s="6" t="s">
        <v>1330</v>
      </c>
      <c r="C32" s="6" t="s">
        <v>1211</v>
      </c>
      <c r="D32" s="6" t="s">
        <v>1331</v>
      </c>
      <c r="E32" s="6" t="s">
        <v>1332</v>
      </c>
      <c r="F32" s="6" t="s">
        <v>912</v>
      </c>
      <c r="G32" s="6" t="s">
        <v>1333</v>
      </c>
      <c r="H32" s="7" t="n">
        <v>500000</v>
      </c>
      <c r="I32" s="6" t="n">
        <v>45</v>
      </c>
      <c r="J32" s="7" t="n">
        <v>1947317</v>
      </c>
      <c r="K32" s="6" t="s">
        <v>23</v>
      </c>
    </row>
    <row r="33" customFormat="false" ht="15" hidden="false" customHeight="false" outlineLevel="0" collapsed="false">
      <c r="A33" s="3" t="s">
        <v>1334</v>
      </c>
      <c r="B33" s="3" t="s">
        <v>1335</v>
      </c>
      <c r="C33" s="3" t="s">
        <v>1184</v>
      </c>
      <c r="D33" s="3" t="s">
        <v>1336</v>
      </c>
      <c r="E33" s="3" t="s">
        <v>1337</v>
      </c>
      <c r="F33" s="3" t="s">
        <v>917</v>
      </c>
      <c r="G33" s="3" t="s">
        <v>1338</v>
      </c>
      <c r="H33" s="4" t="n">
        <v>50000</v>
      </c>
      <c r="I33" s="3" t="n">
        <v>30</v>
      </c>
      <c r="J33" s="4" t="n">
        <v>4413054</v>
      </c>
      <c r="K33" s="3" t="s">
        <v>23</v>
      </c>
    </row>
    <row r="34" customFormat="false" ht="15" hidden="false" customHeight="false" outlineLevel="0" collapsed="false">
      <c r="A34" s="6" t="s">
        <v>1339</v>
      </c>
      <c r="B34" s="6" t="s">
        <v>1340</v>
      </c>
      <c r="C34" s="6" t="s">
        <v>1184</v>
      </c>
      <c r="D34" s="6" t="s">
        <v>1341</v>
      </c>
      <c r="E34" s="6" t="s">
        <v>1342</v>
      </c>
      <c r="F34" s="6" t="s">
        <v>1298</v>
      </c>
      <c r="G34" s="6" t="s">
        <v>1343</v>
      </c>
      <c r="H34" s="7" t="n">
        <v>100000</v>
      </c>
      <c r="I34" s="6" t="n">
        <v>30</v>
      </c>
      <c r="J34" s="7" t="n">
        <v>4067584</v>
      </c>
      <c r="K34" s="6" t="s">
        <v>23</v>
      </c>
    </row>
    <row r="35" customFormat="false" ht="15" hidden="false" customHeight="false" outlineLevel="0" collapsed="false">
      <c r="A35" s="3" t="s">
        <v>1344</v>
      </c>
      <c r="B35" s="3" t="s">
        <v>1345</v>
      </c>
      <c r="C35" s="3" t="s">
        <v>1200</v>
      </c>
      <c r="D35" s="3" t="s">
        <v>1346</v>
      </c>
      <c r="E35" s="3" t="s">
        <v>1347</v>
      </c>
      <c r="F35" s="3" t="s">
        <v>1277</v>
      </c>
      <c r="G35" s="3" t="s">
        <v>1348</v>
      </c>
      <c r="H35" s="4" t="n">
        <v>300000</v>
      </c>
      <c r="I35" s="3" t="n">
        <v>45</v>
      </c>
      <c r="J35" s="4" t="n">
        <v>554420</v>
      </c>
      <c r="K35" s="3" t="s">
        <v>23</v>
      </c>
    </row>
    <row r="36" customFormat="false" ht="15" hidden="false" customHeight="false" outlineLevel="0" collapsed="false">
      <c r="A36" s="6" t="s">
        <v>1349</v>
      </c>
      <c r="B36" s="6" t="s">
        <v>1350</v>
      </c>
      <c r="C36" s="6" t="s">
        <v>1211</v>
      </c>
      <c r="D36" s="6" t="s">
        <v>1351</v>
      </c>
      <c r="E36" s="6" t="s">
        <v>1235</v>
      </c>
      <c r="F36" s="6" t="s">
        <v>917</v>
      </c>
      <c r="G36" s="6" t="s">
        <v>1352</v>
      </c>
      <c r="H36" s="7" t="n">
        <v>100000</v>
      </c>
      <c r="I36" s="6" t="n">
        <v>45</v>
      </c>
      <c r="J36" s="7" t="n">
        <v>4598690</v>
      </c>
      <c r="K36" s="6" t="s">
        <v>23</v>
      </c>
    </row>
    <row r="37" customFormat="false" ht="15" hidden="false" customHeight="false" outlineLevel="0" collapsed="false">
      <c r="A37" s="3" t="s">
        <v>1353</v>
      </c>
      <c r="B37" s="3" t="s">
        <v>1354</v>
      </c>
      <c r="C37" s="3" t="s">
        <v>1211</v>
      </c>
      <c r="D37" s="3" t="s">
        <v>1355</v>
      </c>
      <c r="E37" s="3" t="s">
        <v>1356</v>
      </c>
      <c r="F37" s="3" t="s">
        <v>1357</v>
      </c>
      <c r="G37" s="3" t="s">
        <v>1358</v>
      </c>
      <c r="H37" s="4" t="n">
        <v>300000</v>
      </c>
      <c r="I37" s="3" t="n">
        <v>45</v>
      </c>
      <c r="J37" s="4" t="n">
        <v>4716463</v>
      </c>
      <c r="K37" s="3" t="s">
        <v>23</v>
      </c>
    </row>
    <row r="38" customFormat="false" ht="15" hidden="false" customHeight="false" outlineLevel="0" collapsed="false">
      <c r="A38" s="6" t="s">
        <v>1359</v>
      </c>
      <c r="B38" s="6" t="s">
        <v>1360</v>
      </c>
      <c r="C38" s="6" t="s">
        <v>1178</v>
      </c>
      <c r="D38" s="6" t="s">
        <v>1361</v>
      </c>
      <c r="E38" s="6" t="s">
        <v>1362</v>
      </c>
      <c r="F38" s="6" t="s">
        <v>917</v>
      </c>
      <c r="G38" s="6" t="s">
        <v>1363</v>
      </c>
      <c r="H38" s="7" t="n">
        <v>300000</v>
      </c>
      <c r="I38" s="6" t="n">
        <v>7</v>
      </c>
      <c r="J38" s="7" t="n">
        <v>4173853</v>
      </c>
      <c r="K38" s="6" t="s">
        <v>23</v>
      </c>
    </row>
    <row r="39" customFormat="false" ht="15" hidden="false" customHeight="false" outlineLevel="0" collapsed="false">
      <c r="A39" s="3" t="s">
        <v>1364</v>
      </c>
      <c r="B39" s="3" t="s">
        <v>1365</v>
      </c>
      <c r="C39" s="3" t="s">
        <v>1184</v>
      </c>
      <c r="D39" s="3" t="s">
        <v>1366</v>
      </c>
      <c r="E39" s="3" t="s">
        <v>1367</v>
      </c>
      <c r="F39" s="3" t="s">
        <v>1267</v>
      </c>
      <c r="G39" s="3" t="s">
        <v>1368</v>
      </c>
      <c r="H39" s="4" t="n">
        <v>200000</v>
      </c>
      <c r="I39" s="3" t="n">
        <v>30</v>
      </c>
      <c r="J39" s="4" t="n">
        <v>3916886</v>
      </c>
      <c r="K39" s="3" t="s">
        <v>23</v>
      </c>
    </row>
    <row r="40" customFormat="false" ht="15" hidden="false" customHeight="false" outlineLevel="0" collapsed="false">
      <c r="A40" s="6" t="s">
        <v>1369</v>
      </c>
      <c r="B40" s="6" t="s">
        <v>1370</v>
      </c>
      <c r="C40" s="6" t="s">
        <v>1200</v>
      </c>
      <c r="D40" s="6" t="s">
        <v>1371</v>
      </c>
      <c r="E40" s="6" t="s">
        <v>1372</v>
      </c>
      <c r="F40" s="6" t="s">
        <v>926</v>
      </c>
      <c r="G40" s="6" t="s">
        <v>1373</v>
      </c>
      <c r="H40" s="7" t="n">
        <v>100000</v>
      </c>
      <c r="I40" s="6" t="n">
        <v>45</v>
      </c>
      <c r="J40" s="7" t="n">
        <v>590593</v>
      </c>
      <c r="K40" s="6" t="s">
        <v>23</v>
      </c>
    </row>
    <row r="41" customFormat="false" ht="15" hidden="false" customHeight="false" outlineLevel="0" collapsed="false">
      <c r="A41" s="3" t="s">
        <v>1374</v>
      </c>
      <c r="B41" s="3" t="s">
        <v>1375</v>
      </c>
      <c r="C41" s="3" t="s">
        <v>1178</v>
      </c>
      <c r="D41" s="3" t="s">
        <v>1376</v>
      </c>
      <c r="E41" s="3" t="s">
        <v>1377</v>
      </c>
      <c r="F41" s="3" t="s">
        <v>912</v>
      </c>
      <c r="G41" s="3" t="s">
        <v>1378</v>
      </c>
      <c r="H41" s="4" t="n">
        <v>500000</v>
      </c>
      <c r="I41" s="3" t="n">
        <v>7</v>
      </c>
      <c r="J41" s="4" t="n">
        <v>4555408</v>
      </c>
      <c r="K41" s="3" t="s">
        <v>23</v>
      </c>
    </row>
    <row r="42" customFormat="false" ht="15" hidden="false" customHeight="false" outlineLevel="0" collapsed="false">
      <c r="A42" s="6" t="s">
        <v>1379</v>
      </c>
      <c r="B42" s="6" t="s">
        <v>1380</v>
      </c>
      <c r="C42" s="6" t="s">
        <v>1184</v>
      </c>
      <c r="D42" s="6" t="s">
        <v>1381</v>
      </c>
      <c r="E42" s="6" t="s">
        <v>1382</v>
      </c>
      <c r="F42" s="6" t="s">
        <v>917</v>
      </c>
      <c r="G42" s="6" t="s">
        <v>1383</v>
      </c>
      <c r="H42" s="7" t="n">
        <v>800000</v>
      </c>
      <c r="I42" s="6" t="n">
        <v>30</v>
      </c>
      <c r="J42" s="7" t="n">
        <v>2073033</v>
      </c>
      <c r="K42" s="6" t="s">
        <v>23</v>
      </c>
    </row>
    <row r="43" customFormat="false" ht="15" hidden="false" customHeight="false" outlineLevel="0" collapsed="false">
      <c r="A43" s="3" t="s">
        <v>1384</v>
      </c>
      <c r="B43" s="3" t="s">
        <v>1385</v>
      </c>
      <c r="C43" s="3" t="s">
        <v>1178</v>
      </c>
      <c r="D43" s="3" t="s">
        <v>1386</v>
      </c>
      <c r="E43" s="3" t="s">
        <v>1387</v>
      </c>
      <c r="F43" s="3" t="s">
        <v>1261</v>
      </c>
      <c r="G43" s="3" t="s">
        <v>1388</v>
      </c>
      <c r="H43" s="4" t="n">
        <v>800000</v>
      </c>
      <c r="I43" s="3" t="n">
        <v>7</v>
      </c>
      <c r="J43" s="4" t="n">
        <v>4996198</v>
      </c>
      <c r="K43" s="3" t="s">
        <v>23</v>
      </c>
    </row>
    <row r="44" customFormat="false" ht="15" hidden="false" customHeight="false" outlineLevel="0" collapsed="false">
      <c r="A44" s="6" t="s">
        <v>1389</v>
      </c>
      <c r="B44" s="6" t="s">
        <v>1390</v>
      </c>
      <c r="C44" s="6" t="s">
        <v>1184</v>
      </c>
      <c r="D44" s="6" t="s">
        <v>1391</v>
      </c>
      <c r="E44" s="6" t="s">
        <v>1392</v>
      </c>
      <c r="F44" s="6" t="s">
        <v>1277</v>
      </c>
      <c r="G44" s="6" t="s">
        <v>1393</v>
      </c>
      <c r="H44" s="7" t="n">
        <v>300000</v>
      </c>
      <c r="I44" s="6" t="n">
        <v>30</v>
      </c>
      <c r="J44" s="7" t="n">
        <v>1197886</v>
      </c>
      <c r="K44" s="6" t="s">
        <v>23</v>
      </c>
    </row>
    <row r="45" customFormat="false" ht="15" hidden="false" customHeight="false" outlineLevel="0" collapsed="false">
      <c r="A45" s="3" t="s">
        <v>1394</v>
      </c>
      <c r="B45" s="3" t="s">
        <v>1395</v>
      </c>
      <c r="C45" s="3" t="s">
        <v>1178</v>
      </c>
      <c r="D45" s="3" t="s">
        <v>1396</v>
      </c>
      <c r="E45" s="3" t="s">
        <v>1397</v>
      </c>
      <c r="F45" s="3" t="s">
        <v>912</v>
      </c>
      <c r="G45" s="3" t="s">
        <v>1398</v>
      </c>
      <c r="H45" s="4" t="n">
        <v>50000</v>
      </c>
      <c r="I45" s="3" t="n">
        <v>7</v>
      </c>
      <c r="J45" s="4" t="n">
        <v>4610004</v>
      </c>
      <c r="K45" s="3" t="s">
        <v>23</v>
      </c>
    </row>
    <row r="46" customFormat="false" ht="15" hidden="false" customHeight="false" outlineLevel="0" collapsed="false">
      <c r="A46" s="6" t="s">
        <v>1399</v>
      </c>
      <c r="B46" s="6" t="s">
        <v>1400</v>
      </c>
      <c r="C46" s="6" t="s">
        <v>1211</v>
      </c>
      <c r="D46" s="6" t="s">
        <v>1401</v>
      </c>
      <c r="E46" s="6" t="s">
        <v>1402</v>
      </c>
      <c r="F46" s="6" t="s">
        <v>917</v>
      </c>
      <c r="G46" s="6" t="s">
        <v>1352</v>
      </c>
      <c r="H46" s="7" t="n">
        <v>200000</v>
      </c>
      <c r="I46" s="6" t="n">
        <v>45</v>
      </c>
      <c r="J46" s="7" t="n">
        <v>1423276</v>
      </c>
      <c r="K46" s="6" t="s">
        <v>23</v>
      </c>
    </row>
    <row r="47" customFormat="false" ht="15" hidden="false" customHeight="false" outlineLevel="0" collapsed="false">
      <c r="A47" s="3" t="s">
        <v>1403</v>
      </c>
      <c r="B47" s="3" t="s">
        <v>1404</v>
      </c>
      <c r="C47" s="3" t="s">
        <v>1178</v>
      </c>
      <c r="D47" s="3" t="s">
        <v>1405</v>
      </c>
      <c r="E47" s="3" t="s">
        <v>1327</v>
      </c>
      <c r="F47" s="3" t="s">
        <v>1298</v>
      </c>
      <c r="G47" s="3" t="s">
        <v>1406</v>
      </c>
      <c r="H47" s="4" t="n">
        <v>100000</v>
      </c>
      <c r="I47" s="3" t="n">
        <v>7</v>
      </c>
      <c r="J47" s="4" t="n">
        <v>2318500</v>
      </c>
      <c r="K47" s="3" t="s">
        <v>23</v>
      </c>
    </row>
    <row r="48" customFormat="false" ht="15" hidden="false" customHeight="false" outlineLevel="0" collapsed="false">
      <c r="A48" s="6" t="s">
        <v>1407</v>
      </c>
      <c r="B48" s="6" t="s">
        <v>1408</v>
      </c>
      <c r="C48" s="6" t="s">
        <v>1184</v>
      </c>
      <c r="D48" s="6" t="s">
        <v>1409</v>
      </c>
      <c r="E48" s="6" t="s">
        <v>1410</v>
      </c>
      <c r="F48" s="6" t="s">
        <v>1230</v>
      </c>
      <c r="G48" s="6" t="s">
        <v>1411</v>
      </c>
      <c r="H48" s="7" t="n">
        <v>800000</v>
      </c>
      <c r="I48" s="6" t="n">
        <v>30</v>
      </c>
      <c r="J48" s="7" t="n">
        <v>2976288</v>
      </c>
      <c r="K48" s="6" t="s">
        <v>23</v>
      </c>
    </row>
    <row r="49" customFormat="false" ht="15" hidden="false" customHeight="false" outlineLevel="0" collapsed="false">
      <c r="A49" s="3" t="s">
        <v>1412</v>
      </c>
      <c r="B49" s="3" t="s">
        <v>1413</v>
      </c>
      <c r="C49" s="3" t="s">
        <v>1211</v>
      </c>
      <c r="D49" s="3" t="s">
        <v>1414</v>
      </c>
      <c r="E49" s="3" t="s">
        <v>1307</v>
      </c>
      <c r="F49" s="3" t="s">
        <v>912</v>
      </c>
      <c r="G49" s="3" t="s">
        <v>1333</v>
      </c>
      <c r="H49" s="4" t="n">
        <v>200000</v>
      </c>
      <c r="I49" s="3" t="n">
        <v>45</v>
      </c>
      <c r="J49" s="4" t="n">
        <v>469826</v>
      </c>
      <c r="K49" s="3" t="s">
        <v>23</v>
      </c>
    </row>
    <row r="50" customFormat="false" ht="15" hidden="false" customHeight="false" outlineLevel="0" collapsed="false">
      <c r="A50" s="6" t="s">
        <v>1415</v>
      </c>
      <c r="B50" s="6" t="s">
        <v>1416</v>
      </c>
      <c r="C50" s="6" t="s">
        <v>1184</v>
      </c>
      <c r="D50" s="6" t="s">
        <v>1417</v>
      </c>
      <c r="E50" s="6" t="s">
        <v>1418</v>
      </c>
      <c r="F50" s="6" t="s">
        <v>1357</v>
      </c>
      <c r="G50" s="6" t="s">
        <v>1419</v>
      </c>
      <c r="H50" s="7" t="n">
        <v>500000</v>
      </c>
      <c r="I50" s="6" t="n">
        <v>30</v>
      </c>
      <c r="J50" s="7" t="n">
        <v>181115</v>
      </c>
      <c r="K50" s="6" t="s">
        <v>23</v>
      </c>
    </row>
    <row r="51" customFormat="false" ht="15" hidden="false" customHeight="false" outlineLevel="0" collapsed="false">
      <c r="A51" s="3" t="s">
        <v>1420</v>
      </c>
      <c r="B51" s="3" t="s">
        <v>1421</v>
      </c>
      <c r="C51" s="3" t="s">
        <v>1178</v>
      </c>
      <c r="D51" s="3" t="s">
        <v>1422</v>
      </c>
      <c r="E51" s="3" t="s">
        <v>1337</v>
      </c>
      <c r="F51" s="3" t="s">
        <v>1277</v>
      </c>
      <c r="G51" s="3" t="s">
        <v>1423</v>
      </c>
      <c r="H51" s="4" t="n">
        <v>300000</v>
      </c>
      <c r="I51" s="3" t="n">
        <v>7</v>
      </c>
      <c r="J51" s="4" t="n">
        <v>1169090</v>
      </c>
      <c r="K51" s="3" t="s">
        <v>23</v>
      </c>
    </row>
    <row r="52" customFormat="false" ht="15" hidden="false" customHeight="false" outlineLevel="0" collapsed="false">
      <c r="A52" s="6" t="s">
        <v>1424</v>
      </c>
      <c r="B52" s="6" t="s">
        <v>1425</v>
      </c>
      <c r="C52" s="6" t="s">
        <v>1211</v>
      </c>
      <c r="D52" s="6" t="s">
        <v>1426</v>
      </c>
      <c r="E52" s="6" t="s">
        <v>1427</v>
      </c>
      <c r="F52" s="6" t="s">
        <v>1224</v>
      </c>
      <c r="G52" s="6" t="s">
        <v>1428</v>
      </c>
      <c r="H52" s="7" t="n">
        <v>200000</v>
      </c>
      <c r="I52" s="6" t="n">
        <v>45</v>
      </c>
      <c r="J52" s="7" t="n">
        <v>4796643</v>
      </c>
      <c r="K52" s="6" t="s">
        <v>23</v>
      </c>
    </row>
    <row r="53" customFormat="false" ht="15" hidden="false" customHeight="false" outlineLevel="0" collapsed="false">
      <c r="A53" s="3" t="s">
        <v>1429</v>
      </c>
      <c r="B53" s="3" t="s">
        <v>1430</v>
      </c>
      <c r="C53" s="3" t="s">
        <v>1184</v>
      </c>
      <c r="D53" s="3" t="s">
        <v>1431</v>
      </c>
      <c r="E53" s="3" t="s">
        <v>1432</v>
      </c>
      <c r="F53" s="3" t="s">
        <v>926</v>
      </c>
      <c r="G53" s="3" t="s">
        <v>1433</v>
      </c>
      <c r="H53" s="4" t="n">
        <v>50000</v>
      </c>
      <c r="I53" s="3" t="n">
        <v>30</v>
      </c>
      <c r="J53" s="4" t="n">
        <v>1604586</v>
      </c>
      <c r="K53" s="3" t="s">
        <v>23</v>
      </c>
    </row>
    <row r="54" customFormat="false" ht="15" hidden="false" customHeight="false" outlineLevel="0" collapsed="false">
      <c r="A54" s="6" t="s">
        <v>1434</v>
      </c>
      <c r="B54" s="6" t="s">
        <v>1435</v>
      </c>
      <c r="C54" s="6" t="s">
        <v>1211</v>
      </c>
      <c r="D54" s="6" t="s">
        <v>1436</v>
      </c>
      <c r="E54" s="6" t="s">
        <v>1437</v>
      </c>
      <c r="F54" s="6" t="s">
        <v>926</v>
      </c>
      <c r="G54" s="6" t="s">
        <v>1438</v>
      </c>
      <c r="H54" s="7" t="n">
        <v>50000</v>
      </c>
      <c r="I54" s="6" t="n">
        <v>45</v>
      </c>
      <c r="J54" s="7" t="n">
        <v>4048434</v>
      </c>
      <c r="K54" s="6" t="s">
        <v>23</v>
      </c>
    </row>
    <row r="55" customFormat="false" ht="15" hidden="false" customHeight="false" outlineLevel="0" collapsed="false">
      <c r="A55" s="3" t="s">
        <v>1439</v>
      </c>
      <c r="B55" s="3" t="s">
        <v>1440</v>
      </c>
      <c r="C55" s="3" t="s">
        <v>1211</v>
      </c>
      <c r="D55" s="3" t="s">
        <v>1441</v>
      </c>
      <c r="E55" s="3" t="s">
        <v>1442</v>
      </c>
      <c r="F55" s="3" t="s">
        <v>1224</v>
      </c>
      <c r="G55" s="3" t="s">
        <v>1443</v>
      </c>
      <c r="H55" s="4" t="n">
        <v>800000</v>
      </c>
      <c r="I55" s="3" t="n">
        <v>45</v>
      </c>
      <c r="J55" s="4" t="n">
        <v>1720090</v>
      </c>
      <c r="K55" s="3" t="s">
        <v>23</v>
      </c>
    </row>
    <row r="56" customFormat="false" ht="15" hidden="false" customHeight="false" outlineLevel="0" collapsed="false">
      <c r="A56" s="6" t="s">
        <v>1444</v>
      </c>
      <c r="B56" s="6" t="s">
        <v>1445</v>
      </c>
      <c r="C56" s="6" t="s">
        <v>1211</v>
      </c>
      <c r="D56" s="6" t="s">
        <v>1446</v>
      </c>
      <c r="E56" s="6" t="s">
        <v>1447</v>
      </c>
      <c r="F56" s="6" t="s">
        <v>1277</v>
      </c>
      <c r="G56" s="6" t="s">
        <v>1448</v>
      </c>
      <c r="H56" s="7" t="n">
        <v>800000</v>
      </c>
      <c r="I56" s="6" t="n">
        <v>45</v>
      </c>
      <c r="J56" s="7" t="n">
        <v>4598103</v>
      </c>
      <c r="K56" s="6" t="s">
        <v>23</v>
      </c>
    </row>
    <row r="57" customFormat="false" ht="15" hidden="false" customHeight="false" outlineLevel="0" collapsed="false">
      <c r="A57" s="3" t="s">
        <v>1449</v>
      </c>
      <c r="B57" s="3" t="s">
        <v>1450</v>
      </c>
      <c r="C57" s="3" t="s">
        <v>1184</v>
      </c>
      <c r="D57" s="3" t="s">
        <v>1451</v>
      </c>
      <c r="E57" s="3" t="s">
        <v>1452</v>
      </c>
      <c r="F57" s="3" t="s">
        <v>1261</v>
      </c>
      <c r="G57" s="3" t="s">
        <v>1453</v>
      </c>
      <c r="H57" s="4" t="n">
        <v>50000</v>
      </c>
      <c r="I57" s="3" t="n">
        <v>30</v>
      </c>
      <c r="J57" s="4" t="n">
        <v>3745385</v>
      </c>
      <c r="K57" s="3" t="s">
        <v>23</v>
      </c>
    </row>
    <row r="58" customFormat="false" ht="15" hidden="false" customHeight="false" outlineLevel="0" collapsed="false">
      <c r="A58" s="6" t="s">
        <v>1454</v>
      </c>
      <c r="B58" s="6" t="s">
        <v>1455</v>
      </c>
      <c r="C58" s="6" t="s">
        <v>1178</v>
      </c>
      <c r="D58" s="6" t="s">
        <v>1456</v>
      </c>
      <c r="E58" s="6" t="s">
        <v>1437</v>
      </c>
      <c r="F58" s="6" t="s">
        <v>1267</v>
      </c>
      <c r="G58" s="6" t="s">
        <v>1457</v>
      </c>
      <c r="H58" s="7" t="n">
        <v>200000</v>
      </c>
      <c r="I58" s="6" t="n">
        <v>7</v>
      </c>
      <c r="J58" s="7" t="n">
        <v>472341</v>
      </c>
      <c r="K58" s="6" t="s">
        <v>23</v>
      </c>
    </row>
    <row r="59" customFormat="false" ht="15" hidden="false" customHeight="false" outlineLevel="0" collapsed="false">
      <c r="A59" s="3" t="s">
        <v>1458</v>
      </c>
      <c r="B59" s="3" t="s">
        <v>1459</v>
      </c>
      <c r="C59" s="3" t="s">
        <v>1184</v>
      </c>
      <c r="D59" s="3" t="s">
        <v>1460</v>
      </c>
      <c r="E59" s="3" t="s">
        <v>1461</v>
      </c>
      <c r="F59" s="3" t="s">
        <v>1277</v>
      </c>
      <c r="G59" s="3" t="s">
        <v>1462</v>
      </c>
      <c r="H59" s="4" t="n">
        <v>800000</v>
      </c>
      <c r="I59" s="3" t="n">
        <v>30</v>
      </c>
      <c r="J59" s="4" t="n">
        <v>2869918</v>
      </c>
      <c r="K59" s="3" t="s">
        <v>23</v>
      </c>
    </row>
    <row r="60" customFormat="false" ht="15" hidden="false" customHeight="false" outlineLevel="0" collapsed="false">
      <c r="A60" s="6" t="s">
        <v>1463</v>
      </c>
      <c r="B60" s="6" t="s">
        <v>1464</v>
      </c>
      <c r="C60" s="6" t="s">
        <v>1211</v>
      </c>
      <c r="D60" s="6" t="s">
        <v>1465</v>
      </c>
      <c r="E60" s="6" t="s">
        <v>1466</v>
      </c>
      <c r="F60" s="6" t="s">
        <v>1298</v>
      </c>
      <c r="G60" s="6" t="s">
        <v>1467</v>
      </c>
      <c r="H60" s="7" t="n">
        <v>200000</v>
      </c>
      <c r="I60" s="6" t="n">
        <v>45</v>
      </c>
      <c r="J60" s="7" t="n">
        <v>3475579</v>
      </c>
      <c r="K60" s="6" t="s">
        <v>23</v>
      </c>
    </row>
    <row r="61" customFormat="false" ht="15" hidden="false" customHeight="false" outlineLevel="0" collapsed="false">
      <c r="A61" s="3" t="s">
        <v>1468</v>
      </c>
      <c r="B61" s="3" t="s">
        <v>1469</v>
      </c>
      <c r="C61" s="3" t="s">
        <v>1184</v>
      </c>
      <c r="D61" s="3" t="s">
        <v>1470</v>
      </c>
      <c r="E61" s="3" t="s">
        <v>1471</v>
      </c>
      <c r="F61" s="3" t="s">
        <v>1267</v>
      </c>
      <c r="G61" s="3" t="s">
        <v>1472</v>
      </c>
      <c r="H61" s="4" t="n">
        <v>500000</v>
      </c>
      <c r="I61" s="3" t="n">
        <v>30</v>
      </c>
      <c r="J61" s="4" t="n">
        <v>4874000</v>
      </c>
      <c r="K61" s="3" t="s">
        <v>23</v>
      </c>
    </row>
    <row r="62" customFormat="false" ht="15" hidden="false" customHeight="false" outlineLevel="0" collapsed="false">
      <c r="A62" s="6" t="s">
        <v>1473</v>
      </c>
      <c r="B62" s="6" t="s">
        <v>1474</v>
      </c>
      <c r="C62" s="6" t="s">
        <v>1211</v>
      </c>
      <c r="D62" s="6" t="s">
        <v>1475</v>
      </c>
      <c r="E62" s="6" t="s">
        <v>1476</v>
      </c>
      <c r="F62" s="6" t="s">
        <v>1230</v>
      </c>
      <c r="G62" s="6" t="s">
        <v>1477</v>
      </c>
      <c r="H62" s="7" t="n">
        <v>500000</v>
      </c>
      <c r="I62" s="6" t="n">
        <v>45</v>
      </c>
      <c r="J62" s="7" t="n">
        <v>2803222</v>
      </c>
      <c r="K62" s="6" t="s">
        <v>23</v>
      </c>
    </row>
    <row r="63" customFormat="false" ht="15" hidden="false" customHeight="false" outlineLevel="0" collapsed="false">
      <c r="A63" s="3" t="s">
        <v>1478</v>
      </c>
      <c r="B63" s="3" t="s">
        <v>1479</v>
      </c>
      <c r="C63" s="3" t="s">
        <v>1200</v>
      </c>
      <c r="D63" s="3" t="s">
        <v>1480</v>
      </c>
      <c r="E63" s="3" t="s">
        <v>1481</v>
      </c>
      <c r="F63" s="3" t="s">
        <v>926</v>
      </c>
      <c r="G63" s="3" t="s">
        <v>1482</v>
      </c>
      <c r="H63" s="4" t="n">
        <v>500000</v>
      </c>
      <c r="I63" s="3" t="n">
        <v>45</v>
      </c>
      <c r="J63" s="4" t="n">
        <v>2911762</v>
      </c>
      <c r="K63" s="3" t="s">
        <v>23</v>
      </c>
    </row>
    <row r="64" customFormat="false" ht="15" hidden="false" customHeight="false" outlineLevel="0" collapsed="false">
      <c r="A64" s="6" t="s">
        <v>1483</v>
      </c>
      <c r="B64" s="6" t="s">
        <v>1484</v>
      </c>
      <c r="C64" s="6" t="s">
        <v>1184</v>
      </c>
      <c r="D64" s="6" t="s">
        <v>1485</v>
      </c>
      <c r="E64" s="6" t="s">
        <v>1486</v>
      </c>
      <c r="F64" s="6" t="s">
        <v>1224</v>
      </c>
      <c r="G64" s="6" t="s">
        <v>1487</v>
      </c>
      <c r="H64" s="7" t="n">
        <v>50000</v>
      </c>
      <c r="I64" s="6" t="n">
        <v>30</v>
      </c>
      <c r="J64" s="7" t="n">
        <v>2153888</v>
      </c>
      <c r="K64" s="6" t="s">
        <v>23</v>
      </c>
    </row>
    <row r="65" customFormat="false" ht="15" hidden="false" customHeight="false" outlineLevel="0" collapsed="false">
      <c r="A65" s="3" t="s">
        <v>1488</v>
      </c>
      <c r="B65" s="3" t="s">
        <v>1489</v>
      </c>
      <c r="C65" s="3" t="s">
        <v>1200</v>
      </c>
      <c r="D65" s="3" t="s">
        <v>1490</v>
      </c>
      <c r="E65" s="3" t="s">
        <v>1491</v>
      </c>
      <c r="F65" s="3" t="s">
        <v>1261</v>
      </c>
      <c r="G65" s="3" t="s">
        <v>1492</v>
      </c>
      <c r="H65" s="4" t="n">
        <v>300000</v>
      </c>
      <c r="I65" s="3" t="n">
        <v>45</v>
      </c>
      <c r="J65" s="4" t="n">
        <v>3452531</v>
      </c>
      <c r="K65" s="3" t="s">
        <v>23</v>
      </c>
    </row>
    <row r="66" customFormat="false" ht="15" hidden="false" customHeight="false" outlineLevel="0" collapsed="false">
      <c r="A66" s="6" t="s">
        <v>1493</v>
      </c>
      <c r="B66" s="6" t="s">
        <v>1494</v>
      </c>
      <c r="C66" s="6" t="s">
        <v>1178</v>
      </c>
      <c r="D66" s="6" t="s">
        <v>1495</v>
      </c>
      <c r="E66" s="6" t="s">
        <v>1496</v>
      </c>
      <c r="F66" s="6" t="s">
        <v>1267</v>
      </c>
      <c r="G66" s="6" t="s">
        <v>1497</v>
      </c>
      <c r="H66" s="7" t="n">
        <v>800000</v>
      </c>
      <c r="I66" s="6" t="n">
        <v>7</v>
      </c>
      <c r="J66" s="7" t="n">
        <v>4444944</v>
      </c>
      <c r="K66" s="6" t="s">
        <v>23</v>
      </c>
    </row>
    <row r="67" customFormat="false" ht="15" hidden="false" customHeight="false" outlineLevel="0" collapsed="false">
      <c r="A67" s="3" t="s">
        <v>1498</v>
      </c>
      <c r="B67" s="3" t="s">
        <v>1499</v>
      </c>
      <c r="C67" s="3" t="s">
        <v>1178</v>
      </c>
      <c r="D67" s="3" t="s">
        <v>1500</v>
      </c>
      <c r="E67" s="3" t="s">
        <v>1382</v>
      </c>
      <c r="F67" s="3" t="s">
        <v>1357</v>
      </c>
      <c r="G67" s="3" t="s">
        <v>1501</v>
      </c>
      <c r="H67" s="4" t="n">
        <v>800000</v>
      </c>
      <c r="I67" s="3" t="n">
        <v>7</v>
      </c>
      <c r="J67" s="4" t="n">
        <v>4555457</v>
      </c>
      <c r="K67" s="3" t="s">
        <v>23</v>
      </c>
    </row>
    <row r="68" customFormat="false" ht="15" hidden="false" customHeight="false" outlineLevel="0" collapsed="false">
      <c r="A68" s="6" t="s">
        <v>1502</v>
      </c>
      <c r="B68" s="6" t="s">
        <v>1503</v>
      </c>
      <c r="C68" s="6" t="s">
        <v>1200</v>
      </c>
      <c r="D68" s="6" t="s">
        <v>1504</v>
      </c>
      <c r="E68" s="6" t="s">
        <v>1505</v>
      </c>
      <c r="F68" s="6" t="s">
        <v>1298</v>
      </c>
      <c r="G68" s="6" t="s">
        <v>1506</v>
      </c>
      <c r="H68" s="7" t="n">
        <v>800000</v>
      </c>
      <c r="I68" s="6" t="n">
        <v>45</v>
      </c>
      <c r="J68" s="7" t="n">
        <v>4081857</v>
      </c>
      <c r="K68" s="6" t="s">
        <v>23</v>
      </c>
    </row>
    <row r="69" customFormat="false" ht="15" hidden="false" customHeight="false" outlineLevel="0" collapsed="false">
      <c r="A69" s="3" t="s">
        <v>1507</v>
      </c>
      <c r="B69" s="3" t="s">
        <v>1508</v>
      </c>
      <c r="C69" s="3" t="s">
        <v>1200</v>
      </c>
      <c r="D69" s="3" t="s">
        <v>1509</v>
      </c>
      <c r="E69" s="3" t="s">
        <v>1510</v>
      </c>
      <c r="F69" s="3" t="s">
        <v>1224</v>
      </c>
      <c r="G69" s="3" t="s">
        <v>1511</v>
      </c>
      <c r="H69" s="4" t="n">
        <v>50000</v>
      </c>
      <c r="I69" s="3" t="n">
        <v>45</v>
      </c>
      <c r="J69" s="4" t="n">
        <v>2496861</v>
      </c>
      <c r="K69" s="3" t="s">
        <v>23</v>
      </c>
    </row>
    <row r="70" customFormat="false" ht="15" hidden="false" customHeight="false" outlineLevel="0" collapsed="false">
      <c r="A70" s="6" t="s">
        <v>1512</v>
      </c>
      <c r="B70" s="6" t="s">
        <v>1513</v>
      </c>
      <c r="C70" s="6" t="s">
        <v>1178</v>
      </c>
      <c r="D70" s="6" t="s">
        <v>1514</v>
      </c>
      <c r="E70" s="6" t="s">
        <v>1515</v>
      </c>
      <c r="F70" s="6" t="s">
        <v>926</v>
      </c>
      <c r="G70" s="6" t="s">
        <v>1516</v>
      </c>
      <c r="H70" s="7" t="n">
        <v>300000</v>
      </c>
      <c r="I70" s="6" t="n">
        <v>7</v>
      </c>
      <c r="J70" s="7" t="n">
        <v>1381823</v>
      </c>
      <c r="K70" s="6" t="s">
        <v>23</v>
      </c>
    </row>
    <row r="71" customFormat="false" ht="15" hidden="false" customHeight="false" outlineLevel="0" collapsed="false">
      <c r="A71" s="3" t="s">
        <v>1517</v>
      </c>
      <c r="B71" s="3" t="s">
        <v>1518</v>
      </c>
      <c r="C71" s="3" t="s">
        <v>1200</v>
      </c>
      <c r="D71" s="3" t="s">
        <v>1519</v>
      </c>
      <c r="E71" s="3" t="s">
        <v>1347</v>
      </c>
      <c r="F71" s="3" t="s">
        <v>1277</v>
      </c>
      <c r="G71" s="3" t="s">
        <v>1520</v>
      </c>
      <c r="H71" s="4" t="n">
        <v>300000</v>
      </c>
      <c r="I71" s="3" t="n">
        <v>45</v>
      </c>
      <c r="J71" s="4" t="n">
        <v>622322</v>
      </c>
      <c r="K71" s="3" t="s">
        <v>23</v>
      </c>
    </row>
    <row r="72" customFormat="false" ht="15" hidden="false" customHeight="false" outlineLevel="0" collapsed="false">
      <c r="A72" s="6" t="s">
        <v>1521</v>
      </c>
      <c r="B72" s="6" t="s">
        <v>1522</v>
      </c>
      <c r="C72" s="6" t="s">
        <v>1178</v>
      </c>
      <c r="D72" s="6" t="s">
        <v>1523</v>
      </c>
      <c r="E72" s="6" t="s">
        <v>1524</v>
      </c>
      <c r="F72" s="6" t="s">
        <v>1261</v>
      </c>
      <c r="G72" s="6" t="s">
        <v>1525</v>
      </c>
      <c r="H72" s="7" t="n">
        <v>50000</v>
      </c>
      <c r="I72" s="6" t="n">
        <v>7</v>
      </c>
      <c r="J72" s="7" t="n">
        <v>3050766</v>
      </c>
      <c r="K72" s="6" t="s">
        <v>23</v>
      </c>
    </row>
    <row r="73" customFormat="false" ht="15" hidden="false" customHeight="false" outlineLevel="0" collapsed="false">
      <c r="A73" s="3" t="s">
        <v>1526</v>
      </c>
      <c r="B73" s="3" t="s">
        <v>1527</v>
      </c>
      <c r="C73" s="3" t="s">
        <v>1184</v>
      </c>
      <c r="D73" s="3" t="s">
        <v>1528</v>
      </c>
      <c r="E73" s="3" t="s">
        <v>1529</v>
      </c>
      <c r="F73" s="3" t="s">
        <v>1357</v>
      </c>
      <c r="G73" s="3" t="s">
        <v>1530</v>
      </c>
      <c r="H73" s="4" t="n">
        <v>300000</v>
      </c>
      <c r="I73" s="3" t="n">
        <v>30</v>
      </c>
      <c r="J73" s="4" t="n">
        <v>4173860</v>
      </c>
      <c r="K73" s="3" t="s">
        <v>23</v>
      </c>
    </row>
    <row r="74" customFormat="false" ht="15" hidden="false" customHeight="false" outlineLevel="0" collapsed="false">
      <c r="A74" s="6" t="s">
        <v>1531</v>
      </c>
      <c r="B74" s="6" t="s">
        <v>1532</v>
      </c>
      <c r="C74" s="6" t="s">
        <v>1184</v>
      </c>
      <c r="D74" s="6" t="s">
        <v>1533</v>
      </c>
      <c r="E74" s="6" t="s">
        <v>1534</v>
      </c>
      <c r="F74" s="6" t="s">
        <v>1357</v>
      </c>
      <c r="G74" s="6" t="s">
        <v>1535</v>
      </c>
      <c r="H74" s="7" t="n">
        <v>50000</v>
      </c>
      <c r="I74" s="6" t="n">
        <v>30</v>
      </c>
      <c r="J74" s="7" t="n">
        <v>3405281</v>
      </c>
      <c r="K74" s="6" t="s">
        <v>23</v>
      </c>
    </row>
    <row r="75" customFormat="false" ht="15" hidden="false" customHeight="false" outlineLevel="0" collapsed="false">
      <c r="A75" s="3" t="s">
        <v>1536</v>
      </c>
      <c r="B75" s="3" t="s">
        <v>1537</v>
      </c>
      <c r="C75" s="3" t="s">
        <v>1178</v>
      </c>
      <c r="D75" s="3" t="s">
        <v>1538</v>
      </c>
      <c r="E75" s="3" t="s">
        <v>1539</v>
      </c>
      <c r="F75" s="3" t="s">
        <v>1267</v>
      </c>
      <c r="G75" s="3" t="s">
        <v>1540</v>
      </c>
      <c r="H75" s="4" t="n">
        <v>100000</v>
      </c>
      <c r="I75" s="3" t="n">
        <v>7</v>
      </c>
      <c r="J75" s="4" t="n">
        <v>521818</v>
      </c>
      <c r="K75" s="3" t="s">
        <v>23</v>
      </c>
    </row>
    <row r="76" customFormat="false" ht="15" hidden="false" customHeight="false" outlineLevel="0" collapsed="false">
      <c r="A76" s="6" t="s">
        <v>1541</v>
      </c>
      <c r="B76" s="6" t="s">
        <v>1542</v>
      </c>
      <c r="C76" s="6" t="s">
        <v>1200</v>
      </c>
      <c r="D76" s="6" t="s">
        <v>1543</v>
      </c>
      <c r="E76" s="6" t="s">
        <v>1534</v>
      </c>
      <c r="F76" s="6" t="s">
        <v>1277</v>
      </c>
      <c r="G76" s="6" t="s">
        <v>1544</v>
      </c>
      <c r="H76" s="7" t="n">
        <v>200000</v>
      </c>
      <c r="I76" s="6" t="n">
        <v>45</v>
      </c>
      <c r="J76" s="7" t="n">
        <v>3636342</v>
      </c>
      <c r="K76" s="6" t="s">
        <v>23</v>
      </c>
    </row>
    <row r="77" customFormat="false" ht="15" hidden="false" customHeight="false" outlineLevel="0" collapsed="false">
      <c r="A77" s="3" t="s">
        <v>1545</v>
      </c>
      <c r="B77" s="3" t="s">
        <v>1546</v>
      </c>
      <c r="C77" s="3" t="s">
        <v>1178</v>
      </c>
      <c r="D77" s="3" t="s">
        <v>1547</v>
      </c>
      <c r="E77" s="3" t="s">
        <v>1548</v>
      </c>
      <c r="F77" s="3" t="s">
        <v>1277</v>
      </c>
      <c r="G77" s="3" t="s">
        <v>1549</v>
      </c>
      <c r="H77" s="4" t="n">
        <v>800000</v>
      </c>
      <c r="I77" s="3" t="n">
        <v>7</v>
      </c>
      <c r="J77" s="4" t="n">
        <v>437709</v>
      </c>
      <c r="K77" s="3" t="s">
        <v>23</v>
      </c>
    </row>
    <row r="78" customFormat="false" ht="15" hidden="false" customHeight="false" outlineLevel="0" collapsed="false">
      <c r="A78" s="6" t="s">
        <v>1550</v>
      </c>
      <c r="B78" s="6" t="s">
        <v>1551</v>
      </c>
      <c r="C78" s="6" t="s">
        <v>1178</v>
      </c>
      <c r="D78" s="6" t="s">
        <v>1552</v>
      </c>
      <c r="E78" s="6" t="s">
        <v>1553</v>
      </c>
      <c r="F78" s="6" t="s">
        <v>1261</v>
      </c>
      <c r="G78" s="6" t="s">
        <v>1554</v>
      </c>
      <c r="H78" s="7" t="n">
        <v>100000</v>
      </c>
      <c r="I78" s="6" t="n">
        <v>7</v>
      </c>
      <c r="J78" s="7" t="n">
        <v>4072518</v>
      </c>
      <c r="K78" s="6" t="s">
        <v>23</v>
      </c>
    </row>
    <row r="79" customFormat="false" ht="15" hidden="false" customHeight="false" outlineLevel="0" collapsed="false">
      <c r="A79" s="3" t="s">
        <v>1555</v>
      </c>
      <c r="B79" s="3" t="s">
        <v>1385</v>
      </c>
      <c r="C79" s="3" t="s">
        <v>1200</v>
      </c>
      <c r="D79" s="3" t="s">
        <v>1556</v>
      </c>
      <c r="E79" s="3" t="s">
        <v>1387</v>
      </c>
      <c r="F79" s="3" t="s">
        <v>1230</v>
      </c>
      <c r="G79" s="3" t="s">
        <v>1557</v>
      </c>
      <c r="H79" s="4" t="n">
        <v>500000</v>
      </c>
      <c r="I79" s="3" t="n">
        <v>45</v>
      </c>
      <c r="J79" s="4" t="n">
        <v>1060771</v>
      </c>
      <c r="K79" s="3" t="s">
        <v>23</v>
      </c>
    </row>
    <row r="80" customFormat="false" ht="15" hidden="false" customHeight="false" outlineLevel="0" collapsed="false">
      <c r="A80" s="6" t="s">
        <v>1558</v>
      </c>
      <c r="B80" s="6" t="s">
        <v>1559</v>
      </c>
      <c r="C80" s="6" t="s">
        <v>1178</v>
      </c>
      <c r="D80" s="6" t="s">
        <v>1560</v>
      </c>
      <c r="E80" s="6" t="s">
        <v>1561</v>
      </c>
      <c r="F80" s="6" t="s">
        <v>1230</v>
      </c>
      <c r="G80" s="6" t="s">
        <v>1562</v>
      </c>
      <c r="H80" s="7" t="n">
        <v>300000</v>
      </c>
      <c r="I80" s="6" t="n">
        <v>7</v>
      </c>
      <c r="J80" s="7" t="n">
        <v>1763710</v>
      </c>
      <c r="K80" s="6" t="s">
        <v>23</v>
      </c>
    </row>
    <row r="81" customFormat="false" ht="15" hidden="false" customHeight="false" outlineLevel="0" collapsed="false">
      <c r="A81" s="3" t="s">
        <v>1563</v>
      </c>
      <c r="B81" s="3" t="s">
        <v>1564</v>
      </c>
      <c r="C81" s="3" t="s">
        <v>1178</v>
      </c>
      <c r="D81" s="3" t="s">
        <v>1565</v>
      </c>
      <c r="E81" s="3" t="s">
        <v>1566</v>
      </c>
      <c r="F81" s="3" t="s">
        <v>1230</v>
      </c>
      <c r="G81" s="3" t="s">
        <v>1567</v>
      </c>
      <c r="H81" s="4" t="n">
        <v>500000</v>
      </c>
      <c r="I81" s="3" t="n">
        <v>7</v>
      </c>
      <c r="J81" s="4" t="n">
        <v>444512</v>
      </c>
      <c r="K81" s="3" t="s">
        <v>23</v>
      </c>
    </row>
    <row r="82" customFormat="false" ht="15" hidden="false" customHeight="false" outlineLevel="0" collapsed="false">
      <c r="A82" s="6" t="s">
        <v>1568</v>
      </c>
      <c r="B82" s="6" t="s">
        <v>1569</v>
      </c>
      <c r="C82" s="6" t="s">
        <v>1178</v>
      </c>
      <c r="D82" s="6" t="s">
        <v>1570</v>
      </c>
      <c r="E82" s="6" t="s">
        <v>1571</v>
      </c>
      <c r="F82" s="6" t="s">
        <v>1298</v>
      </c>
      <c r="G82" s="6" t="s">
        <v>1572</v>
      </c>
      <c r="H82" s="7" t="n">
        <v>300000</v>
      </c>
      <c r="I82" s="6" t="n">
        <v>7</v>
      </c>
      <c r="J82" s="7" t="n">
        <v>4212109</v>
      </c>
      <c r="K82" s="6" t="s">
        <v>23</v>
      </c>
    </row>
    <row r="83" customFormat="false" ht="15" hidden="false" customHeight="false" outlineLevel="0" collapsed="false">
      <c r="A83" s="3" t="s">
        <v>1573</v>
      </c>
      <c r="B83" s="3" t="s">
        <v>1574</v>
      </c>
      <c r="C83" s="3" t="s">
        <v>1184</v>
      </c>
      <c r="D83" s="3" t="s">
        <v>1575</v>
      </c>
      <c r="E83" s="3" t="s">
        <v>1250</v>
      </c>
      <c r="F83" s="3" t="s">
        <v>1267</v>
      </c>
      <c r="G83" s="3" t="s">
        <v>1576</v>
      </c>
      <c r="H83" s="4" t="n">
        <v>800000</v>
      </c>
      <c r="I83" s="3" t="n">
        <v>30</v>
      </c>
      <c r="J83" s="4" t="n">
        <v>2365615</v>
      </c>
      <c r="K83" s="3" t="s">
        <v>23</v>
      </c>
    </row>
    <row r="84" customFormat="false" ht="15" hidden="false" customHeight="false" outlineLevel="0" collapsed="false">
      <c r="A84" s="6" t="s">
        <v>1577</v>
      </c>
      <c r="B84" s="6" t="s">
        <v>1578</v>
      </c>
      <c r="C84" s="6" t="s">
        <v>1200</v>
      </c>
      <c r="D84" s="6" t="s">
        <v>1579</v>
      </c>
      <c r="E84" s="6" t="s">
        <v>1580</v>
      </c>
      <c r="F84" s="6" t="s">
        <v>1261</v>
      </c>
      <c r="G84" s="6" t="s">
        <v>1581</v>
      </c>
      <c r="H84" s="7" t="n">
        <v>100000</v>
      </c>
      <c r="I84" s="6" t="n">
        <v>45</v>
      </c>
      <c r="J84" s="7" t="n">
        <v>826981</v>
      </c>
      <c r="K84" s="6" t="s">
        <v>23</v>
      </c>
    </row>
    <row r="85" customFormat="false" ht="15" hidden="false" customHeight="false" outlineLevel="0" collapsed="false">
      <c r="A85" s="3" t="s">
        <v>1582</v>
      </c>
      <c r="B85" s="3" t="s">
        <v>1583</v>
      </c>
      <c r="C85" s="3" t="s">
        <v>1200</v>
      </c>
      <c r="D85" s="3" t="s">
        <v>1584</v>
      </c>
      <c r="E85" s="3" t="s">
        <v>1585</v>
      </c>
      <c r="F85" s="3" t="s">
        <v>1277</v>
      </c>
      <c r="G85" s="3" t="s">
        <v>1586</v>
      </c>
      <c r="H85" s="4" t="n">
        <v>200000</v>
      </c>
      <c r="I85" s="3" t="n">
        <v>45</v>
      </c>
      <c r="J85" s="4" t="n">
        <v>1625383</v>
      </c>
      <c r="K85" s="3" t="s">
        <v>23</v>
      </c>
    </row>
    <row r="86" customFormat="false" ht="15" hidden="false" customHeight="false" outlineLevel="0" collapsed="false">
      <c r="A86" s="6" t="s">
        <v>1587</v>
      </c>
      <c r="B86" s="6" t="s">
        <v>1588</v>
      </c>
      <c r="C86" s="6" t="s">
        <v>1211</v>
      </c>
      <c r="D86" s="6" t="s">
        <v>1589</v>
      </c>
      <c r="E86" s="6" t="s">
        <v>1590</v>
      </c>
      <c r="F86" s="6" t="s">
        <v>1230</v>
      </c>
      <c r="G86" s="6" t="s">
        <v>1591</v>
      </c>
      <c r="H86" s="7" t="n">
        <v>500000</v>
      </c>
      <c r="I86" s="6" t="n">
        <v>45</v>
      </c>
      <c r="J86" s="7" t="n">
        <v>185153</v>
      </c>
      <c r="K86" s="6" t="s">
        <v>23</v>
      </c>
    </row>
    <row r="87" customFormat="false" ht="15" hidden="false" customHeight="false" outlineLevel="0" collapsed="false">
      <c r="A87" s="3" t="s">
        <v>1592</v>
      </c>
      <c r="B87" s="3" t="s">
        <v>1593</v>
      </c>
      <c r="C87" s="3" t="s">
        <v>1200</v>
      </c>
      <c r="D87" s="3" t="s">
        <v>1594</v>
      </c>
      <c r="E87" s="3" t="s">
        <v>1347</v>
      </c>
      <c r="F87" s="3" t="s">
        <v>1357</v>
      </c>
      <c r="G87" s="3" t="s">
        <v>1595</v>
      </c>
      <c r="H87" s="4" t="n">
        <v>800000</v>
      </c>
      <c r="I87" s="3" t="n">
        <v>45</v>
      </c>
      <c r="J87" s="4" t="n">
        <v>4093758</v>
      </c>
      <c r="K87" s="3" t="s">
        <v>23</v>
      </c>
    </row>
    <row r="88" customFormat="false" ht="15" hidden="false" customHeight="false" outlineLevel="0" collapsed="false">
      <c r="A88" s="6" t="s">
        <v>1596</v>
      </c>
      <c r="B88" s="6" t="s">
        <v>1597</v>
      </c>
      <c r="C88" s="6" t="s">
        <v>1178</v>
      </c>
      <c r="D88" s="6" t="s">
        <v>1598</v>
      </c>
      <c r="E88" s="6" t="s">
        <v>1599</v>
      </c>
      <c r="F88" s="6" t="s">
        <v>1230</v>
      </c>
      <c r="G88" s="6" t="s">
        <v>1600</v>
      </c>
      <c r="H88" s="7" t="n">
        <v>800000</v>
      </c>
      <c r="I88" s="6" t="n">
        <v>7</v>
      </c>
      <c r="J88" s="7" t="n">
        <v>2140991</v>
      </c>
      <c r="K88" s="6" t="s">
        <v>23</v>
      </c>
    </row>
    <row r="89" customFormat="false" ht="15" hidden="false" customHeight="false" outlineLevel="0" collapsed="false">
      <c r="A89" s="3" t="s">
        <v>1601</v>
      </c>
      <c r="B89" s="3" t="s">
        <v>1602</v>
      </c>
      <c r="C89" s="3" t="s">
        <v>1211</v>
      </c>
      <c r="D89" s="3" t="s">
        <v>1603</v>
      </c>
      <c r="E89" s="3" t="s">
        <v>1604</v>
      </c>
      <c r="F89" s="3" t="s">
        <v>1267</v>
      </c>
      <c r="G89" s="3" t="s">
        <v>1605</v>
      </c>
      <c r="H89" s="4" t="n">
        <v>200000</v>
      </c>
      <c r="I89" s="3" t="n">
        <v>45</v>
      </c>
      <c r="J89" s="4" t="n">
        <v>3906291</v>
      </c>
      <c r="K89" s="3" t="s">
        <v>23</v>
      </c>
    </row>
    <row r="90" customFormat="false" ht="15" hidden="false" customHeight="false" outlineLevel="0" collapsed="false">
      <c r="A90" s="6" t="s">
        <v>1606</v>
      </c>
      <c r="B90" s="6" t="s">
        <v>1607</v>
      </c>
      <c r="C90" s="6" t="s">
        <v>1178</v>
      </c>
      <c r="D90" s="6" t="s">
        <v>1608</v>
      </c>
      <c r="E90" s="6" t="s">
        <v>1609</v>
      </c>
      <c r="F90" s="6" t="s">
        <v>1224</v>
      </c>
      <c r="G90" s="6" t="s">
        <v>1610</v>
      </c>
      <c r="H90" s="7" t="n">
        <v>800000</v>
      </c>
      <c r="I90" s="6" t="n">
        <v>7</v>
      </c>
      <c r="J90" s="7" t="n">
        <v>4595152</v>
      </c>
      <c r="K90" s="6" t="s">
        <v>23</v>
      </c>
    </row>
    <row r="91" customFormat="false" ht="15" hidden="false" customHeight="false" outlineLevel="0" collapsed="false">
      <c r="A91" s="3" t="s">
        <v>1611</v>
      </c>
      <c r="B91" s="3" t="s">
        <v>1612</v>
      </c>
      <c r="C91" s="3" t="s">
        <v>1200</v>
      </c>
      <c r="D91" s="3" t="s">
        <v>1613</v>
      </c>
      <c r="E91" s="3" t="s">
        <v>1614</v>
      </c>
      <c r="F91" s="3" t="s">
        <v>1230</v>
      </c>
      <c r="G91" s="3" t="s">
        <v>1615</v>
      </c>
      <c r="H91" s="4" t="n">
        <v>500000</v>
      </c>
      <c r="I91" s="3" t="n">
        <v>45</v>
      </c>
      <c r="J91" s="4" t="n">
        <v>2473965</v>
      </c>
      <c r="K91" s="3" t="s">
        <v>23</v>
      </c>
    </row>
    <row r="92" customFormat="false" ht="15" hidden="false" customHeight="false" outlineLevel="0" collapsed="false">
      <c r="A92" s="6" t="s">
        <v>1616</v>
      </c>
      <c r="B92" s="6" t="s">
        <v>1617</v>
      </c>
      <c r="C92" s="6" t="s">
        <v>1211</v>
      </c>
      <c r="D92" s="6" t="s">
        <v>1618</v>
      </c>
      <c r="E92" s="6" t="s">
        <v>1619</v>
      </c>
      <c r="F92" s="6" t="s">
        <v>926</v>
      </c>
      <c r="G92" s="6" t="s">
        <v>1620</v>
      </c>
      <c r="H92" s="7" t="n">
        <v>800000</v>
      </c>
      <c r="I92" s="6" t="n">
        <v>45</v>
      </c>
      <c r="J92" s="7" t="n">
        <v>4580649</v>
      </c>
      <c r="K92" s="6" t="s">
        <v>23</v>
      </c>
    </row>
    <row r="93" customFormat="false" ht="15" hidden="false" customHeight="false" outlineLevel="0" collapsed="false">
      <c r="A93" s="3" t="s">
        <v>1621</v>
      </c>
      <c r="B93" s="3" t="s">
        <v>1622</v>
      </c>
      <c r="C93" s="3" t="s">
        <v>1211</v>
      </c>
      <c r="D93" s="3" t="s">
        <v>1623</v>
      </c>
      <c r="E93" s="3" t="s">
        <v>1624</v>
      </c>
      <c r="F93" s="3" t="s">
        <v>926</v>
      </c>
      <c r="G93" s="3" t="s">
        <v>1625</v>
      </c>
      <c r="H93" s="4" t="n">
        <v>50000</v>
      </c>
      <c r="I93" s="3" t="n">
        <v>45</v>
      </c>
      <c r="J93" s="4" t="n">
        <v>4915599</v>
      </c>
      <c r="K93" s="3" t="s">
        <v>23</v>
      </c>
    </row>
    <row r="94" customFormat="false" ht="15" hidden="false" customHeight="false" outlineLevel="0" collapsed="false">
      <c r="A94" s="6" t="s">
        <v>1626</v>
      </c>
      <c r="B94" s="6" t="s">
        <v>1627</v>
      </c>
      <c r="C94" s="6" t="s">
        <v>1211</v>
      </c>
      <c r="D94" s="6" t="s">
        <v>1628</v>
      </c>
      <c r="E94" s="6" t="s">
        <v>1599</v>
      </c>
      <c r="F94" s="6" t="s">
        <v>926</v>
      </c>
      <c r="G94" s="6" t="s">
        <v>1629</v>
      </c>
      <c r="H94" s="7" t="n">
        <v>300000</v>
      </c>
      <c r="I94" s="6" t="n">
        <v>45</v>
      </c>
      <c r="J94" s="7" t="n">
        <v>1057032</v>
      </c>
      <c r="K94" s="6" t="s">
        <v>23</v>
      </c>
    </row>
    <row r="95" customFormat="false" ht="15" hidden="false" customHeight="false" outlineLevel="0" collapsed="false">
      <c r="A95" s="3" t="s">
        <v>1630</v>
      </c>
      <c r="B95" s="3" t="s">
        <v>1631</v>
      </c>
      <c r="C95" s="3" t="s">
        <v>1178</v>
      </c>
      <c r="D95" s="3" t="s">
        <v>1632</v>
      </c>
      <c r="E95" s="3" t="s">
        <v>1633</v>
      </c>
      <c r="F95" s="3" t="s">
        <v>926</v>
      </c>
      <c r="G95" s="3" t="s">
        <v>1634</v>
      </c>
      <c r="H95" s="4" t="n">
        <v>50000</v>
      </c>
      <c r="I95" s="3" t="n">
        <v>7</v>
      </c>
      <c r="J95" s="4" t="n">
        <v>2181976</v>
      </c>
      <c r="K95" s="3" t="s">
        <v>23</v>
      </c>
    </row>
    <row r="96" customFormat="false" ht="15" hidden="false" customHeight="false" outlineLevel="0" collapsed="false">
      <c r="A96" s="6" t="s">
        <v>1635</v>
      </c>
      <c r="B96" s="6" t="s">
        <v>1636</v>
      </c>
      <c r="C96" s="6" t="s">
        <v>1184</v>
      </c>
      <c r="D96" s="6" t="s">
        <v>1637</v>
      </c>
      <c r="E96" s="6" t="s">
        <v>1571</v>
      </c>
      <c r="F96" s="6" t="s">
        <v>1298</v>
      </c>
      <c r="G96" s="6" t="s">
        <v>1638</v>
      </c>
      <c r="H96" s="7" t="n">
        <v>300000</v>
      </c>
      <c r="I96" s="6" t="n">
        <v>30</v>
      </c>
      <c r="J96" s="7" t="n">
        <v>2594378</v>
      </c>
      <c r="K96" s="6" t="s">
        <v>23</v>
      </c>
    </row>
    <row r="97" customFormat="false" ht="15" hidden="false" customHeight="false" outlineLevel="0" collapsed="false">
      <c r="A97" s="3" t="s">
        <v>1639</v>
      </c>
      <c r="B97" s="3" t="s">
        <v>1640</v>
      </c>
      <c r="C97" s="3" t="s">
        <v>1178</v>
      </c>
      <c r="D97" s="3" t="s">
        <v>1641</v>
      </c>
      <c r="E97" s="3" t="s">
        <v>1642</v>
      </c>
      <c r="F97" s="3" t="s">
        <v>1261</v>
      </c>
      <c r="G97" s="3" t="s">
        <v>1643</v>
      </c>
      <c r="H97" s="4" t="n">
        <v>800000</v>
      </c>
      <c r="I97" s="3" t="n">
        <v>7</v>
      </c>
      <c r="J97" s="4" t="n">
        <v>1870207</v>
      </c>
      <c r="K97" s="3" t="s">
        <v>23</v>
      </c>
    </row>
    <row r="98" customFormat="false" ht="15" hidden="false" customHeight="false" outlineLevel="0" collapsed="false">
      <c r="A98" s="6" t="s">
        <v>1644</v>
      </c>
      <c r="B98" s="6" t="s">
        <v>1645</v>
      </c>
      <c r="C98" s="6" t="s">
        <v>1184</v>
      </c>
      <c r="D98" s="6" t="s">
        <v>1646</v>
      </c>
      <c r="E98" s="6" t="s">
        <v>1647</v>
      </c>
      <c r="F98" s="6" t="s">
        <v>1298</v>
      </c>
      <c r="G98" s="6" t="s">
        <v>1506</v>
      </c>
      <c r="H98" s="7" t="n">
        <v>50000</v>
      </c>
      <c r="I98" s="6" t="n">
        <v>30</v>
      </c>
      <c r="J98" s="7" t="n">
        <v>3526893</v>
      </c>
      <c r="K98" s="6" t="s">
        <v>23</v>
      </c>
    </row>
    <row r="99" customFormat="false" ht="15" hidden="false" customHeight="false" outlineLevel="0" collapsed="false">
      <c r="A99" s="3" t="s">
        <v>1648</v>
      </c>
      <c r="B99" s="3" t="s">
        <v>1649</v>
      </c>
      <c r="C99" s="3" t="s">
        <v>1178</v>
      </c>
      <c r="D99" s="3" t="s">
        <v>1650</v>
      </c>
      <c r="E99" s="3" t="s">
        <v>1651</v>
      </c>
      <c r="F99" s="3" t="s">
        <v>1224</v>
      </c>
      <c r="G99" s="3" t="s">
        <v>1652</v>
      </c>
      <c r="H99" s="4" t="n">
        <v>800000</v>
      </c>
      <c r="I99" s="3" t="n">
        <v>7</v>
      </c>
      <c r="J99" s="4" t="n">
        <v>3908690</v>
      </c>
      <c r="K99" s="3" t="s">
        <v>23</v>
      </c>
    </row>
    <row r="100" customFormat="false" ht="15" hidden="false" customHeight="false" outlineLevel="0" collapsed="false">
      <c r="A100" s="6" t="s">
        <v>1653</v>
      </c>
      <c r="B100" s="6" t="s">
        <v>1654</v>
      </c>
      <c r="C100" s="6" t="s">
        <v>1184</v>
      </c>
      <c r="D100" s="6" t="s">
        <v>1655</v>
      </c>
      <c r="E100" s="6" t="s">
        <v>1656</v>
      </c>
      <c r="F100" s="6" t="s">
        <v>1267</v>
      </c>
      <c r="G100" s="6" t="s">
        <v>1605</v>
      </c>
      <c r="H100" s="7" t="n">
        <v>800000</v>
      </c>
      <c r="I100" s="6" t="n">
        <v>30</v>
      </c>
      <c r="J100" s="7" t="n">
        <v>1349813</v>
      </c>
      <c r="K100" s="6" t="s">
        <v>23</v>
      </c>
    </row>
    <row r="101" customFormat="false" ht="15" hidden="false" customHeight="false" outlineLevel="0" collapsed="false">
      <c r="A101" s="3" t="s">
        <v>1657</v>
      </c>
      <c r="B101" s="3" t="s">
        <v>1658</v>
      </c>
      <c r="C101" s="3" t="s">
        <v>1184</v>
      </c>
      <c r="D101" s="3" t="s">
        <v>1659</v>
      </c>
      <c r="E101" s="3" t="s">
        <v>1660</v>
      </c>
      <c r="F101" s="3" t="s">
        <v>1230</v>
      </c>
      <c r="G101" s="3" t="s">
        <v>1477</v>
      </c>
      <c r="H101" s="4" t="n">
        <v>300000</v>
      </c>
      <c r="I101" s="3" t="n">
        <v>30</v>
      </c>
      <c r="J101" s="4" t="n">
        <v>1143154</v>
      </c>
      <c r="K101" s="3" t="s">
        <v>23</v>
      </c>
    </row>
    <row r="102" customFormat="false" ht="15" hidden="false" customHeight="false" outlineLevel="0" collapsed="false">
      <c r="A102" s="6" t="s">
        <v>1661</v>
      </c>
      <c r="B102" s="6" t="s">
        <v>1662</v>
      </c>
      <c r="C102" s="6" t="s">
        <v>1211</v>
      </c>
      <c r="D102" s="6" t="s">
        <v>1663</v>
      </c>
      <c r="E102" s="6" t="s">
        <v>1664</v>
      </c>
      <c r="F102" s="6" t="s">
        <v>1298</v>
      </c>
      <c r="G102" s="6" t="s">
        <v>1665</v>
      </c>
      <c r="H102" s="7" t="n">
        <v>300000</v>
      </c>
      <c r="I102" s="6" t="n">
        <v>45</v>
      </c>
      <c r="J102" s="7" t="n">
        <v>774795</v>
      </c>
      <c r="K102" s="6" t="s">
        <v>23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11" min="9" style="0" width="18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6.85" hidden="false" customHeight="false" outlineLevel="0" collapsed="false">
      <c r="A2" s="2" t="s">
        <v>1667</v>
      </c>
      <c r="B2" s="2" t="s">
        <v>1668</v>
      </c>
      <c r="C2" s="2" t="s">
        <v>899</v>
      </c>
      <c r="D2" s="2" t="s">
        <v>900</v>
      </c>
      <c r="E2" s="2" t="s">
        <v>1</v>
      </c>
      <c r="F2" s="2" t="s">
        <v>4</v>
      </c>
      <c r="G2" s="2" t="s">
        <v>2</v>
      </c>
      <c r="H2" s="2" t="s">
        <v>1669</v>
      </c>
      <c r="I2" s="2" t="s">
        <v>1670</v>
      </c>
      <c r="J2" s="2" t="s">
        <v>1671</v>
      </c>
      <c r="K2" s="2" t="s">
        <v>15</v>
      </c>
      <c r="L2" s="2" t="s">
        <v>1672</v>
      </c>
    </row>
    <row r="3" customFormat="false" ht="15" hidden="false" customHeight="false" outlineLevel="0" collapsed="false">
      <c r="A3" s="3" t="s">
        <v>1673</v>
      </c>
      <c r="B3" s="3" t="s">
        <v>1674</v>
      </c>
      <c r="C3" s="3" t="s">
        <v>960</v>
      </c>
      <c r="D3" s="3" t="s">
        <v>114</v>
      </c>
      <c r="E3" s="3" t="s">
        <v>53</v>
      </c>
      <c r="F3" s="3" t="s">
        <v>52</v>
      </c>
      <c r="G3" s="3" t="s">
        <v>17</v>
      </c>
      <c r="H3" s="3" t="n">
        <v>66</v>
      </c>
      <c r="I3" s="4" t="n">
        <v>52000</v>
      </c>
      <c r="J3" s="4" t="n">
        <f aca="false">H3*I3</f>
        <v>3432000</v>
      </c>
      <c r="K3" s="3" t="s">
        <v>1675</v>
      </c>
      <c r="L3" s="3" t="s">
        <v>1676</v>
      </c>
    </row>
    <row r="4" customFormat="false" ht="15" hidden="false" customHeight="false" outlineLevel="0" collapsed="false">
      <c r="A4" s="6" t="s">
        <v>1677</v>
      </c>
      <c r="B4" s="6" t="s">
        <v>1678</v>
      </c>
      <c r="C4" s="6" t="s">
        <v>1144</v>
      </c>
      <c r="D4" s="6" t="s">
        <v>825</v>
      </c>
      <c r="E4" s="6" t="s">
        <v>881</v>
      </c>
      <c r="F4" s="6" t="s">
        <v>880</v>
      </c>
      <c r="G4" s="6" t="s">
        <v>816</v>
      </c>
      <c r="H4" s="6" t="n">
        <v>40</v>
      </c>
      <c r="I4" s="7" t="n">
        <v>2500</v>
      </c>
      <c r="J4" s="7" t="n">
        <f aca="false">H4*I4</f>
        <v>100000</v>
      </c>
      <c r="K4" s="6" t="s">
        <v>1679</v>
      </c>
      <c r="L4" s="6" t="s">
        <v>1676</v>
      </c>
    </row>
    <row r="5" customFormat="false" ht="15" hidden="false" customHeight="false" outlineLevel="0" collapsed="false">
      <c r="A5" s="3" t="s">
        <v>1680</v>
      </c>
      <c r="B5" s="3" t="s">
        <v>1681</v>
      </c>
      <c r="C5" s="3" t="s">
        <v>1103</v>
      </c>
      <c r="D5" s="3" t="s">
        <v>503</v>
      </c>
      <c r="E5" s="3" t="s">
        <v>539</v>
      </c>
      <c r="F5" s="3" t="s">
        <v>538</v>
      </c>
      <c r="G5" s="3" t="s">
        <v>469</v>
      </c>
      <c r="H5" s="3" t="n">
        <v>14</v>
      </c>
      <c r="I5" s="4" t="n">
        <v>180</v>
      </c>
      <c r="J5" s="4" t="n">
        <f aca="false">H5*I5</f>
        <v>2520</v>
      </c>
      <c r="K5" s="3" t="s">
        <v>1679</v>
      </c>
      <c r="L5" s="3" t="s">
        <v>1682</v>
      </c>
    </row>
    <row r="6" customFormat="false" ht="15" hidden="false" customHeight="false" outlineLevel="0" collapsed="false">
      <c r="A6" s="6" t="s">
        <v>1683</v>
      </c>
      <c r="B6" s="6" t="s">
        <v>1684</v>
      </c>
      <c r="C6" s="6" t="s">
        <v>960</v>
      </c>
      <c r="D6" s="6" t="s">
        <v>114</v>
      </c>
      <c r="E6" s="6" t="s">
        <v>69</v>
      </c>
      <c r="F6" s="6" t="s">
        <v>68</v>
      </c>
      <c r="G6" s="6" t="s">
        <v>17</v>
      </c>
      <c r="H6" s="6" t="n">
        <v>22</v>
      </c>
      <c r="I6" s="7" t="n">
        <v>108000</v>
      </c>
      <c r="J6" s="7" t="n">
        <f aca="false">H6*I6</f>
        <v>2376000</v>
      </c>
      <c r="K6" s="6" t="s">
        <v>1685</v>
      </c>
      <c r="L6" s="6" t="s">
        <v>1686</v>
      </c>
    </row>
    <row r="7" customFormat="false" ht="15" hidden="false" customHeight="false" outlineLevel="0" collapsed="false">
      <c r="A7" s="3" t="s">
        <v>1687</v>
      </c>
      <c r="B7" s="3" t="s">
        <v>1688</v>
      </c>
      <c r="C7" s="3" t="s">
        <v>998</v>
      </c>
      <c r="D7" s="3" t="s">
        <v>218</v>
      </c>
      <c r="E7" s="3" t="s">
        <v>324</v>
      </c>
      <c r="F7" s="3" t="s">
        <v>323</v>
      </c>
      <c r="G7" s="3" t="s">
        <v>169</v>
      </c>
      <c r="H7" s="3" t="n">
        <v>38</v>
      </c>
      <c r="I7" s="4" t="n">
        <v>750</v>
      </c>
      <c r="J7" s="4" t="n">
        <f aca="false">H7*I7</f>
        <v>28500</v>
      </c>
      <c r="K7" s="3" t="s">
        <v>1689</v>
      </c>
      <c r="L7" s="3" t="s">
        <v>1676</v>
      </c>
    </row>
    <row r="8" customFormat="false" ht="15" hidden="false" customHeight="false" outlineLevel="0" collapsed="false">
      <c r="A8" s="6" t="s">
        <v>1690</v>
      </c>
      <c r="B8" s="6" t="s">
        <v>1691</v>
      </c>
      <c r="C8" s="6" t="s">
        <v>1064</v>
      </c>
      <c r="D8" s="6" t="s">
        <v>363</v>
      </c>
      <c r="E8" s="6" t="s">
        <v>345</v>
      </c>
      <c r="F8" s="6" t="s">
        <v>344</v>
      </c>
      <c r="G8" s="6" t="s">
        <v>330</v>
      </c>
      <c r="H8" s="6" t="n">
        <v>51</v>
      </c>
      <c r="I8" s="7" t="n">
        <v>1800</v>
      </c>
      <c r="J8" s="7" t="n">
        <f aca="false">H8*I8</f>
        <v>91800</v>
      </c>
      <c r="K8" s="6" t="s">
        <v>1679</v>
      </c>
      <c r="L8" s="6" t="s">
        <v>1686</v>
      </c>
    </row>
    <row r="9" customFormat="false" ht="15" hidden="false" customHeight="false" outlineLevel="0" collapsed="false">
      <c r="A9" s="3" t="s">
        <v>1692</v>
      </c>
      <c r="B9" s="3" t="s">
        <v>1693</v>
      </c>
      <c r="C9" s="3" t="s">
        <v>1107</v>
      </c>
      <c r="D9" s="3" t="s">
        <v>556</v>
      </c>
      <c r="E9" s="3" t="s">
        <v>482</v>
      </c>
      <c r="F9" s="3" t="s">
        <v>481</v>
      </c>
      <c r="G9" s="3" t="s">
        <v>469</v>
      </c>
      <c r="H9" s="3" t="n">
        <v>53</v>
      </c>
      <c r="I9" s="4" t="n">
        <v>845</v>
      </c>
      <c r="J9" s="4" t="n">
        <f aca="false">H9*I9</f>
        <v>44785</v>
      </c>
      <c r="K9" s="3" t="s">
        <v>1675</v>
      </c>
      <c r="L9" s="3" t="s">
        <v>1682</v>
      </c>
    </row>
    <row r="10" customFormat="false" ht="15" hidden="false" customHeight="false" outlineLevel="0" collapsed="false">
      <c r="A10" s="6" t="s">
        <v>1694</v>
      </c>
      <c r="B10" s="6" t="s">
        <v>1695</v>
      </c>
      <c r="C10" s="6" t="s">
        <v>985</v>
      </c>
      <c r="D10" s="6" t="s">
        <v>173</v>
      </c>
      <c r="E10" s="6" t="s">
        <v>269</v>
      </c>
      <c r="F10" s="6" t="s">
        <v>268</v>
      </c>
      <c r="G10" s="6" t="s">
        <v>169</v>
      </c>
      <c r="H10" s="6" t="n">
        <v>29</v>
      </c>
      <c r="I10" s="7" t="n">
        <v>480</v>
      </c>
      <c r="J10" s="7" t="n">
        <f aca="false">H10*I10</f>
        <v>13920</v>
      </c>
      <c r="K10" s="6" t="s">
        <v>1685</v>
      </c>
      <c r="L10" s="6" t="s">
        <v>1682</v>
      </c>
    </row>
    <row r="11" customFormat="false" ht="15" hidden="false" customHeight="false" outlineLevel="0" collapsed="false">
      <c r="A11" s="3" t="s">
        <v>1696</v>
      </c>
      <c r="B11" s="3" t="s">
        <v>1697</v>
      </c>
      <c r="C11" s="3" t="s">
        <v>1139</v>
      </c>
      <c r="D11" s="3" t="s">
        <v>820</v>
      </c>
      <c r="E11" s="3" t="s">
        <v>834</v>
      </c>
      <c r="F11" s="3" t="s">
        <v>833</v>
      </c>
      <c r="G11" s="3" t="s">
        <v>816</v>
      </c>
      <c r="H11" s="3" t="n">
        <v>45</v>
      </c>
      <c r="I11" s="4" t="n">
        <v>1200</v>
      </c>
      <c r="J11" s="4" t="n">
        <f aca="false">H11*I11</f>
        <v>54000</v>
      </c>
      <c r="K11" s="3" t="s">
        <v>1689</v>
      </c>
      <c r="L11" s="3" t="s">
        <v>1686</v>
      </c>
    </row>
    <row r="12" customFormat="false" ht="15" hidden="false" customHeight="false" outlineLevel="0" collapsed="false">
      <c r="A12" s="6" t="s">
        <v>1698</v>
      </c>
      <c r="B12" s="6" t="s">
        <v>1699</v>
      </c>
      <c r="C12" s="6" t="s">
        <v>965</v>
      </c>
      <c r="D12" s="6" t="s">
        <v>133</v>
      </c>
      <c r="E12" s="6" t="s">
        <v>90</v>
      </c>
      <c r="F12" s="6" t="s">
        <v>89</v>
      </c>
      <c r="G12" s="6" t="s">
        <v>17</v>
      </c>
      <c r="H12" s="6" t="n">
        <v>79</v>
      </c>
      <c r="I12" s="7" t="n">
        <v>290000</v>
      </c>
      <c r="J12" s="7" t="n">
        <f aca="false">H12*I12</f>
        <v>22910000</v>
      </c>
      <c r="K12" s="6" t="s">
        <v>1685</v>
      </c>
      <c r="L12" s="6" t="s">
        <v>1682</v>
      </c>
    </row>
    <row r="13" customFormat="false" ht="15" hidden="false" customHeight="false" outlineLevel="0" collapsed="false">
      <c r="A13" s="3" t="s">
        <v>1700</v>
      </c>
      <c r="B13" s="3" t="s">
        <v>1701</v>
      </c>
      <c r="C13" s="3" t="s">
        <v>994</v>
      </c>
      <c r="D13" s="3" t="s">
        <v>189</v>
      </c>
      <c r="E13" s="3" t="s">
        <v>254</v>
      </c>
      <c r="F13" s="3" t="s">
        <v>253</v>
      </c>
      <c r="G13" s="3" t="s">
        <v>169</v>
      </c>
      <c r="H13" s="3" t="n">
        <v>35</v>
      </c>
      <c r="I13" s="4" t="n">
        <v>580</v>
      </c>
      <c r="J13" s="4" t="n">
        <f aca="false">H13*I13</f>
        <v>20300</v>
      </c>
      <c r="K13" s="3" t="s">
        <v>1675</v>
      </c>
      <c r="L13" s="3" t="s">
        <v>1676</v>
      </c>
    </row>
    <row r="14" customFormat="false" ht="15" hidden="false" customHeight="false" outlineLevel="0" collapsed="false">
      <c r="A14" s="6" t="s">
        <v>1702</v>
      </c>
      <c r="B14" s="6" t="s">
        <v>1703</v>
      </c>
      <c r="C14" s="6" t="s">
        <v>1064</v>
      </c>
      <c r="D14" s="6" t="s">
        <v>363</v>
      </c>
      <c r="E14" s="6" t="s">
        <v>345</v>
      </c>
      <c r="F14" s="6" t="s">
        <v>344</v>
      </c>
      <c r="G14" s="6" t="s">
        <v>330</v>
      </c>
      <c r="H14" s="6" t="n">
        <v>89</v>
      </c>
      <c r="I14" s="7" t="n">
        <v>1800</v>
      </c>
      <c r="J14" s="7" t="n">
        <f aca="false">H14*I14</f>
        <v>160200</v>
      </c>
      <c r="K14" s="6" t="s">
        <v>1675</v>
      </c>
      <c r="L14" s="6" t="s">
        <v>1682</v>
      </c>
    </row>
    <row r="15" customFormat="false" ht="15" hidden="false" customHeight="false" outlineLevel="0" collapsed="false">
      <c r="A15" s="3" t="s">
        <v>1704</v>
      </c>
      <c r="B15" s="3" t="s">
        <v>1705</v>
      </c>
      <c r="C15" s="3" t="s">
        <v>994</v>
      </c>
      <c r="D15" s="3" t="s">
        <v>189</v>
      </c>
      <c r="E15" s="3" t="s">
        <v>180</v>
      </c>
      <c r="F15" s="3" t="s">
        <v>179</v>
      </c>
      <c r="G15" s="3" t="s">
        <v>169</v>
      </c>
      <c r="H15" s="3" t="n">
        <v>77</v>
      </c>
      <c r="I15" s="4" t="n">
        <v>1100</v>
      </c>
      <c r="J15" s="4" t="n">
        <f aca="false">H15*I15</f>
        <v>84700</v>
      </c>
      <c r="K15" s="3" t="s">
        <v>1685</v>
      </c>
      <c r="L15" s="3" t="s">
        <v>1682</v>
      </c>
    </row>
    <row r="16" customFormat="false" ht="15" hidden="false" customHeight="false" outlineLevel="0" collapsed="false">
      <c r="A16" s="6" t="s">
        <v>1706</v>
      </c>
      <c r="B16" s="6" t="s">
        <v>1707</v>
      </c>
      <c r="C16" s="6" t="s">
        <v>907</v>
      </c>
      <c r="D16" s="6" t="s">
        <v>21</v>
      </c>
      <c r="E16" s="6" t="s">
        <v>139</v>
      </c>
      <c r="F16" s="6" t="s">
        <v>138</v>
      </c>
      <c r="G16" s="6" t="s">
        <v>17</v>
      </c>
      <c r="H16" s="6" t="n">
        <v>61</v>
      </c>
      <c r="I16" s="7" t="n">
        <v>80000</v>
      </c>
      <c r="J16" s="7" t="n">
        <f aca="false">H16*I16</f>
        <v>4880000</v>
      </c>
      <c r="K16" s="6" t="s">
        <v>1679</v>
      </c>
      <c r="L16" s="6" t="s">
        <v>1676</v>
      </c>
    </row>
    <row r="17" customFormat="false" ht="15" hidden="false" customHeight="false" outlineLevel="0" collapsed="false">
      <c r="A17" s="3" t="s">
        <v>1708</v>
      </c>
      <c r="B17" s="3" t="s">
        <v>1709</v>
      </c>
      <c r="C17" s="3" t="s">
        <v>1103</v>
      </c>
      <c r="D17" s="3" t="s">
        <v>503</v>
      </c>
      <c r="E17" s="3" t="s">
        <v>472</v>
      </c>
      <c r="F17" s="3" t="s">
        <v>471</v>
      </c>
      <c r="G17" s="3" t="s">
        <v>469</v>
      </c>
      <c r="H17" s="3" t="n">
        <v>62</v>
      </c>
      <c r="I17" s="4" t="n">
        <v>850</v>
      </c>
      <c r="J17" s="4" t="n">
        <f aca="false">H17*I17</f>
        <v>52700</v>
      </c>
      <c r="K17" s="3" t="s">
        <v>1679</v>
      </c>
      <c r="L17" s="3" t="s">
        <v>1682</v>
      </c>
    </row>
    <row r="18" customFormat="false" ht="15" hidden="false" customHeight="false" outlineLevel="0" collapsed="false">
      <c r="A18" s="6" t="s">
        <v>1710</v>
      </c>
      <c r="B18" s="6" t="s">
        <v>1711</v>
      </c>
      <c r="C18" s="6" t="s">
        <v>998</v>
      </c>
      <c r="D18" s="6" t="s">
        <v>218</v>
      </c>
      <c r="E18" s="6" t="s">
        <v>172</v>
      </c>
      <c r="F18" s="6" t="s">
        <v>171</v>
      </c>
      <c r="G18" s="6" t="s">
        <v>169</v>
      </c>
      <c r="H18" s="6" t="n">
        <v>71</v>
      </c>
      <c r="I18" s="7" t="n">
        <v>3800</v>
      </c>
      <c r="J18" s="7" t="n">
        <f aca="false">H18*I18</f>
        <v>269800</v>
      </c>
      <c r="K18" s="6" t="s">
        <v>1679</v>
      </c>
      <c r="L18" s="6" t="s">
        <v>1676</v>
      </c>
    </row>
    <row r="19" customFormat="false" ht="15" hidden="false" customHeight="false" outlineLevel="0" collapsed="false">
      <c r="A19" s="3" t="s">
        <v>1712</v>
      </c>
      <c r="B19" s="3" t="s">
        <v>1713</v>
      </c>
      <c r="C19" s="3" t="s">
        <v>1103</v>
      </c>
      <c r="D19" s="3" t="s">
        <v>503</v>
      </c>
      <c r="E19" s="3" t="s">
        <v>499</v>
      </c>
      <c r="F19" s="3" t="s">
        <v>498</v>
      </c>
      <c r="G19" s="3" t="s">
        <v>469</v>
      </c>
      <c r="H19" s="3" t="n">
        <v>26</v>
      </c>
      <c r="I19" s="4" t="n">
        <v>200</v>
      </c>
      <c r="J19" s="4" t="n">
        <f aca="false">H19*I19</f>
        <v>5200</v>
      </c>
      <c r="K19" s="3" t="s">
        <v>1679</v>
      </c>
      <c r="L19" s="3" t="s">
        <v>1676</v>
      </c>
    </row>
    <row r="20" customFormat="false" ht="15" hidden="false" customHeight="false" outlineLevel="0" collapsed="false">
      <c r="A20" s="6" t="s">
        <v>1714</v>
      </c>
      <c r="B20" s="6" t="s">
        <v>1715</v>
      </c>
      <c r="C20" s="6" t="s">
        <v>1144</v>
      </c>
      <c r="D20" s="6" t="s">
        <v>825</v>
      </c>
      <c r="E20" s="6" t="s">
        <v>834</v>
      </c>
      <c r="F20" s="6" t="s">
        <v>833</v>
      </c>
      <c r="G20" s="6" t="s">
        <v>816</v>
      </c>
      <c r="H20" s="6" t="n">
        <v>46</v>
      </c>
      <c r="I20" s="7" t="n">
        <v>1200</v>
      </c>
      <c r="J20" s="7" t="n">
        <f aca="false">H20*I20</f>
        <v>55200</v>
      </c>
      <c r="K20" s="6" t="s">
        <v>1689</v>
      </c>
      <c r="L20" s="6" t="s">
        <v>1676</v>
      </c>
    </row>
    <row r="21" customFormat="false" ht="15" hidden="false" customHeight="false" outlineLevel="0" collapsed="false">
      <c r="A21" s="3" t="s">
        <v>1716</v>
      </c>
      <c r="B21" s="3" t="s">
        <v>1695</v>
      </c>
      <c r="C21" s="3" t="s">
        <v>1107</v>
      </c>
      <c r="D21" s="3" t="s">
        <v>556</v>
      </c>
      <c r="E21" s="3" t="s">
        <v>596</v>
      </c>
      <c r="F21" s="3" t="s">
        <v>595</v>
      </c>
      <c r="G21" s="3" t="s">
        <v>469</v>
      </c>
      <c r="H21" s="3" t="n">
        <v>10</v>
      </c>
      <c r="I21" s="4" t="n">
        <v>1800</v>
      </c>
      <c r="J21" s="4" t="n">
        <f aca="false">H21*I21</f>
        <v>18000</v>
      </c>
      <c r="K21" s="3" t="s">
        <v>1685</v>
      </c>
      <c r="L21" s="3" t="s">
        <v>1686</v>
      </c>
    </row>
    <row r="22" customFormat="false" ht="15" hidden="false" customHeight="false" outlineLevel="0" collapsed="false">
      <c r="A22" s="6" t="s">
        <v>1717</v>
      </c>
      <c r="B22" s="6" t="s">
        <v>1718</v>
      </c>
      <c r="C22" s="6" t="s">
        <v>960</v>
      </c>
      <c r="D22" s="6" t="s">
        <v>114</v>
      </c>
      <c r="E22" s="6" t="s">
        <v>105</v>
      </c>
      <c r="F22" s="6" t="s">
        <v>104</v>
      </c>
      <c r="G22" s="6" t="s">
        <v>17</v>
      </c>
      <c r="H22" s="6" t="n">
        <v>62</v>
      </c>
      <c r="I22" s="7" t="n">
        <v>42000</v>
      </c>
      <c r="J22" s="7" t="n">
        <f aca="false">H22*I22</f>
        <v>2604000</v>
      </c>
      <c r="K22" s="6" t="s">
        <v>1689</v>
      </c>
      <c r="L22" s="6" t="s">
        <v>1682</v>
      </c>
    </row>
    <row r="23" customFormat="false" ht="15" hidden="false" customHeight="false" outlineLevel="0" collapsed="false">
      <c r="A23" s="3" t="s">
        <v>1719</v>
      </c>
      <c r="B23" s="3" t="s">
        <v>1720</v>
      </c>
      <c r="C23" s="3" t="s">
        <v>1060</v>
      </c>
      <c r="D23" s="3" t="s">
        <v>342</v>
      </c>
      <c r="E23" s="3" t="s">
        <v>431</v>
      </c>
      <c r="F23" s="3" t="s">
        <v>430</v>
      </c>
      <c r="G23" s="3" t="s">
        <v>330</v>
      </c>
      <c r="H23" s="3" t="n">
        <v>91</v>
      </c>
      <c r="I23" s="4" t="n">
        <v>2200</v>
      </c>
      <c r="J23" s="4" t="n">
        <f aca="false">H23*I23</f>
        <v>200200</v>
      </c>
      <c r="K23" s="3" t="s">
        <v>1679</v>
      </c>
      <c r="L23" s="3" t="s">
        <v>1682</v>
      </c>
    </row>
    <row r="24" customFormat="false" ht="15" hidden="false" customHeight="false" outlineLevel="0" collapsed="false">
      <c r="A24" s="6" t="s">
        <v>1721</v>
      </c>
      <c r="B24" s="6" t="s">
        <v>1722</v>
      </c>
      <c r="C24" s="6" t="s">
        <v>998</v>
      </c>
      <c r="D24" s="6" t="s">
        <v>218</v>
      </c>
      <c r="E24" s="6" t="s">
        <v>309</v>
      </c>
      <c r="F24" s="6" t="s">
        <v>308</v>
      </c>
      <c r="G24" s="6" t="s">
        <v>169</v>
      </c>
      <c r="H24" s="6" t="n">
        <v>66</v>
      </c>
      <c r="I24" s="7" t="n">
        <v>280</v>
      </c>
      <c r="J24" s="7" t="n">
        <f aca="false">H24*I24</f>
        <v>18480</v>
      </c>
      <c r="K24" s="6" t="s">
        <v>1689</v>
      </c>
      <c r="L24" s="6" t="s">
        <v>1676</v>
      </c>
    </row>
    <row r="25" customFormat="false" ht="15" hidden="false" customHeight="false" outlineLevel="0" collapsed="false">
      <c r="A25" s="3" t="s">
        <v>1723</v>
      </c>
      <c r="B25" s="3" t="s">
        <v>1724</v>
      </c>
      <c r="C25" s="3" t="s">
        <v>1107</v>
      </c>
      <c r="D25" s="3" t="s">
        <v>556</v>
      </c>
      <c r="E25" s="3" t="s">
        <v>539</v>
      </c>
      <c r="F25" s="3" t="s">
        <v>538</v>
      </c>
      <c r="G25" s="3" t="s">
        <v>469</v>
      </c>
      <c r="H25" s="3" t="n">
        <v>64</v>
      </c>
      <c r="I25" s="4" t="n">
        <v>180</v>
      </c>
      <c r="J25" s="4" t="n">
        <f aca="false">H25*I25</f>
        <v>11520</v>
      </c>
      <c r="K25" s="3" t="s">
        <v>1689</v>
      </c>
      <c r="L25" s="3" t="s">
        <v>1676</v>
      </c>
    </row>
    <row r="26" customFormat="false" ht="15" hidden="false" customHeight="false" outlineLevel="0" collapsed="false">
      <c r="A26" s="6" t="s">
        <v>1725</v>
      </c>
      <c r="B26" s="6" t="s">
        <v>1688</v>
      </c>
      <c r="C26" s="6" t="s">
        <v>1107</v>
      </c>
      <c r="D26" s="6" t="s">
        <v>556</v>
      </c>
      <c r="E26" s="6" t="s">
        <v>593</v>
      </c>
      <c r="F26" s="6" t="s">
        <v>592</v>
      </c>
      <c r="G26" s="6" t="s">
        <v>469</v>
      </c>
      <c r="H26" s="6" t="n">
        <v>49</v>
      </c>
      <c r="I26" s="7" t="n">
        <v>450</v>
      </c>
      <c r="J26" s="7" t="n">
        <f aca="false">H26*I26</f>
        <v>22050</v>
      </c>
      <c r="K26" s="6" t="s">
        <v>1689</v>
      </c>
      <c r="L26" s="6" t="s">
        <v>1686</v>
      </c>
    </row>
    <row r="27" customFormat="false" ht="15" hidden="false" customHeight="false" outlineLevel="0" collapsed="false">
      <c r="A27" s="3" t="s">
        <v>1726</v>
      </c>
      <c r="B27" s="3" t="s">
        <v>1727</v>
      </c>
      <c r="C27" s="3" t="s">
        <v>998</v>
      </c>
      <c r="D27" s="3" t="s">
        <v>218</v>
      </c>
      <c r="E27" s="3" t="s">
        <v>195</v>
      </c>
      <c r="F27" s="3" t="s">
        <v>194</v>
      </c>
      <c r="G27" s="3" t="s">
        <v>169</v>
      </c>
      <c r="H27" s="3" t="n">
        <v>61</v>
      </c>
      <c r="I27" s="4" t="n">
        <v>2000</v>
      </c>
      <c r="J27" s="4" t="n">
        <f aca="false">H27*I27</f>
        <v>122000</v>
      </c>
      <c r="K27" s="3" t="s">
        <v>1675</v>
      </c>
      <c r="L27" s="3" t="s">
        <v>1686</v>
      </c>
    </row>
    <row r="28" customFormat="false" ht="15" hidden="false" customHeight="false" outlineLevel="0" collapsed="false">
      <c r="A28" s="6" t="s">
        <v>1728</v>
      </c>
      <c r="B28" s="6" t="s">
        <v>1729</v>
      </c>
      <c r="C28" s="6" t="s">
        <v>960</v>
      </c>
      <c r="D28" s="6" t="s">
        <v>114</v>
      </c>
      <c r="E28" s="6" t="s">
        <v>20</v>
      </c>
      <c r="F28" s="6" t="s">
        <v>19</v>
      </c>
      <c r="G28" s="6" t="s">
        <v>17</v>
      </c>
      <c r="H28" s="6" t="n">
        <v>73</v>
      </c>
      <c r="I28" s="7" t="n">
        <v>75000</v>
      </c>
      <c r="J28" s="7" t="n">
        <f aca="false">H28*I28</f>
        <v>5475000</v>
      </c>
      <c r="K28" s="6" t="s">
        <v>1675</v>
      </c>
      <c r="L28" s="6" t="s">
        <v>1676</v>
      </c>
    </row>
    <row r="29" customFormat="false" ht="15" hidden="false" customHeight="false" outlineLevel="0" collapsed="false">
      <c r="A29" s="3" t="s">
        <v>1730</v>
      </c>
      <c r="B29" s="3" t="s">
        <v>1731</v>
      </c>
      <c r="C29" s="3" t="s">
        <v>907</v>
      </c>
      <c r="D29" s="3" t="s">
        <v>21</v>
      </c>
      <c r="E29" s="3" t="s">
        <v>118</v>
      </c>
      <c r="F29" s="3" t="s">
        <v>117</v>
      </c>
      <c r="G29" s="3" t="s">
        <v>17</v>
      </c>
      <c r="H29" s="3" t="n">
        <v>18</v>
      </c>
      <c r="I29" s="4" t="n">
        <v>55000</v>
      </c>
      <c r="J29" s="4" t="n">
        <f aca="false">H29*I29</f>
        <v>990000</v>
      </c>
      <c r="K29" s="3" t="s">
        <v>1689</v>
      </c>
      <c r="L29" s="3" t="s">
        <v>1686</v>
      </c>
    </row>
    <row r="30" customFormat="false" ht="15" hidden="false" customHeight="false" outlineLevel="0" collapsed="false">
      <c r="A30" s="6" t="s">
        <v>1732</v>
      </c>
      <c r="B30" s="6" t="s">
        <v>1733</v>
      </c>
      <c r="C30" s="6" t="s">
        <v>1103</v>
      </c>
      <c r="D30" s="6" t="s">
        <v>503</v>
      </c>
      <c r="E30" s="6" t="s">
        <v>502</v>
      </c>
      <c r="F30" s="6" t="s">
        <v>501</v>
      </c>
      <c r="G30" s="6" t="s">
        <v>469</v>
      </c>
      <c r="H30" s="6" t="n">
        <v>69</v>
      </c>
      <c r="I30" s="7" t="n">
        <v>260</v>
      </c>
      <c r="J30" s="7" t="n">
        <f aca="false">H30*I30</f>
        <v>17940</v>
      </c>
      <c r="K30" s="6" t="s">
        <v>1689</v>
      </c>
      <c r="L30" s="6" t="s">
        <v>1686</v>
      </c>
    </row>
    <row r="31" customFormat="false" ht="15" hidden="false" customHeight="false" outlineLevel="0" collapsed="false">
      <c r="A31" s="3" t="s">
        <v>1734</v>
      </c>
      <c r="B31" s="3" t="s">
        <v>1735</v>
      </c>
      <c r="C31" s="3" t="s">
        <v>1148</v>
      </c>
      <c r="D31" s="3" t="s">
        <v>854</v>
      </c>
      <c r="E31" s="3" t="s">
        <v>849</v>
      </c>
      <c r="F31" s="3" t="s">
        <v>848</v>
      </c>
      <c r="G31" s="3" t="s">
        <v>816</v>
      </c>
      <c r="H31" s="3" t="n">
        <v>63</v>
      </c>
      <c r="I31" s="4" t="n">
        <v>320</v>
      </c>
      <c r="J31" s="4" t="n">
        <f aca="false">H31*I31</f>
        <v>20160</v>
      </c>
      <c r="K31" s="3" t="s">
        <v>1689</v>
      </c>
      <c r="L31" s="3" t="s">
        <v>1686</v>
      </c>
    </row>
    <row r="32" customFormat="false" ht="15" hidden="false" customHeight="false" outlineLevel="0" collapsed="false">
      <c r="A32" s="6" t="s">
        <v>1736</v>
      </c>
      <c r="B32" s="6" t="s">
        <v>1737</v>
      </c>
      <c r="C32" s="6" t="s">
        <v>1107</v>
      </c>
      <c r="D32" s="6" t="s">
        <v>556</v>
      </c>
      <c r="E32" s="6" t="s">
        <v>571</v>
      </c>
      <c r="F32" s="6" t="s">
        <v>570</v>
      </c>
      <c r="G32" s="6" t="s">
        <v>469</v>
      </c>
      <c r="H32" s="6" t="n">
        <v>24</v>
      </c>
      <c r="I32" s="7" t="n">
        <v>120</v>
      </c>
      <c r="J32" s="7" t="n">
        <f aca="false">H32*I32</f>
        <v>2880</v>
      </c>
      <c r="K32" s="6" t="s">
        <v>1679</v>
      </c>
      <c r="L32" s="6" t="s">
        <v>1686</v>
      </c>
    </row>
    <row r="33" customFormat="false" ht="15" hidden="false" customHeight="false" outlineLevel="0" collapsed="false">
      <c r="A33" s="3" t="s">
        <v>1738</v>
      </c>
      <c r="B33" s="3" t="s">
        <v>1739</v>
      </c>
      <c r="C33" s="3" t="s">
        <v>965</v>
      </c>
      <c r="D33" s="3" t="s">
        <v>133</v>
      </c>
      <c r="E33" s="3" t="s">
        <v>53</v>
      </c>
      <c r="F33" s="3" t="s">
        <v>52</v>
      </c>
      <c r="G33" s="3" t="s">
        <v>17</v>
      </c>
      <c r="H33" s="3" t="n">
        <v>30</v>
      </c>
      <c r="I33" s="4" t="n">
        <v>52000</v>
      </c>
      <c r="J33" s="4" t="n">
        <f aca="false">H33*I33</f>
        <v>1560000</v>
      </c>
      <c r="K33" s="3" t="s">
        <v>1689</v>
      </c>
      <c r="L33" s="3" t="s">
        <v>1676</v>
      </c>
    </row>
    <row r="34" customFormat="false" ht="15" hidden="false" customHeight="false" outlineLevel="0" collapsed="false">
      <c r="A34" s="6" t="s">
        <v>1740</v>
      </c>
      <c r="B34" s="6" t="s">
        <v>1741</v>
      </c>
      <c r="C34" s="6" t="s">
        <v>1060</v>
      </c>
      <c r="D34" s="6" t="s">
        <v>342</v>
      </c>
      <c r="E34" s="6" t="s">
        <v>337</v>
      </c>
      <c r="F34" s="6" t="s">
        <v>336</v>
      </c>
      <c r="G34" s="6" t="s">
        <v>330</v>
      </c>
      <c r="H34" s="6" t="n">
        <v>36</v>
      </c>
      <c r="I34" s="7" t="n">
        <v>1500</v>
      </c>
      <c r="J34" s="7" t="n">
        <f aca="false">H34*I34</f>
        <v>54000</v>
      </c>
      <c r="K34" s="6" t="s">
        <v>1685</v>
      </c>
      <c r="L34" s="6" t="s">
        <v>1676</v>
      </c>
    </row>
    <row r="35" customFormat="false" ht="15" hidden="false" customHeight="false" outlineLevel="0" collapsed="false">
      <c r="A35" s="3" t="s">
        <v>1742</v>
      </c>
      <c r="B35" s="3" t="s">
        <v>1743</v>
      </c>
      <c r="C35" s="3" t="s">
        <v>1019</v>
      </c>
      <c r="D35" s="3" t="s">
        <v>691</v>
      </c>
      <c r="E35" s="3" t="s">
        <v>652</v>
      </c>
      <c r="F35" s="3" t="s">
        <v>651</v>
      </c>
      <c r="G35" s="3" t="s">
        <v>609</v>
      </c>
      <c r="H35" s="3" t="n">
        <v>18</v>
      </c>
      <c r="I35" s="4" t="n">
        <v>145</v>
      </c>
      <c r="J35" s="4" t="n">
        <f aca="false">H35*I35</f>
        <v>2610</v>
      </c>
      <c r="K35" s="3" t="s">
        <v>1685</v>
      </c>
      <c r="L35" s="3" t="s">
        <v>1676</v>
      </c>
    </row>
    <row r="36" customFormat="false" ht="15" hidden="false" customHeight="false" outlineLevel="0" collapsed="false">
      <c r="A36" s="6" t="s">
        <v>1744</v>
      </c>
      <c r="B36" s="6" t="s">
        <v>1745</v>
      </c>
      <c r="C36" s="6" t="s">
        <v>1085</v>
      </c>
      <c r="D36" s="6" t="s">
        <v>473</v>
      </c>
      <c r="E36" s="6" t="s">
        <v>526</v>
      </c>
      <c r="F36" s="6" t="s">
        <v>525</v>
      </c>
      <c r="G36" s="6" t="s">
        <v>469</v>
      </c>
      <c r="H36" s="6" t="n">
        <v>51</v>
      </c>
      <c r="I36" s="7" t="n">
        <v>1200</v>
      </c>
      <c r="J36" s="7" t="n">
        <f aca="false">H36*I36</f>
        <v>61200</v>
      </c>
      <c r="K36" s="6" t="s">
        <v>1689</v>
      </c>
      <c r="L36" s="6" t="s">
        <v>1676</v>
      </c>
    </row>
    <row r="37" customFormat="false" ht="15" hidden="false" customHeight="false" outlineLevel="0" collapsed="false">
      <c r="A37" s="3" t="s">
        <v>1746</v>
      </c>
      <c r="B37" s="3" t="s">
        <v>1731</v>
      </c>
      <c r="C37" s="3" t="s">
        <v>985</v>
      </c>
      <c r="D37" s="3" t="s">
        <v>173</v>
      </c>
      <c r="E37" s="3" t="s">
        <v>214</v>
      </c>
      <c r="F37" s="3" t="s">
        <v>213</v>
      </c>
      <c r="G37" s="3" t="s">
        <v>169</v>
      </c>
      <c r="H37" s="3" t="n">
        <v>80</v>
      </c>
      <c r="I37" s="4" t="n">
        <v>65</v>
      </c>
      <c r="J37" s="4" t="n">
        <f aca="false">H37*I37</f>
        <v>5200</v>
      </c>
      <c r="K37" s="3" t="s">
        <v>1679</v>
      </c>
      <c r="L37" s="3" t="s">
        <v>1686</v>
      </c>
    </row>
    <row r="38" customFormat="false" ht="15" hidden="false" customHeight="false" outlineLevel="0" collapsed="false">
      <c r="A38" s="6" t="s">
        <v>1747</v>
      </c>
      <c r="B38" s="6" t="s">
        <v>1748</v>
      </c>
      <c r="C38" s="6" t="s">
        <v>965</v>
      </c>
      <c r="D38" s="6" t="s">
        <v>133</v>
      </c>
      <c r="E38" s="6" t="s">
        <v>121</v>
      </c>
      <c r="F38" s="6" t="s">
        <v>120</v>
      </c>
      <c r="G38" s="6" t="s">
        <v>17</v>
      </c>
      <c r="H38" s="6" t="n">
        <v>44</v>
      </c>
      <c r="I38" s="7" t="n">
        <v>195000</v>
      </c>
      <c r="J38" s="7" t="n">
        <f aca="false">H38*I38</f>
        <v>8580000</v>
      </c>
      <c r="K38" s="6" t="s">
        <v>1689</v>
      </c>
      <c r="L38" s="6" t="s">
        <v>1682</v>
      </c>
    </row>
    <row r="39" customFormat="false" ht="15" hidden="false" customHeight="false" outlineLevel="0" collapsed="false">
      <c r="A39" s="3" t="s">
        <v>1749</v>
      </c>
      <c r="B39" s="3" t="s">
        <v>1750</v>
      </c>
      <c r="C39" s="3" t="s">
        <v>1148</v>
      </c>
      <c r="D39" s="3" t="s">
        <v>854</v>
      </c>
      <c r="E39" s="3" t="s">
        <v>891</v>
      </c>
      <c r="F39" s="3" t="s">
        <v>890</v>
      </c>
      <c r="G39" s="3" t="s">
        <v>816</v>
      </c>
      <c r="H39" s="3" t="n">
        <v>97</v>
      </c>
      <c r="I39" s="4" t="n">
        <v>550</v>
      </c>
      <c r="J39" s="4" t="n">
        <f aca="false">H39*I39</f>
        <v>53350</v>
      </c>
      <c r="K39" s="3" t="s">
        <v>1689</v>
      </c>
      <c r="L39" s="3" t="s">
        <v>1686</v>
      </c>
    </row>
    <row r="40" customFormat="false" ht="15" hidden="false" customHeight="false" outlineLevel="0" collapsed="false">
      <c r="A40" s="6" t="s">
        <v>1751</v>
      </c>
      <c r="B40" s="6" t="s">
        <v>1752</v>
      </c>
      <c r="C40" s="6" t="s">
        <v>1156</v>
      </c>
      <c r="D40" s="6" t="s">
        <v>740</v>
      </c>
      <c r="E40" s="6" t="s">
        <v>804</v>
      </c>
      <c r="F40" s="6" t="s">
        <v>803</v>
      </c>
      <c r="G40" s="6" t="s">
        <v>731</v>
      </c>
      <c r="H40" s="6" t="n">
        <v>39</v>
      </c>
      <c r="I40" s="7" t="n">
        <v>85</v>
      </c>
      <c r="J40" s="7" t="n">
        <f aca="false">H40*I40</f>
        <v>3315</v>
      </c>
      <c r="K40" s="6" t="s">
        <v>1685</v>
      </c>
      <c r="L40" s="6" t="s">
        <v>1676</v>
      </c>
    </row>
    <row r="41" customFormat="false" ht="15" hidden="false" customHeight="false" outlineLevel="0" collapsed="false">
      <c r="A41" s="3" t="s">
        <v>1753</v>
      </c>
      <c r="B41" s="3" t="s">
        <v>1754</v>
      </c>
      <c r="C41" s="3" t="s">
        <v>1148</v>
      </c>
      <c r="D41" s="3" t="s">
        <v>854</v>
      </c>
      <c r="E41" s="3" t="s">
        <v>846</v>
      </c>
      <c r="F41" s="3" t="s">
        <v>845</v>
      </c>
      <c r="G41" s="3" t="s">
        <v>816</v>
      </c>
      <c r="H41" s="3" t="n">
        <v>5</v>
      </c>
      <c r="I41" s="4" t="n">
        <v>380</v>
      </c>
      <c r="J41" s="4" t="n">
        <f aca="false">H41*I41</f>
        <v>1900</v>
      </c>
      <c r="K41" s="3" t="s">
        <v>1679</v>
      </c>
      <c r="L41" s="3" t="s">
        <v>1686</v>
      </c>
    </row>
    <row r="42" customFormat="false" ht="15" hidden="false" customHeight="false" outlineLevel="0" collapsed="false">
      <c r="A42" s="6" t="s">
        <v>1755</v>
      </c>
      <c r="B42" s="6" t="s">
        <v>1756</v>
      </c>
      <c r="C42" s="6" t="s">
        <v>1060</v>
      </c>
      <c r="D42" s="6" t="s">
        <v>342</v>
      </c>
      <c r="E42" s="6" t="s">
        <v>451</v>
      </c>
      <c r="F42" s="6" t="s">
        <v>450</v>
      </c>
      <c r="G42" s="6" t="s">
        <v>330</v>
      </c>
      <c r="H42" s="6" t="n">
        <v>88</v>
      </c>
      <c r="I42" s="7" t="n">
        <v>200</v>
      </c>
      <c r="J42" s="7" t="n">
        <f aca="false">H42*I42</f>
        <v>17600</v>
      </c>
      <c r="K42" s="6" t="s">
        <v>1679</v>
      </c>
      <c r="L42" s="6" t="s">
        <v>1676</v>
      </c>
    </row>
    <row r="43" customFormat="false" ht="15" hidden="false" customHeight="false" outlineLevel="0" collapsed="false">
      <c r="A43" s="3" t="s">
        <v>1757</v>
      </c>
      <c r="B43" s="3" t="s">
        <v>1758</v>
      </c>
      <c r="C43" s="3" t="s">
        <v>1139</v>
      </c>
      <c r="D43" s="3" t="s">
        <v>820</v>
      </c>
      <c r="E43" s="3" t="s">
        <v>862</v>
      </c>
      <c r="F43" s="3" t="s">
        <v>861</v>
      </c>
      <c r="G43" s="3" t="s">
        <v>816</v>
      </c>
      <c r="H43" s="3" t="n">
        <v>12</v>
      </c>
      <c r="I43" s="4" t="n">
        <v>14000</v>
      </c>
      <c r="J43" s="4" t="n">
        <f aca="false">H43*I43</f>
        <v>168000</v>
      </c>
      <c r="K43" s="3" t="s">
        <v>1685</v>
      </c>
      <c r="L43" s="3" t="s">
        <v>1686</v>
      </c>
    </row>
    <row r="44" customFormat="false" ht="15" hidden="false" customHeight="false" outlineLevel="0" collapsed="false">
      <c r="A44" s="6" t="s">
        <v>1759</v>
      </c>
      <c r="B44" s="6" t="s">
        <v>1684</v>
      </c>
      <c r="C44" s="6" t="s">
        <v>1103</v>
      </c>
      <c r="D44" s="6" t="s">
        <v>503</v>
      </c>
      <c r="E44" s="6" t="s">
        <v>499</v>
      </c>
      <c r="F44" s="6" t="s">
        <v>498</v>
      </c>
      <c r="G44" s="6" t="s">
        <v>469</v>
      </c>
      <c r="H44" s="6" t="n">
        <v>29</v>
      </c>
      <c r="I44" s="7" t="n">
        <v>200</v>
      </c>
      <c r="J44" s="7" t="n">
        <f aca="false">H44*I44</f>
        <v>5800</v>
      </c>
      <c r="K44" s="6" t="s">
        <v>1685</v>
      </c>
      <c r="L44" s="6" t="s">
        <v>1686</v>
      </c>
    </row>
    <row r="45" customFormat="false" ht="15" hidden="false" customHeight="false" outlineLevel="0" collapsed="false">
      <c r="A45" s="3" t="s">
        <v>1760</v>
      </c>
      <c r="B45" s="3" t="s">
        <v>1750</v>
      </c>
      <c r="C45" s="3" t="s">
        <v>1064</v>
      </c>
      <c r="D45" s="3" t="s">
        <v>363</v>
      </c>
      <c r="E45" s="3" t="s">
        <v>337</v>
      </c>
      <c r="F45" s="3" t="s">
        <v>336</v>
      </c>
      <c r="G45" s="3" t="s">
        <v>330</v>
      </c>
      <c r="H45" s="3" t="n">
        <v>68</v>
      </c>
      <c r="I45" s="4" t="n">
        <v>1500</v>
      </c>
      <c r="J45" s="4" t="n">
        <f aca="false">H45*I45</f>
        <v>102000</v>
      </c>
      <c r="K45" s="3" t="s">
        <v>1685</v>
      </c>
      <c r="L45" s="3" t="s">
        <v>1686</v>
      </c>
    </row>
    <row r="46" customFormat="false" ht="15" hidden="false" customHeight="false" outlineLevel="0" collapsed="false">
      <c r="A46" s="6" t="s">
        <v>1761</v>
      </c>
      <c r="B46" s="6" t="s">
        <v>1762</v>
      </c>
      <c r="C46" s="6" t="s">
        <v>1126</v>
      </c>
      <c r="D46" s="6" t="s">
        <v>621</v>
      </c>
      <c r="E46" s="6" t="s">
        <v>699</v>
      </c>
      <c r="F46" s="6" t="s">
        <v>698</v>
      </c>
      <c r="G46" s="6" t="s">
        <v>609</v>
      </c>
      <c r="H46" s="6" t="n">
        <v>49</v>
      </c>
      <c r="I46" s="7" t="n">
        <v>120</v>
      </c>
      <c r="J46" s="7" t="n">
        <f aca="false">H46*I46</f>
        <v>5880</v>
      </c>
      <c r="K46" s="6" t="s">
        <v>1685</v>
      </c>
      <c r="L46" s="6" t="s">
        <v>1686</v>
      </c>
    </row>
    <row r="47" customFormat="false" ht="15" hidden="false" customHeight="false" outlineLevel="0" collapsed="false">
      <c r="A47" s="3" t="s">
        <v>1763</v>
      </c>
      <c r="B47" s="3" t="s">
        <v>1764</v>
      </c>
      <c r="C47" s="3" t="s">
        <v>1107</v>
      </c>
      <c r="D47" s="3" t="s">
        <v>556</v>
      </c>
      <c r="E47" s="3" t="s">
        <v>526</v>
      </c>
      <c r="F47" s="3" t="s">
        <v>525</v>
      </c>
      <c r="G47" s="3" t="s">
        <v>469</v>
      </c>
      <c r="H47" s="3" t="n">
        <v>66</v>
      </c>
      <c r="I47" s="4" t="n">
        <v>1200</v>
      </c>
      <c r="J47" s="4" t="n">
        <f aca="false">H47*I47</f>
        <v>79200</v>
      </c>
      <c r="K47" s="3" t="s">
        <v>1675</v>
      </c>
      <c r="L47" s="3" t="s">
        <v>1682</v>
      </c>
    </row>
    <row r="48" customFormat="false" ht="15" hidden="false" customHeight="false" outlineLevel="0" collapsed="false">
      <c r="A48" s="6" t="s">
        <v>1765</v>
      </c>
      <c r="B48" s="6" t="s">
        <v>1766</v>
      </c>
      <c r="C48" s="6" t="s">
        <v>1161</v>
      </c>
      <c r="D48" s="6" t="s">
        <v>603</v>
      </c>
      <c r="E48" s="6" t="s">
        <v>783</v>
      </c>
      <c r="F48" s="6" t="s">
        <v>782</v>
      </c>
      <c r="G48" s="6" t="s">
        <v>731</v>
      </c>
      <c r="H48" s="6" t="n">
        <v>97</v>
      </c>
      <c r="I48" s="7" t="n">
        <v>50</v>
      </c>
      <c r="J48" s="7" t="n">
        <f aca="false">H48*I48</f>
        <v>4850</v>
      </c>
      <c r="K48" s="6" t="s">
        <v>1689</v>
      </c>
      <c r="L48" s="6" t="s">
        <v>1676</v>
      </c>
    </row>
    <row r="49" customFormat="false" ht="15" hidden="false" customHeight="false" outlineLevel="0" collapsed="false">
      <c r="A49" s="3" t="s">
        <v>1767</v>
      </c>
      <c r="B49" s="3" t="s">
        <v>1768</v>
      </c>
      <c r="C49" s="3" t="s">
        <v>1064</v>
      </c>
      <c r="D49" s="3" t="s">
        <v>363</v>
      </c>
      <c r="E49" s="3" t="s">
        <v>457</v>
      </c>
      <c r="F49" s="3" t="s">
        <v>456</v>
      </c>
      <c r="G49" s="3" t="s">
        <v>330</v>
      </c>
      <c r="H49" s="3" t="n">
        <v>77</v>
      </c>
      <c r="I49" s="4" t="n">
        <v>1200</v>
      </c>
      <c r="J49" s="4" t="n">
        <f aca="false">H49*I49</f>
        <v>92400</v>
      </c>
      <c r="K49" s="3" t="s">
        <v>1675</v>
      </c>
      <c r="L49" s="3" t="s">
        <v>1682</v>
      </c>
    </row>
    <row r="50" customFormat="false" ht="15" hidden="false" customHeight="false" outlineLevel="0" collapsed="false">
      <c r="A50" s="6" t="s">
        <v>1769</v>
      </c>
      <c r="B50" s="6" t="s">
        <v>1770</v>
      </c>
      <c r="C50" s="6" t="s">
        <v>965</v>
      </c>
      <c r="D50" s="6" t="s">
        <v>133</v>
      </c>
      <c r="E50" s="6" t="s">
        <v>37</v>
      </c>
      <c r="F50" s="6" t="s">
        <v>36</v>
      </c>
      <c r="G50" s="6" t="s">
        <v>17</v>
      </c>
      <c r="H50" s="6" t="n">
        <v>46</v>
      </c>
      <c r="I50" s="7" t="n">
        <v>42000</v>
      </c>
      <c r="J50" s="7" t="n">
        <f aca="false">H50*I50</f>
        <v>1932000</v>
      </c>
      <c r="K50" s="6" t="s">
        <v>1685</v>
      </c>
      <c r="L50" s="6" t="s">
        <v>1676</v>
      </c>
    </row>
    <row r="51" customFormat="false" ht="15" hidden="false" customHeight="false" outlineLevel="0" collapsed="false">
      <c r="A51" s="3" t="s">
        <v>1771</v>
      </c>
      <c r="B51" s="3" t="s">
        <v>1772</v>
      </c>
      <c r="C51" s="3" t="s">
        <v>1126</v>
      </c>
      <c r="D51" s="3" t="s">
        <v>621</v>
      </c>
      <c r="E51" s="3" t="s">
        <v>670</v>
      </c>
      <c r="F51" s="3" t="s">
        <v>669</v>
      </c>
      <c r="G51" s="3" t="s">
        <v>609</v>
      </c>
      <c r="H51" s="3" t="n">
        <v>41</v>
      </c>
      <c r="I51" s="4" t="n">
        <v>380</v>
      </c>
      <c r="J51" s="4" t="n">
        <f aca="false">H51*I51</f>
        <v>15580</v>
      </c>
      <c r="K51" s="3" t="s">
        <v>1679</v>
      </c>
      <c r="L51" s="3" t="s">
        <v>1676</v>
      </c>
    </row>
    <row r="52" customFormat="false" ht="15" hidden="false" customHeight="false" outlineLevel="0" collapsed="false">
      <c r="A52" s="6" t="s">
        <v>1773</v>
      </c>
      <c r="B52" s="6" t="s">
        <v>1774</v>
      </c>
      <c r="C52" s="6" t="s">
        <v>1055</v>
      </c>
      <c r="D52" s="6" t="s">
        <v>334</v>
      </c>
      <c r="E52" s="6" t="s">
        <v>350</v>
      </c>
      <c r="F52" s="6" t="s">
        <v>349</v>
      </c>
      <c r="G52" s="6" t="s">
        <v>330</v>
      </c>
      <c r="H52" s="6" t="n">
        <v>76</v>
      </c>
      <c r="I52" s="7" t="n">
        <v>2200</v>
      </c>
      <c r="J52" s="7" t="n">
        <f aca="false">H52*I52</f>
        <v>167200</v>
      </c>
      <c r="K52" s="6" t="s">
        <v>1675</v>
      </c>
      <c r="L52" s="6" t="s">
        <v>1676</v>
      </c>
    </row>
    <row r="53" customFormat="false" ht="15" hidden="false" customHeight="false" outlineLevel="0" collapsed="false">
      <c r="A53" s="3" t="s">
        <v>1775</v>
      </c>
      <c r="B53" s="3" t="s">
        <v>1776</v>
      </c>
      <c r="C53" s="3" t="s">
        <v>1156</v>
      </c>
      <c r="D53" s="3" t="s">
        <v>740</v>
      </c>
      <c r="E53" s="3" t="s">
        <v>804</v>
      </c>
      <c r="F53" s="3" t="s">
        <v>803</v>
      </c>
      <c r="G53" s="3" t="s">
        <v>731</v>
      </c>
      <c r="H53" s="3" t="n">
        <v>58</v>
      </c>
      <c r="I53" s="4" t="n">
        <v>85</v>
      </c>
      <c r="J53" s="4" t="n">
        <f aca="false">H53*I53</f>
        <v>4930</v>
      </c>
      <c r="K53" s="3" t="s">
        <v>1679</v>
      </c>
      <c r="L53" s="3" t="s">
        <v>1682</v>
      </c>
    </row>
    <row r="54" customFormat="false" ht="15" hidden="false" customHeight="false" outlineLevel="0" collapsed="false">
      <c r="A54" s="6" t="s">
        <v>1777</v>
      </c>
      <c r="B54" s="6" t="s">
        <v>1674</v>
      </c>
      <c r="C54" s="6" t="s">
        <v>1107</v>
      </c>
      <c r="D54" s="6" t="s">
        <v>556</v>
      </c>
      <c r="E54" s="6" t="s">
        <v>482</v>
      </c>
      <c r="F54" s="6" t="s">
        <v>481</v>
      </c>
      <c r="G54" s="6" t="s">
        <v>469</v>
      </c>
      <c r="H54" s="6" t="n">
        <v>7</v>
      </c>
      <c r="I54" s="7" t="n">
        <v>845</v>
      </c>
      <c r="J54" s="7" t="n">
        <f aca="false">H54*I54</f>
        <v>5915</v>
      </c>
      <c r="K54" s="6" t="s">
        <v>1689</v>
      </c>
      <c r="L54" s="6" t="s">
        <v>1676</v>
      </c>
    </row>
    <row r="55" customFormat="false" ht="15" hidden="false" customHeight="false" outlineLevel="0" collapsed="false">
      <c r="A55" s="3" t="s">
        <v>1778</v>
      </c>
      <c r="B55" s="3" t="s">
        <v>1779</v>
      </c>
      <c r="C55" s="3" t="s">
        <v>1121</v>
      </c>
      <c r="D55" s="3" t="s">
        <v>613</v>
      </c>
      <c r="E55" s="3" t="s">
        <v>630</v>
      </c>
      <c r="F55" s="3" t="s">
        <v>629</v>
      </c>
      <c r="G55" s="3" t="s">
        <v>609</v>
      </c>
      <c r="H55" s="3" t="n">
        <v>71</v>
      </c>
      <c r="I55" s="4" t="n">
        <v>120</v>
      </c>
      <c r="J55" s="4" t="n">
        <f aca="false">H55*I55</f>
        <v>8520</v>
      </c>
      <c r="K55" s="3" t="s">
        <v>1685</v>
      </c>
      <c r="L55" s="3" t="s">
        <v>1676</v>
      </c>
    </row>
    <row r="56" customFormat="false" ht="15" hidden="false" customHeight="false" outlineLevel="0" collapsed="false">
      <c r="A56" s="6" t="s">
        <v>1780</v>
      </c>
      <c r="B56" s="6" t="s">
        <v>1781</v>
      </c>
      <c r="C56" s="6" t="s">
        <v>1156</v>
      </c>
      <c r="D56" s="6" t="s">
        <v>740</v>
      </c>
      <c r="E56" s="6" t="s">
        <v>756</v>
      </c>
      <c r="F56" s="6" t="s">
        <v>755</v>
      </c>
      <c r="G56" s="6" t="s">
        <v>731</v>
      </c>
      <c r="H56" s="6" t="n">
        <v>9</v>
      </c>
      <c r="I56" s="7" t="n">
        <v>320</v>
      </c>
      <c r="J56" s="7" t="n">
        <f aca="false">H56*I56</f>
        <v>2880</v>
      </c>
      <c r="K56" s="6" t="s">
        <v>1685</v>
      </c>
      <c r="L56" s="6" t="s">
        <v>1686</v>
      </c>
    </row>
    <row r="57" customFormat="false" ht="15" hidden="false" customHeight="false" outlineLevel="0" collapsed="false">
      <c r="A57" s="3" t="s">
        <v>1782</v>
      </c>
      <c r="B57" s="3" t="s">
        <v>1783</v>
      </c>
      <c r="C57" s="3" t="s">
        <v>1019</v>
      </c>
      <c r="D57" s="3" t="s">
        <v>691</v>
      </c>
      <c r="E57" s="3" t="s">
        <v>658</v>
      </c>
      <c r="F57" s="3" t="s">
        <v>657</v>
      </c>
      <c r="G57" s="3" t="s">
        <v>609</v>
      </c>
      <c r="H57" s="3" t="n">
        <v>26</v>
      </c>
      <c r="I57" s="4" t="n">
        <v>380</v>
      </c>
      <c r="J57" s="4" t="n">
        <f aca="false">H57*I57</f>
        <v>9880</v>
      </c>
      <c r="K57" s="3" t="s">
        <v>1679</v>
      </c>
      <c r="L57" s="3" t="s">
        <v>1676</v>
      </c>
    </row>
    <row r="58" customFormat="false" ht="15" hidden="false" customHeight="false" outlineLevel="0" collapsed="false">
      <c r="A58" s="6" t="s">
        <v>1784</v>
      </c>
      <c r="B58" s="6" t="s">
        <v>1785</v>
      </c>
      <c r="C58" s="6" t="s">
        <v>1144</v>
      </c>
      <c r="D58" s="6" t="s">
        <v>825</v>
      </c>
      <c r="E58" s="6" t="s">
        <v>853</v>
      </c>
      <c r="F58" s="6" t="s">
        <v>852</v>
      </c>
      <c r="G58" s="6" t="s">
        <v>816</v>
      </c>
      <c r="H58" s="6" t="n">
        <v>26</v>
      </c>
      <c r="I58" s="7" t="n">
        <v>12500</v>
      </c>
      <c r="J58" s="7" t="n">
        <f aca="false">H58*I58</f>
        <v>325000</v>
      </c>
      <c r="K58" s="6" t="s">
        <v>1675</v>
      </c>
      <c r="L58" s="6" t="s">
        <v>1682</v>
      </c>
    </row>
    <row r="59" customFormat="false" ht="15" hidden="false" customHeight="false" outlineLevel="0" collapsed="false">
      <c r="A59" s="3" t="s">
        <v>1786</v>
      </c>
      <c r="B59" s="3" t="s">
        <v>1787</v>
      </c>
      <c r="C59" s="3" t="s">
        <v>1103</v>
      </c>
      <c r="D59" s="3" t="s">
        <v>503</v>
      </c>
      <c r="E59" s="3" t="s">
        <v>560</v>
      </c>
      <c r="F59" s="3" t="s">
        <v>559</v>
      </c>
      <c r="G59" s="3" t="s">
        <v>469</v>
      </c>
      <c r="H59" s="3" t="n">
        <v>16</v>
      </c>
      <c r="I59" s="4" t="n">
        <v>65</v>
      </c>
      <c r="J59" s="4" t="n">
        <f aca="false">H59*I59</f>
        <v>1040</v>
      </c>
      <c r="K59" s="3" t="s">
        <v>1689</v>
      </c>
      <c r="L59" s="3" t="s">
        <v>1686</v>
      </c>
    </row>
    <row r="60" customFormat="false" ht="15" hidden="false" customHeight="false" outlineLevel="0" collapsed="false">
      <c r="A60" s="6" t="s">
        <v>1788</v>
      </c>
      <c r="B60" s="6" t="s">
        <v>1789</v>
      </c>
      <c r="C60" s="6" t="s">
        <v>1055</v>
      </c>
      <c r="D60" s="6" t="s">
        <v>334</v>
      </c>
      <c r="E60" s="6" t="s">
        <v>392</v>
      </c>
      <c r="F60" s="6" t="s">
        <v>391</v>
      </c>
      <c r="G60" s="6" t="s">
        <v>330</v>
      </c>
      <c r="H60" s="6" t="n">
        <v>23</v>
      </c>
      <c r="I60" s="7" t="n">
        <v>1500</v>
      </c>
      <c r="J60" s="7" t="n">
        <f aca="false">H60*I60</f>
        <v>34500</v>
      </c>
      <c r="K60" s="6" t="s">
        <v>1689</v>
      </c>
      <c r="L60" s="6" t="s">
        <v>1682</v>
      </c>
    </row>
    <row r="61" customFormat="false" ht="15" hidden="false" customHeight="false" outlineLevel="0" collapsed="false">
      <c r="A61" s="3" t="s">
        <v>1790</v>
      </c>
      <c r="B61" s="3" t="s">
        <v>1791</v>
      </c>
      <c r="C61" s="3" t="s">
        <v>1126</v>
      </c>
      <c r="D61" s="3" t="s">
        <v>621</v>
      </c>
      <c r="E61" s="3" t="s">
        <v>670</v>
      </c>
      <c r="F61" s="3" t="s">
        <v>669</v>
      </c>
      <c r="G61" s="3" t="s">
        <v>609</v>
      </c>
      <c r="H61" s="3" t="n">
        <v>97</v>
      </c>
      <c r="I61" s="4" t="n">
        <v>380</v>
      </c>
      <c r="J61" s="4" t="n">
        <f aca="false">H61*I61</f>
        <v>36860</v>
      </c>
      <c r="K61" s="3" t="s">
        <v>1689</v>
      </c>
      <c r="L61" s="3" t="s">
        <v>1682</v>
      </c>
    </row>
    <row r="62" customFormat="false" ht="15" hidden="false" customHeight="false" outlineLevel="0" collapsed="false">
      <c r="A62" s="6" t="s">
        <v>1792</v>
      </c>
      <c r="B62" s="6" t="s">
        <v>1793</v>
      </c>
      <c r="C62" s="6" t="s">
        <v>1060</v>
      </c>
      <c r="D62" s="6" t="s">
        <v>342</v>
      </c>
      <c r="E62" s="6" t="s">
        <v>396</v>
      </c>
      <c r="F62" s="6" t="s">
        <v>395</v>
      </c>
      <c r="G62" s="6" t="s">
        <v>330</v>
      </c>
      <c r="H62" s="6" t="n">
        <v>48</v>
      </c>
      <c r="I62" s="7" t="n">
        <v>800</v>
      </c>
      <c r="J62" s="7" t="n">
        <f aca="false">H62*I62</f>
        <v>38400</v>
      </c>
      <c r="K62" s="6" t="s">
        <v>1689</v>
      </c>
      <c r="L62" s="6" t="s">
        <v>1686</v>
      </c>
    </row>
    <row r="63" customFormat="false" ht="15" hidden="false" customHeight="false" outlineLevel="0" collapsed="false">
      <c r="A63" s="3" t="s">
        <v>1794</v>
      </c>
      <c r="B63" s="3" t="s">
        <v>1795</v>
      </c>
      <c r="C63" s="3" t="s">
        <v>960</v>
      </c>
      <c r="D63" s="3" t="s">
        <v>114</v>
      </c>
      <c r="E63" s="3" t="s">
        <v>121</v>
      </c>
      <c r="F63" s="3" t="s">
        <v>120</v>
      </c>
      <c r="G63" s="3" t="s">
        <v>17</v>
      </c>
      <c r="H63" s="3" t="n">
        <v>87</v>
      </c>
      <c r="I63" s="4" t="n">
        <v>195000</v>
      </c>
      <c r="J63" s="4" t="n">
        <f aca="false">H63*I63</f>
        <v>16965000</v>
      </c>
      <c r="K63" s="3" t="s">
        <v>1679</v>
      </c>
      <c r="L63" s="3" t="s">
        <v>1676</v>
      </c>
    </row>
    <row r="64" customFormat="false" ht="15" hidden="false" customHeight="false" outlineLevel="0" collapsed="false">
      <c r="A64" s="6" t="s">
        <v>1796</v>
      </c>
      <c r="B64" s="6" t="s">
        <v>1797</v>
      </c>
      <c r="C64" s="6" t="s">
        <v>1019</v>
      </c>
      <c r="D64" s="6" t="s">
        <v>691</v>
      </c>
      <c r="E64" s="6" t="s">
        <v>699</v>
      </c>
      <c r="F64" s="6" t="s">
        <v>698</v>
      </c>
      <c r="G64" s="6" t="s">
        <v>609</v>
      </c>
      <c r="H64" s="6" t="n">
        <v>29</v>
      </c>
      <c r="I64" s="7" t="n">
        <v>120</v>
      </c>
      <c r="J64" s="7" t="n">
        <f aca="false">H64*I64</f>
        <v>3480</v>
      </c>
      <c r="K64" s="6" t="s">
        <v>1689</v>
      </c>
      <c r="L64" s="6" t="s">
        <v>1686</v>
      </c>
    </row>
    <row r="65" customFormat="false" ht="15" hidden="false" customHeight="false" outlineLevel="0" collapsed="false">
      <c r="A65" s="3" t="s">
        <v>1798</v>
      </c>
      <c r="B65" s="3" t="s">
        <v>1799</v>
      </c>
      <c r="C65" s="3" t="s">
        <v>1055</v>
      </c>
      <c r="D65" s="3" t="s">
        <v>334</v>
      </c>
      <c r="E65" s="3" t="s">
        <v>419</v>
      </c>
      <c r="F65" s="3" t="s">
        <v>418</v>
      </c>
      <c r="G65" s="3" t="s">
        <v>330</v>
      </c>
      <c r="H65" s="3" t="n">
        <v>82</v>
      </c>
      <c r="I65" s="4" t="n">
        <v>1200</v>
      </c>
      <c r="J65" s="4" t="n">
        <f aca="false">H65*I65</f>
        <v>98400</v>
      </c>
      <c r="K65" s="3" t="s">
        <v>1675</v>
      </c>
      <c r="L65" s="3" t="s">
        <v>1676</v>
      </c>
    </row>
    <row r="66" customFormat="false" ht="15" hidden="false" customHeight="false" outlineLevel="0" collapsed="false">
      <c r="A66" s="6" t="s">
        <v>1800</v>
      </c>
      <c r="B66" s="6" t="s">
        <v>1801</v>
      </c>
      <c r="C66" s="6" t="s">
        <v>985</v>
      </c>
      <c r="D66" s="6" t="s">
        <v>173</v>
      </c>
      <c r="E66" s="6" t="s">
        <v>254</v>
      </c>
      <c r="F66" s="6" t="s">
        <v>253</v>
      </c>
      <c r="G66" s="6" t="s">
        <v>169</v>
      </c>
      <c r="H66" s="6" t="n">
        <v>79</v>
      </c>
      <c r="I66" s="7" t="n">
        <v>580</v>
      </c>
      <c r="J66" s="7" t="n">
        <f aca="false">H66*I66</f>
        <v>45820</v>
      </c>
      <c r="K66" s="6" t="s">
        <v>1679</v>
      </c>
      <c r="L66" s="6" t="s">
        <v>1676</v>
      </c>
    </row>
    <row r="67" customFormat="false" ht="15" hidden="false" customHeight="false" outlineLevel="0" collapsed="false">
      <c r="A67" s="3" t="s">
        <v>1802</v>
      </c>
      <c r="B67" s="3" t="s">
        <v>1803</v>
      </c>
      <c r="C67" s="3" t="s">
        <v>1126</v>
      </c>
      <c r="D67" s="3" t="s">
        <v>621</v>
      </c>
      <c r="E67" s="3" t="s">
        <v>617</v>
      </c>
      <c r="F67" s="3" t="s">
        <v>616</v>
      </c>
      <c r="G67" s="3" t="s">
        <v>609</v>
      </c>
      <c r="H67" s="3" t="n">
        <v>28</v>
      </c>
      <c r="I67" s="4" t="n">
        <v>70</v>
      </c>
      <c r="J67" s="4" t="n">
        <f aca="false">H67*I67</f>
        <v>1960</v>
      </c>
      <c r="K67" s="3" t="s">
        <v>1685</v>
      </c>
      <c r="L67" s="3" t="s">
        <v>1676</v>
      </c>
    </row>
    <row r="68" customFormat="false" ht="15" hidden="false" customHeight="false" outlineLevel="0" collapsed="false">
      <c r="A68" s="6" t="s">
        <v>1804</v>
      </c>
      <c r="B68" s="6" t="s">
        <v>1805</v>
      </c>
      <c r="C68" s="6" t="s">
        <v>1126</v>
      </c>
      <c r="D68" s="6" t="s">
        <v>621</v>
      </c>
      <c r="E68" s="6" t="s">
        <v>658</v>
      </c>
      <c r="F68" s="6" t="s">
        <v>657</v>
      </c>
      <c r="G68" s="6" t="s">
        <v>609</v>
      </c>
      <c r="H68" s="6" t="n">
        <v>14</v>
      </c>
      <c r="I68" s="7" t="n">
        <v>380</v>
      </c>
      <c r="J68" s="7" t="n">
        <f aca="false">H68*I68</f>
        <v>5320</v>
      </c>
      <c r="K68" s="6" t="s">
        <v>1685</v>
      </c>
      <c r="L68" s="6" t="s">
        <v>1676</v>
      </c>
    </row>
    <row r="69" customFormat="false" ht="15" hidden="false" customHeight="false" outlineLevel="0" collapsed="false">
      <c r="A69" s="3" t="s">
        <v>1806</v>
      </c>
      <c r="B69" s="3" t="s">
        <v>1807</v>
      </c>
      <c r="C69" s="3" t="s">
        <v>985</v>
      </c>
      <c r="D69" s="3" t="s">
        <v>173</v>
      </c>
      <c r="E69" s="3" t="s">
        <v>192</v>
      </c>
      <c r="F69" s="3" t="s">
        <v>191</v>
      </c>
      <c r="G69" s="3" t="s">
        <v>169</v>
      </c>
      <c r="H69" s="3" t="n">
        <v>56</v>
      </c>
      <c r="I69" s="4" t="n">
        <v>125</v>
      </c>
      <c r="J69" s="4" t="n">
        <f aca="false">H69*I69</f>
        <v>7000</v>
      </c>
      <c r="K69" s="3" t="s">
        <v>1689</v>
      </c>
      <c r="L69" s="3" t="s">
        <v>1686</v>
      </c>
    </row>
    <row r="70" customFormat="false" ht="15" hidden="false" customHeight="false" outlineLevel="0" collapsed="false">
      <c r="A70" s="6" t="s">
        <v>1808</v>
      </c>
      <c r="B70" s="6" t="s">
        <v>1809</v>
      </c>
      <c r="C70" s="6" t="s">
        <v>985</v>
      </c>
      <c r="D70" s="6" t="s">
        <v>173</v>
      </c>
      <c r="E70" s="6" t="s">
        <v>203</v>
      </c>
      <c r="F70" s="6" t="s">
        <v>202</v>
      </c>
      <c r="G70" s="6" t="s">
        <v>169</v>
      </c>
      <c r="H70" s="6" t="n">
        <v>79</v>
      </c>
      <c r="I70" s="7" t="n">
        <v>1900</v>
      </c>
      <c r="J70" s="7" t="n">
        <f aca="false">H70*I70</f>
        <v>150100</v>
      </c>
      <c r="K70" s="6" t="s">
        <v>1689</v>
      </c>
      <c r="L70" s="6" t="s">
        <v>1676</v>
      </c>
    </row>
    <row r="71" customFormat="false" ht="15" hidden="false" customHeight="false" outlineLevel="0" collapsed="false">
      <c r="A71" s="3" t="s">
        <v>1810</v>
      </c>
      <c r="B71" s="3" t="s">
        <v>1811</v>
      </c>
      <c r="C71" s="3" t="s">
        <v>1019</v>
      </c>
      <c r="D71" s="3" t="s">
        <v>691</v>
      </c>
      <c r="E71" s="3" t="s">
        <v>703</v>
      </c>
      <c r="F71" s="3" t="s">
        <v>702</v>
      </c>
      <c r="G71" s="3" t="s">
        <v>609</v>
      </c>
      <c r="H71" s="3" t="n">
        <v>55</v>
      </c>
      <c r="I71" s="4" t="n">
        <v>680</v>
      </c>
      <c r="J71" s="4" t="n">
        <f aca="false">H71*I71</f>
        <v>37400</v>
      </c>
      <c r="K71" s="3" t="s">
        <v>1675</v>
      </c>
      <c r="L71" s="3" t="s">
        <v>1686</v>
      </c>
    </row>
    <row r="72" customFormat="false" ht="15" hidden="false" customHeight="false" outlineLevel="0" collapsed="false">
      <c r="A72" s="6" t="s">
        <v>1812</v>
      </c>
      <c r="B72" s="6" t="s">
        <v>1813</v>
      </c>
      <c r="C72" s="6" t="s">
        <v>985</v>
      </c>
      <c r="D72" s="6" t="s">
        <v>173</v>
      </c>
      <c r="E72" s="6" t="s">
        <v>269</v>
      </c>
      <c r="F72" s="6" t="s">
        <v>268</v>
      </c>
      <c r="G72" s="6" t="s">
        <v>169</v>
      </c>
      <c r="H72" s="6" t="n">
        <v>59</v>
      </c>
      <c r="I72" s="7" t="n">
        <v>480</v>
      </c>
      <c r="J72" s="7" t="n">
        <f aca="false">H72*I72</f>
        <v>28320</v>
      </c>
      <c r="K72" s="6" t="s">
        <v>1685</v>
      </c>
      <c r="L72" s="6" t="s">
        <v>1682</v>
      </c>
    </row>
    <row r="73" customFormat="false" ht="15" hidden="false" customHeight="false" outlineLevel="0" collapsed="false">
      <c r="A73" s="3" t="s">
        <v>1814</v>
      </c>
      <c r="B73" s="3" t="s">
        <v>1815</v>
      </c>
      <c r="C73" s="3" t="s">
        <v>1107</v>
      </c>
      <c r="D73" s="3" t="s">
        <v>556</v>
      </c>
      <c r="E73" s="3" t="s">
        <v>585</v>
      </c>
      <c r="F73" s="3" t="s">
        <v>584</v>
      </c>
      <c r="G73" s="3" t="s">
        <v>469</v>
      </c>
      <c r="H73" s="3" t="n">
        <v>17</v>
      </c>
      <c r="I73" s="4" t="n">
        <v>4500</v>
      </c>
      <c r="J73" s="4" t="n">
        <f aca="false">H73*I73</f>
        <v>76500</v>
      </c>
      <c r="K73" s="3" t="s">
        <v>1685</v>
      </c>
      <c r="L73" s="3" t="s">
        <v>1682</v>
      </c>
    </row>
    <row r="74" customFormat="false" ht="15" hidden="false" customHeight="false" outlineLevel="0" collapsed="false">
      <c r="A74" s="6" t="s">
        <v>1816</v>
      </c>
      <c r="B74" s="6" t="s">
        <v>1817</v>
      </c>
      <c r="C74" s="6" t="s">
        <v>1107</v>
      </c>
      <c r="D74" s="6" t="s">
        <v>556</v>
      </c>
      <c r="E74" s="6" t="s">
        <v>521</v>
      </c>
      <c r="F74" s="6" t="s">
        <v>520</v>
      </c>
      <c r="G74" s="6" t="s">
        <v>469</v>
      </c>
      <c r="H74" s="6" t="n">
        <v>36</v>
      </c>
      <c r="I74" s="7" t="n">
        <v>3200</v>
      </c>
      <c r="J74" s="7" t="n">
        <f aca="false">H74*I74</f>
        <v>115200</v>
      </c>
      <c r="K74" s="6" t="s">
        <v>1685</v>
      </c>
      <c r="L74" s="6" t="s">
        <v>1676</v>
      </c>
    </row>
    <row r="75" customFormat="false" ht="15" hidden="false" customHeight="false" outlineLevel="0" collapsed="false">
      <c r="A75" s="3" t="s">
        <v>1818</v>
      </c>
      <c r="B75" s="3" t="s">
        <v>1752</v>
      </c>
      <c r="C75" s="3" t="s">
        <v>998</v>
      </c>
      <c r="D75" s="3" t="s">
        <v>218</v>
      </c>
      <c r="E75" s="3" t="s">
        <v>188</v>
      </c>
      <c r="F75" s="3" t="s">
        <v>187</v>
      </c>
      <c r="G75" s="3" t="s">
        <v>169</v>
      </c>
      <c r="H75" s="3" t="n">
        <v>54</v>
      </c>
      <c r="I75" s="4" t="n">
        <v>600</v>
      </c>
      <c r="J75" s="4" t="n">
        <f aca="false">H75*I75</f>
        <v>32400</v>
      </c>
      <c r="K75" s="3" t="s">
        <v>1679</v>
      </c>
      <c r="L75" s="3" t="s">
        <v>1676</v>
      </c>
    </row>
    <row r="76" customFormat="false" ht="15" hidden="false" customHeight="false" outlineLevel="0" collapsed="false">
      <c r="A76" s="6" t="s">
        <v>1819</v>
      </c>
      <c r="B76" s="6" t="s">
        <v>1820</v>
      </c>
      <c r="C76" s="6" t="s">
        <v>1126</v>
      </c>
      <c r="D76" s="6" t="s">
        <v>621</v>
      </c>
      <c r="E76" s="6" t="s">
        <v>699</v>
      </c>
      <c r="F76" s="6" t="s">
        <v>698</v>
      </c>
      <c r="G76" s="6" t="s">
        <v>609</v>
      </c>
      <c r="H76" s="6" t="n">
        <v>17</v>
      </c>
      <c r="I76" s="7" t="n">
        <v>120</v>
      </c>
      <c r="J76" s="7" t="n">
        <f aca="false">H76*I76</f>
        <v>2040</v>
      </c>
      <c r="K76" s="6" t="s">
        <v>1689</v>
      </c>
      <c r="L76" s="6" t="s">
        <v>1682</v>
      </c>
    </row>
    <row r="77" customFormat="false" ht="15" hidden="false" customHeight="false" outlineLevel="0" collapsed="false">
      <c r="A77" s="3" t="s">
        <v>1821</v>
      </c>
      <c r="B77" s="3" t="s">
        <v>1822</v>
      </c>
      <c r="C77" s="3" t="s">
        <v>994</v>
      </c>
      <c r="D77" s="3" t="s">
        <v>189</v>
      </c>
      <c r="E77" s="3" t="s">
        <v>327</v>
      </c>
      <c r="F77" s="3" t="s">
        <v>326</v>
      </c>
      <c r="G77" s="3" t="s">
        <v>169</v>
      </c>
      <c r="H77" s="3" t="n">
        <v>13</v>
      </c>
      <c r="I77" s="4" t="n">
        <v>280</v>
      </c>
      <c r="J77" s="4" t="n">
        <f aca="false">H77*I77</f>
        <v>3640</v>
      </c>
      <c r="K77" s="3" t="s">
        <v>1679</v>
      </c>
      <c r="L77" s="3" t="s">
        <v>1682</v>
      </c>
    </row>
    <row r="78" customFormat="false" ht="15" hidden="false" customHeight="false" outlineLevel="0" collapsed="false">
      <c r="A78" s="6" t="s">
        <v>1823</v>
      </c>
      <c r="B78" s="6" t="s">
        <v>1824</v>
      </c>
      <c r="C78" s="6" t="s">
        <v>1085</v>
      </c>
      <c r="D78" s="6" t="s">
        <v>473</v>
      </c>
      <c r="E78" s="6" t="s">
        <v>580</v>
      </c>
      <c r="F78" s="6" t="s">
        <v>579</v>
      </c>
      <c r="G78" s="6" t="s">
        <v>469</v>
      </c>
      <c r="H78" s="6" t="n">
        <v>14</v>
      </c>
      <c r="I78" s="7" t="n">
        <v>850</v>
      </c>
      <c r="J78" s="7" t="n">
        <f aca="false">H78*I78</f>
        <v>11900</v>
      </c>
      <c r="K78" s="6" t="s">
        <v>1689</v>
      </c>
      <c r="L78" s="6" t="s">
        <v>1676</v>
      </c>
    </row>
    <row r="79" customFormat="false" ht="15" hidden="false" customHeight="false" outlineLevel="0" collapsed="false">
      <c r="A79" s="3" t="s">
        <v>1825</v>
      </c>
      <c r="B79" s="3" t="s">
        <v>1826</v>
      </c>
      <c r="C79" s="3" t="s">
        <v>1126</v>
      </c>
      <c r="D79" s="3" t="s">
        <v>621</v>
      </c>
      <c r="E79" s="3" t="s">
        <v>716</v>
      </c>
      <c r="F79" s="3" t="s">
        <v>715</v>
      </c>
      <c r="G79" s="3" t="s">
        <v>609</v>
      </c>
      <c r="H79" s="3" t="n">
        <v>48</v>
      </c>
      <c r="I79" s="4" t="n">
        <v>750</v>
      </c>
      <c r="J79" s="4" t="n">
        <f aca="false">H79*I79</f>
        <v>36000</v>
      </c>
      <c r="K79" s="3" t="s">
        <v>1679</v>
      </c>
      <c r="L79" s="3" t="s">
        <v>1682</v>
      </c>
    </row>
    <row r="80" customFormat="false" ht="15" hidden="false" customHeight="false" outlineLevel="0" collapsed="false">
      <c r="A80" s="6" t="s">
        <v>1827</v>
      </c>
      <c r="B80" s="6" t="s">
        <v>1828</v>
      </c>
      <c r="C80" s="6" t="s">
        <v>1060</v>
      </c>
      <c r="D80" s="6" t="s">
        <v>342</v>
      </c>
      <c r="E80" s="6" t="s">
        <v>400</v>
      </c>
      <c r="F80" s="6" t="s">
        <v>399</v>
      </c>
      <c r="G80" s="6" t="s">
        <v>330</v>
      </c>
      <c r="H80" s="6" t="n">
        <v>85</v>
      </c>
      <c r="I80" s="7" t="n">
        <v>1500</v>
      </c>
      <c r="J80" s="7" t="n">
        <f aca="false">H80*I80</f>
        <v>127500</v>
      </c>
      <c r="K80" s="6" t="s">
        <v>1689</v>
      </c>
      <c r="L80" s="6" t="s">
        <v>1676</v>
      </c>
    </row>
    <row r="81" customFormat="false" ht="15" hidden="false" customHeight="false" outlineLevel="0" collapsed="false">
      <c r="A81" s="3" t="s">
        <v>1829</v>
      </c>
      <c r="B81" s="3" t="s">
        <v>1830</v>
      </c>
      <c r="C81" s="3" t="s">
        <v>985</v>
      </c>
      <c r="D81" s="3" t="s">
        <v>173</v>
      </c>
      <c r="E81" s="3" t="s">
        <v>236</v>
      </c>
      <c r="F81" s="3" t="s">
        <v>235</v>
      </c>
      <c r="G81" s="3" t="s">
        <v>169</v>
      </c>
      <c r="H81" s="3" t="n">
        <v>42</v>
      </c>
      <c r="I81" s="4" t="n">
        <v>75</v>
      </c>
      <c r="J81" s="4" t="n">
        <f aca="false">H81*I81</f>
        <v>3150</v>
      </c>
      <c r="K81" s="3" t="s">
        <v>1679</v>
      </c>
      <c r="L81" s="3" t="s">
        <v>1676</v>
      </c>
    </row>
    <row r="82" customFormat="false" ht="15" hidden="false" customHeight="false" outlineLevel="0" collapsed="false">
      <c r="A82" s="6" t="s">
        <v>1831</v>
      </c>
      <c r="B82" s="6" t="s">
        <v>1832</v>
      </c>
      <c r="C82" s="6" t="s">
        <v>1064</v>
      </c>
      <c r="D82" s="6" t="s">
        <v>363</v>
      </c>
      <c r="E82" s="6" t="s">
        <v>426</v>
      </c>
      <c r="F82" s="6" t="s">
        <v>425</v>
      </c>
      <c r="G82" s="6" t="s">
        <v>330</v>
      </c>
      <c r="H82" s="6" t="n">
        <v>74</v>
      </c>
      <c r="I82" s="7" t="n">
        <v>3800</v>
      </c>
      <c r="J82" s="7" t="n">
        <f aca="false">H82*I82</f>
        <v>281200</v>
      </c>
      <c r="K82" s="6" t="s">
        <v>1689</v>
      </c>
      <c r="L82" s="6" t="s">
        <v>1682</v>
      </c>
    </row>
    <row r="83" customFormat="false" ht="15" hidden="false" customHeight="false" outlineLevel="0" collapsed="false">
      <c r="A83" s="3" t="s">
        <v>1833</v>
      </c>
      <c r="B83" s="3" t="s">
        <v>1834</v>
      </c>
      <c r="C83" s="3" t="s">
        <v>907</v>
      </c>
      <c r="D83" s="3" t="s">
        <v>21</v>
      </c>
      <c r="E83" s="3" t="s">
        <v>155</v>
      </c>
      <c r="F83" s="3" t="s">
        <v>154</v>
      </c>
      <c r="G83" s="3" t="s">
        <v>17</v>
      </c>
      <c r="H83" s="3" t="n">
        <v>20</v>
      </c>
      <c r="I83" s="4" t="n">
        <v>45000</v>
      </c>
      <c r="J83" s="4" t="n">
        <f aca="false">H83*I83</f>
        <v>900000</v>
      </c>
      <c r="K83" s="3" t="s">
        <v>1675</v>
      </c>
      <c r="L83" s="3" t="s">
        <v>1676</v>
      </c>
    </row>
    <row r="84" customFormat="false" ht="15" hidden="false" customHeight="false" outlineLevel="0" collapsed="false">
      <c r="A84" s="6" t="s">
        <v>1835</v>
      </c>
      <c r="B84" s="6" t="s">
        <v>1691</v>
      </c>
      <c r="C84" s="6" t="s">
        <v>1139</v>
      </c>
      <c r="D84" s="6" t="s">
        <v>820</v>
      </c>
      <c r="E84" s="6" t="s">
        <v>834</v>
      </c>
      <c r="F84" s="6" t="s">
        <v>833</v>
      </c>
      <c r="G84" s="6" t="s">
        <v>816</v>
      </c>
      <c r="H84" s="6" t="n">
        <v>20</v>
      </c>
      <c r="I84" s="7" t="n">
        <v>1200</v>
      </c>
      <c r="J84" s="7" t="n">
        <f aca="false">H84*I84</f>
        <v>24000</v>
      </c>
      <c r="K84" s="6" t="s">
        <v>1689</v>
      </c>
      <c r="L84" s="6" t="s">
        <v>1676</v>
      </c>
    </row>
    <row r="85" customFormat="false" ht="15" hidden="false" customHeight="false" outlineLevel="0" collapsed="false">
      <c r="A85" s="3" t="s">
        <v>1836</v>
      </c>
      <c r="B85" s="3" t="s">
        <v>1837</v>
      </c>
      <c r="C85" s="3" t="s">
        <v>1126</v>
      </c>
      <c r="D85" s="3" t="s">
        <v>621</v>
      </c>
      <c r="E85" s="3" t="s">
        <v>724</v>
      </c>
      <c r="F85" s="3" t="s">
        <v>723</v>
      </c>
      <c r="G85" s="3" t="s">
        <v>609</v>
      </c>
      <c r="H85" s="3" t="n">
        <v>99</v>
      </c>
      <c r="I85" s="4" t="n">
        <v>320</v>
      </c>
      <c r="J85" s="4" t="n">
        <f aca="false">H85*I85</f>
        <v>31680</v>
      </c>
      <c r="K85" s="3" t="s">
        <v>1679</v>
      </c>
      <c r="L85" s="3" t="s">
        <v>1682</v>
      </c>
    </row>
    <row r="86" customFormat="false" ht="15" hidden="false" customHeight="false" outlineLevel="0" collapsed="false">
      <c r="A86" s="6" t="s">
        <v>1838</v>
      </c>
      <c r="B86" s="6" t="s">
        <v>1688</v>
      </c>
      <c r="C86" s="6" t="s">
        <v>965</v>
      </c>
      <c r="D86" s="6" t="s">
        <v>133</v>
      </c>
      <c r="E86" s="6" t="s">
        <v>74</v>
      </c>
      <c r="F86" s="6" t="s">
        <v>73</v>
      </c>
      <c r="G86" s="6" t="s">
        <v>17</v>
      </c>
      <c r="H86" s="6" t="n">
        <v>26</v>
      </c>
      <c r="I86" s="7" t="n">
        <v>95000</v>
      </c>
      <c r="J86" s="7" t="n">
        <f aca="false">H86*I86</f>
        <v>2470000</v>
      </c>
      <c r="K86" s="6" t="s">
        <v>1675</v>
      </c>
      <c r="L86" s="6" t="s">
        <v>1682</v>
      </c>
    </row>
    <row r="87" customFormat="false" ht="15" hidden="false" customHeight="false" outlineLevel="0" collapsed="false">
      <c r="A87" s="3" t="s">
        <v>1839</v>
      </c>
      <c r="B87" s="3" t="s">
        <v>1840</v>
      </c>
      <c r="C87" s="3" t="s">
        <v>1126</v>
      </c>
      <c r="D87" s="3" t="s">
        <v>621</v>
      </c>
      <c r="E87" s="3" t="s">
        <v>635</v>
      </c>
      <c r="F87" s="3" t="s">
        <v>634</v>
      </c>
      <c r="G87" s="3" t="s">
        <v>609</v>
      </c>
      <c r="H87" s="3" t="n">
        <v>63</v>
      </c>
      <c r="I87" s="4" t="n">
        <v>350</v>
      </c>
      <c r="J87" s="4" t="n">
        <f aca="false">H87*I87</f>
        <v>22050</v>
      </c>
      <c r="K87" s="3" t="s">
        <v>1685</v>
      </c>
      <c r="L87" s="3" t="s">
        <v>1676</v>
      </c>
    </row>
    <row r="88" customFormat="false" ht="15" hidden="false" customHeight="false" outlineLevel="0" collapsed="false">
      <c r="A88" s="6" t="s">
        <v>1841</v>
      </c>
      <c r="B88" s="6" t="s">
        <v>1842</v>
      </c>
      <c r="C88" s="6" t="s">
        <v>1064</v>
      </c>
      <c r="D88" s="6" t="s">
        <v>363</v>
      </c>
      <c r="E88" s="6" t="s">
        <v>445</v>
      </c>
      <c r="F88" s="6" t="s">
        <v>444</v>
      </c>
      <c r="G88" s="6" t="s">
        <v>330</v>
      </c>
      <c r="H88" s="6" t="n">
        <v>63</v>
      </c>
      <c r="I88" s="7" t="n">
        <v>250</v>
      </c>
      <c r="J88" s="7" t="n">
        <f aca="false">H88*I88</f>
        <v>15750</v>
      </c>
      <c r="K88" s="6" t="s">
        <v>1689</v>
      </c>
      <c r="L88" s="6" t="s">
        <v>1682</v>
      </c>
    </row>
    <row r="89" customFormat="false" ht="15" hidden="false" customHeight="false" outlineLevel="0" collapsed="false">
      <c r="A89" s="3" t="s">
        <v>1843</v>
      </c>
      <c r="B89" s="3" t="s">
        <v>1844</v>
      </c>
      <c r="C89" s="3" t="s">
        <v>1121</v>
      </c>
      <c r="D89" s="3" t="s">
        <v>613</v>
      </c>
      <c r="E89" s="3" t="s">
        <v>727</v>
      </c>
      <c r="F89" s="3" t="s">
        <v>726</v>
      </c>
      <c r="G89" s="3" t="s">
        <v>609</v>
      </c>
      <c r="H89" s="3" t="n">
        <v>22</v>
      </c>
      <c r="I89" s="4" t="n">
        <v>550</v>
      </c>
      <c r="J89" s="4" t="n">
        <f aca="false">H89*I89</f>
        <v>12100</v>
      </c>
      <c r="K89" s="3" t="s">
        <v>1685</v>
      </c>
      <c r="L89" s="3" t="s">
        <v>1686</v>
      </c>
    </row>
    <row r="90" customFormat="false" ht="15" hidden="false" customHeight="false" outlineLevel="0" collapsed="false">
      <c r="A90" s="6" t="s">
        <v>1845</v>
      </c>
      <c r="B90" s="6" t="s">
        <v>1846</v>
      </c>
      <c r="C90" s="6" t="s">
        <v>960</v>
      </c>
      <c r="D90" s="6" t="s">
        <v>114</v>
      </c>
      <c r="E90" s="6" t="s">
        <v>118</v>
      </c>
      <c r="F90" s="6" t="s">
        <v>117</v>
      </c>
      <c r="G90" s="6" t="s">
        <v>17</v>
      </c>
      <c r="H90" s="6" t="n">
        <v>6</v>
      </c>
      <c r="I90" s="7" t="n">
        <v>55000</v>
      </c>
      <c r="J90" s="7" t="n">
        <f aca="false">H90*I90</f>
        <v>330000</v>
      </c>
      <c r="K90" s="6" t="s">
        <v>1679</v>
      </c>
      <c r="L90" s="6" t="s">
        <v>1686</v>
      </c>
    </row>
    <row r="91" customFormat="false" ht="15" hidden="false" customHeight="false" outlineLevel="0" collapsed="false">
      <c r="A91" s="3" t="s">
        <v>1847</v>
      </c>
      <c r="B91" s="3" t="s">
        <v>1848</v>
      </c>
      <c r="C91" s="3" t="s">
        <v>1103</v>
      </c>
      <c r="D91" s="3" t="s">
        <v>503</v>
      </c>
      <c r="E91" s="3" t="s">
        <v>574</v>
      </c>
      <c r="F91" s="3" t="s">
        <v>573</v>
      </c>
      <c r="G91" s="3" t="s">
        <v>469</v>
      </c>
      <c r="H91" s="3" t="n">
        <v>23</v>
      </c>
      <c r="I91" s="4" t="n">
        <v>3200</v>
      </c>
      <c r="J91" s="4" t="n">
        <f aca="false">H91*I91</f>
        <v>73600</v>
      </c>
      <c r="K91" s="3" t="s">
        <v>1675</v>
      </c>
      <c r="L91" s="3" t="s">
        <v>1682</v>
      </c>
    </row>
    <row r="92" customFormat="false" ht="15" hidden="false" customHeight="false" outlineLevel="0" collapsed="false">
      <c r="A92" s="6" t="s">
        <v>1849</v>
      </c>
      <c r="B92" s="6" t="s">
        <v>1850</v>
      </c>
      <c r="C92" s="6" t="s">
        <v>998</v>
      </c>
      <c r="D92" s="6" t="s">
        <v>218</v>
      </c>
      <c r="E92" s="6" t="s">
        <v>327</v>
      </c>
      <c r="F92" s="6" t="s">
        <v>326</v>
      </c>
      <c r="G92" s="6" t="s">
        <v>169</v>
      </c>
      <c r="H92" s="6" t="n">
        <v>84</v>
      </c>
      <c r="I92" s="7" t="n">
        <v>280</v>
      </c>
      <c r="J92" s="7" t="n">
        <f aca="false">H92*I92</f>
        <v>23520</v>
      </c>
      <c r="K92" s="6" t="s">
        <v>1685</v>
      </c>
      <c r="L92" s="6" t="s">
        <v>1676</v>
      </c>
    </row>
    <row r="93" customFormat="false" ht="15" hidden="false" customHeight="false" outlineLevel="0" collapsed="false">
      <c r="A93" s="3" t="s">
        <v>1851</v>
      </c>
      <c r="B93" s="3" t="s">
        <v>1852</v>
      </c>
      <c r="C93" s="3" t="s">
        <v>998</v>
      </c>
      <c r="D93" s="3" t="s">
        <v>218</v>
      </c>
      <c r="E93" s="3" t="s">
        <v>298</v>
      </c>
      <c r="F93" s="3" t="s">
        <v>297</v>
      </c>
      <c r="G93" s="3" t="s">
        <v>169</v>
      </c>
      <c r="H93" s="3" t="n">
        <v>71</v>
      </c>
      <c r="I93" s="4" t="n">
        <v>185</v>
      </c>
      <c r="J93" s="4" t="n">
        <f aca="false">H93*I93</f>
        <v>13135</v>
      </c>
      <c r="K93" s="3" t="s">
        <v>1689</v>
      </c>
      <c r="L93" s="3" t="s">
        <v>1682</v>
      </c>
    </row>
    <row r="94" customFormat="false" ht="15" hidden="false" customHeight="false" outlineLevel="0" collapsed="false">
      <c r="A94" s="6" t="s">
        <v>1853</v>
      </c>
      <c r="B94" s="6" t="s">
        <v>1854</v>
      </c>
      <c r="C94" s="6" t="s">
        <v>1156</v>
      </c>
      <c r="D94" s="6" t="s">
        <v>740</v>
      </c>
      <c r="E94" s="6" t="s">
        <v>775</v>
      </c>
      <c r="F94" s="6" t="s">
        <v>774</v>
      </c>
      <c r="G94" s="6" t="s">
        <v>731</v>
      </c>
      <c r="H94" s="6" t="n">
        <v>86</v>
      </c>
      <c r="I94" s="7" t="n">
        <v>280</v>
      </c>
      <c r="J94" s="7" t="n">
        <f aca="false">H94*I94</f>
        <v>24080</v>
      </c>
      <c r="K94" s="6" t="s">
        <v>1675</v>
      </c>
      <c r="L94" s="6" t="s">
        <v>1682</v>
      </c>
    </row>
    <row r="95" customFormat="false" ht="15" hidden="false" customHeight="false" outlineLevel="0" collapsed="false">
      <c r="A95" s="3" t="s">
        <v>1855</v>
      </c>
      <c r="B95" s="3" t="s">
        <v>1856</v>
      </c>
      <c r="C95" s="3" t="s">
        <v>1121</v>
      </c>
      <c r="D95" s="3" t="s">
        <v>613</v>
      </c>
      <c r="E95" s="3" t="s">
        <v>707</v>
      </c>
      <c r="F95" s="3" t="s">
        <v>706</v>
      </c>
      <c r="G95" s="3" t="s">
        <v>609</v>
      </c>
      <c r="H95" s="3" t="n">
        <v>73</v>
      </c>
      <c r="I95" s="4" t="n">
        <v>220</v>
      </c>
      <c r="J95" s="4" t="n">
        <f aca="false">H95*I95</f>
        <v>16060</v>
      </c>
      <c r="K95" s="3" t="s">
        <v>1675</v>
      </c>
      <c r="L95" s="3" t="s">
        <v>1676</v>
      </c>
    </row>
    <row r="96" customFormat="false" ht="15" hidden="false" customHeight="false" outlineLevel="0" collapsed="false">
      <c r="A96" s="6" t="s">
        <v>1857</v>
      </c>
      <c r="B96" s="6" t="s">
        <v>1858</v>
      </c>
      <c r="C96" s="6" t="s">
        <v>1064</v>
      </c>
      <c r="D96" s="6" t="s">
        <v>363</v>
      </c>
      <c r="E96" s="6" t="s">
        <v>350</v>
      </c>
      <c r="F96" s="6" t="s">
        <v>349</v>
      </c>
      <c r="G96" s="6" t="s">
        <v>330</v>
      </c>
      <c r="H96" s="6" t="n">
        <v>58</v>
      </c>
      <c r="I96" s="7" t="n">
        <v>2200</v>
      </c>
      <c r="J96" s="7" t="n">
        <f aca="false">H96*I96</f>
        <v>127600</v>
      </c>
      <c r="K96" s="6" t="s">
        <v>1679</v>
      </c>
      <c r="L96" s="6" t="s">
        <v>1676</v>
      </c>
    </row>
    <row r="97" customFormat="false" ht="15" hidden="false" customHeight="false" outlineLevel="0" collapsed="false">
      <c r="A97" s="3" t="s">
        <v>1859</v>
      </c>
      <c r="B97" s="3" t="s">
        <v>1860</v>
      </c>
      <c r="C97" s="3" t="s">
        <v>1107</v>
      </c>
      <c r="D97" s="3" t="s">
        <v>556</v>
      </c>
      <c r="E97" s="3" t="s">
        <v>566</v>
      </c>
      <c r="F97" s="3" t="s">
        <v>565</v>
      </c>
      <c r="G97" s="3" t="s">
        <v>469</v>
      </c>
      <c r="H97" s="3" t="n">
        <v>95</v>
      </c>
      <c r="I97" s="4" t="n">
        <v>180</v>
      </c>
      <c r="J97" s="4" t="n">
        <f aca="false">H97*I97</f>
        <v>17100</v>
      </c>
      <c r="K97" s="3" t="s">
        <v>1675</v>
      </c>
      <c r="L97" s="3" t="s">
        <v>1686</v>
      </c>
    </row>
    <row r="98" customFormat="false" ht="15" hidden="false" customHeight="false" outlineLevel="0" collapsed="false">
      <c r="A98" s="6" t="s">
        <v>1861</v>
      </c>
      <c r="B98" s="6" t="s">
        <v>1862</v>
      </c>
      <c r="C98" s="6" t="s">
        <v>1103</v>
      </c>
      <c r="D98" s="6" t="s">
        <v>503</v>
      </c>
      <c r="E98" s="6" t="s">
        <v>508</v>
      </c>
      <c r="F98" s="6" t="s">
        <v>507</v>
      </c>
      <c r="G98" s="6" t="s">
        <v>469</v>
      </c>
      <c r="H98" s="6" t="n">
        <v>27</v>
      </c>
      <c r="I98" s="7" t="n">
        <v>3800</v>
      </c>
      <c r="J98" s="7" t="n">
        <f aca="false">H98*I98</f>
        <v>102600</v>
      </c>
      <c r="K98" s="6" t="s">
        <v>1679</v>
      </c>
      <c r="L98" s="6" t="s">
        <v>1676</v>
      </c>
    </row>
    <row r="99" customFormat="false" ht="15" hidden="false" customHeight="false" outlineLevel="0" collapsed="false">
      <c r="A99" s="3" t="s">
        <v>1863</v>
      </c>
      <c r="B99" s="3" t="s">
        <v>1864</v>
      </c>
      <c r="C99" s="3" t="s">
        <v>1121</v>
      </c>
      <c r="D99" s="3" t="s">
        <v>613</v>
      </c>
      <c r="E99" s="3" t="s">
        <v>665</v>
      </c>
      <c r="F99" s="3" t="s">
        <v>664</v>
      </c>
      <c r="G99" s="3" t="s">
        <v>609</v>
      </c>
      <c r="H99" s="3" t="n">
        <v>62</v>
      </c>
      <c r="I99" s="4" t="n">
        <v>85</v>
      </c>
      <c r="J99" s="4" t="n">
        <f aca="false">H99*I99</f>
        <v>5270</v>
      </c>
      <c r="K99" s="3" t="s">
        <v>1679</v>
      </c>
      <c r="L99" s="3" t="s">
        <v>1686</v>
      </c>
    </row>
    <row r="100" customFormat="false" ht="15" hidden="false" customHeight="false" outlineLevel="0" collapsed="false">
      <c r="A100" s="6" t="s">
        <v>1865</v>
      </c>
      <c r="B100" s="6" t="s">
        <v>1866</v>
      </c>
      <c r="C100" s="6" t="s">
        <v>1161</v>
      </c>
      <c r="D100" s="6" t="s">
        <v>603</v>
      </c>
      <c r="E100" s="6" t="s">
        <v>734</v>
      </c>
      <c r="F100" s="6" t="s">
        <v>733</v>
      </c>
      <c r="G100" s="6" t="s">
        <v>731</v>
      </c>
      <c r="H100" s="6" t="n">
        <v>24</v>
      </c>
      <c r="I100" s="7" t="n">
        <v>1100</v>
      </c>
      <c r="J100" s="7" t="n">
        <f aca="false">H100*I100</f>
        <v>26400</v>
      </c>
      <c r="K100" s="6" t="s">
        <v>1675</v>
      </c>
      <c r="L100" s="6" t="s">
        <v>1686</v>
      </c>
    </row>
    <row r="101" customFormat="false" ht="15" hidden="false" customHeight="false" outlineLevel="0" collapsed="false">
      <c r="A101" s="3" t="s">
        <v>1867</v>
      </c>
      <c r="B101" s="3" t="s">
        <v>1868</v>
      </c>
      <c r="C101" s="3" t="s">
        <v>1055</v>
      </c>
      <c r="D101" s="3" t="s">
        <v>334</v>
      </c>
      <c r="E101" s="3" t="s">
        <v>431</v>
      </c>
      <c r="F101" s="3" t="s">
        <v>430</v>
      </c>
      <c r="G101" s="3" t="s">
        <v>330</v>
      </c>
      <c r="H101" s="3" t="n">
        <v>65</v>
      </c>
      <c r="I101" s="4" t="n">
        <v>2200</v>
      </c>
      <c r="J101" s="4" t="n">
        <f aca="false">H101*I101</f>
        <v>143000</v>
      </c>
      <c r="K101" s="3" t="s">
        <v>1685</v>
      </c>
      <c r="L101" s="3" t="s">
        <v>1676</v>
      </c>
    </row>
    <row r="102" customFormat="false" ht="15" hidden="false" customHeight="false" outlineLevel="0" collapsed="false">
      <c r="A102" s="6" t="s">
        <v>1869</v>
      </c>
      <c r="B102" s="6" t="s">
        <v>1870</v>
      </c>
      <c r="C102" s="6" t="s">
        <v>1103</v>
      </c>
      <c r="D102" s="6" t="s">
        <v>503</v>
      </c>
      <c r="E102" s="6" t="s">
        <v>571</v>
      </c>
      <c r="F102" s="6" t="s">
        <v>570</v>
      </c>
      <c r="G102" s="6" t="s">
        <v>469</v>
      </c>
      <c r="H102" s="6" t="n">
        <v>88</v>
      </c>
      <c r="I102" s="7" t="n">
        <v>120</v>
      </c>
      <c r="J102" s="7" t="n">
        <f aca="false">H102*I102</f>
        <v>10560</v>
      </c>
      <c r="K102" s="6" t="s">
        <v>1689</v>
      </c>
      <c r="L102" s="6" t="s">
        <v>1676</v>
      </c>
    </row>
    <row r="103" customFormat="false" ht="15" hidden="false" customHeight="false" outlineLevel="0" collapsed="false">
      <c r="A103" s="3" t="s">
        <v>1871</v>
      </c>
      <c r="B103" s="3" t="s">
        <v>1872</v>
      </c>
      <c r="C103" s="3" t="s">
        <v>1064</v>
      </c>
      <c r="D103" s="3" t="s">
        <v>363</v>
      </c>
      <c r="E103" s="3" t="s">
        <v>362</v>
      </c>
      <c r="F103" s="3" t="s">
        <v>361</v>
      </c>
      <c r="G103" s="3" t="s">
        <v>330</v>
      </c>
      <c r="H103" s="3" t="n">
        <v>45</v>
      </c>
      <c r="I103" s="4" t="n">
        <v>1600</v>
      </c>
      <c r="J103" s="4" t="n">
        <f aca="false">H103*I103</f>
        <v>72000</v>
      </c>
      <c r="K103" s="3" t="s">
        <v>1679</v>
      </c>
      <c r="L103" s="3" t="s">
        <v>1676</v>
      </c>
    </row>
    <row r="104" customFormat="false" ht="15" hidden="false" customHeight="false" outlineLevel="0" collapsed="false">
      <c r="A104" s="6" t="s">
        <v>1873</v>
      </c>
      <c r="B104" s="6" t="s">
        <v>1874</v>
      </c>
      <c r="C104" s="6" t="s">
        <v>965</v>
      </c>
      <c r="D104" s="6" t="s">
        <v>133</v>
      </c>
      <c r="E104" s="6" t="s">
        <v>79</v>
      </c>
      <c r="F104" s="6" t="s">
        <v>78</v>
      </c>
      <c r="G104" s="6" t="s">
        <v>17</v>
      </c>
      <c r="H104" s="6" t="n">
        <v>47</v>
      </c>
      <c r="I104" s="7" t="n">
        <v>105000</v>
      </c>
      <c r="J104" s="7" t="n">
        <f aca="false">H104*I104</f>
        <v>4935000</v>
      </c>
      <c r="K104" s="6" t="s">
        <v>1675</v>
      </c>
      <c r="L104" s="6" t="s">
        <v>1686</v>
      </c>
    </row>
    <row r="105" customFormat="false" ht="15" hidden="false" customHeight="false" outlineLevel="0" collapsed="false">
      <c r="A105" s="3" t="s">
        <v>1875</v>
      </c>
      <c r="B105" s="3" t="s">
        <v>1756</v>
      </c>
      <c r="C105" s="3" t="s">
        <v>1139</v>
      </c>
      <c r="D105" s="3" t="s">
        <v>820</v>
      </c>
      <c r="E105" s="3" t="s">
        <v>839</v>
      </c>
      <c r="F105" s="3" t="s">
        <v>838</v>
      </c>
      <c r="G105" s="3" t="s">
        <v>816</v>
      </c>
      <c r="H105" s="3" t="n">
        <v>94</v>
      </c>
      <c r="I105" s="4" t="n">
        <v>550</v>
      </c>
      <c r="J105" s="4" t="n">
        <f aca="false">H105*I105</f>
        <v>51700</v>
      </c>
      <c r="K105" s="3" t="s">
        <v>1675</v>
      </c>
      <c r="L105" s="3" t="s">
        <v>1676</v>
      </c>
    </row>
    <row r="106" customFormat="false" ht="15" hidden="false" customHeight="false" outlineLevel="0" collapsed="false">
      <c r="A106" s="6" t="s">
        <v>1876</v>
      </c>
      <c r="B106" s="6" t="s">
        <v>1842</v>
      </c>
      <c r="C106" s="6" t="s">
        <v>960</v>
      </c>
      <c r="D106" s="6" t="s">
        <v>114</v>
      </c>
      <c r="E106" s="6" t="s">
        <v>29</v>
      </c>
      <c r="F106" s="6" t="s">
        <v>28</v>
      </c>
      <c r="G106" s="6" t="s">
        <v>17</v>
      </c>
      <c r="H106" s="6" t="n">
        <v>60</v>
      </c>
      <c r="I106" s="7" t="n">
        <v>240000</v>
      </c>
      <c r="J106" s="7" t="n">
        <f aca="false">H106*I106</f>
        <v>14400000</v>
      </c>
      <c r="K106" s="6" t="s">
        <v>1679</v>
      </c>
      <c r="L106" s="6" t="s">
        <v>1682</v>
      </c>
    </row>
    <row r="107" customFormat="false" ht="15" hidden="false" customHeight="false" outlineLevel="0" collapsed="false">
      <c r="A107" s="3" t="s">
        <v>1877</v>
      </c>
      <c r="B107" s="3" t="s">
        <v>1878</v>
      </c>
      <c r="C107" s="3" t="s">
        <v>1148</v>
      </c>
      <c r="D107" s="3" t="s">
        <v>854</v>
      </c>
      <c r="E107" s="3" t="s">
        <v>897</v>
      </c>
      <c r="F107" s="3" t="s">
        <v>896</v>
      </c>
      <c r="G107" s="3" t="s">
        <v>816</v>
      </c>
      <c r="H107" s="3" t="n">
        <v>89</v>
      </c>
      <c r="I107" s="4" t="n">
        <v>5500</v>
      </c>
      <c r="J107" s="4" t="n">
        <f aca="false">H107*I107</f>
        <v>489500</v>
      </c>
      <c r="K107" s="3" t="s">
        <v>1675</v>
      </c>
      <c r="L107" s="3" t="s">
        <v>1676</v>
      </c>
    </row>
    <row r="108" customFormat="false" ht="15" hidden="false" customHeight="false" outlineLevel="0" collapsed="false">
      <c r="A108" s="6" t="s">
        <v>1879</v>
      </c>
      <c r="B108" s="6" t="s">
        <v>1880</v>
      </c>
      <c r="C108" s="6" t="s">
        <v>1060</v>
      </c>
      <c r="D108" s="6" t="s">
        <v>342</v>
      </c>
      <c r="E108" s="6" t="s">
        <v>407</v>
      </c>
      <c r="F108" s="6" t="s">
        <v>406</v>
      </c>
      <c r="G108" s="6" t="s">
        <v>330</v>
      </c>
      <c r="H108" s="6" t="n">
        <v>59</v>
      </c>
      <c r="I108" s="7" t="n">
        <v>500</v>
      </c>
      <c r="J108" s="7" t="n">
        <f aca="false">H108*I108</f>
        <v>29500</v>
      </c>
      <c r="K108" s="6" t="s">
        <v>1685</v>
      </c>
      <c r="L108" s="6" t="s">
        <v>1676</v>
      </c>
    </row>
    <row r="109" customFormat="false" ht="15" hidden="false" customHeight="false" outlineLevel="0" collapsed="false">
      <c r="A109" s="3" t="s">
        <v>1881</v>
      </c>
      <c r="B109" s="3" t="s">
        <v>1882</v>
      </c>
      <c r="C109" s="3" t="s">
        <v>1148</v>
      </c>
      <c r="D109" s="3" t="s">
        <v>854</v>
      </c>
      <c r="E109" s="3" t="s">
        <v>824</v>
      </c>
      <c r="F109" s="3" t="s">
        <v>823</v>
      </c>
      <c r="G109" s="3" t="s">
        <v>816</v>
      </c>
      <c r="H109" s="3" t="n">
        <v>56</v>
      </c>
      <c r="I109" s="4" t="n">
        <v>3200</v>
      </c>
      <c r="J109" s="4" t="n">
        <f aca="false">H109*I109</f>
        <v>179200</v>
      </c>
      <c r="K109" s="3" t="s">
        <v>1679</v>
      </c>
      <c r="L109" s="3" t="s">
        <v>1682</v>
      </c>
    </row>
    <row r="110" customFormat="false" ht="15" hidden="false" customHeight="false" outlineLevel="0" collapsed="false">
      <c r="A110" s="6" t="s">
        <v>1883</v>
      </c>
      <c r="B110" s="6" t="s">
        <v>1884</v>
      </c>
      <c r="C110" s="6" t="s">
        <v>1156</v>
      </c>
      <c r="D110" s="6" t="s">
        <v>740</v>
      </c>
      <c r="E110" s="6" t="s">
        <v>783</v>
      </c>
      <c r="F110" s="6" t="s">
        <v>782</v>
      </c>
      <c r="G110" s="6" t="s">
        <v>731</v>
      </c>
      <c r="H110" s="6" t="n">
        <v>53</v>
      </c>
      <c r="I110" s="7" t="n">
        <v>50</v>
      </c>
      <c r="J110" s="7" t="n">
        <f aca="false">H110*I110</f>
        <v>2650</v>
      </c>
      <c r="K110" s="6" t="s">
        <v>1679</v>
      </c>
      <c r="L110" s="6" t="s">
        <v>1682</v>
      </c>
    </row>
    <row r="111" customFormat="false" ht="15" hidden="false" customHeight="false" outlineLevel="0" collapsed="false">
      <c r="A111" s="3" t="s">
        <v>1885</v>
      </c>
      <c r="B111" s="3" t="s">
        <v>1886</v>
      </c>
      <c r="C111" s="3" t="s">
        <v>1107</v>
      </c>
      <c r="D111" s="3" t="s">
        <v>556</v>
      </c>
      <c r="E111" s="3" t="s">
        <v>539</v>
      </c>
      <c r="F111" s="3" t="s">
        <v>538</v>
      </c>
      <c r="G111" s="3" t="s">
        <v>469</v>
      </c>
      <c r="H111" s="3" t="n">
        <v>89</v>
      </c>
      <c r="I111" s="4" t="n">
        <v>180</v>
      </c>
      <c r="J111" s="4" t="n">
        <f aca="false">H111*I111</f>
        <v>16020</v>
      </c>
      <c r="K111" s="3" t="s">
        <v>1689</v>
      </c>
      <c r="L111" s="3" t="s">
        <v>1676</v>
      </c>
    </row>
    <row r="112" customFormat="false" ht="15" hidden="false" customHeight="false" outlineLevel="0" collapsed="false">
      <c r="A112" s="6" t="s">
        <v>1887</v>
      </c>
      <c r="B112" s="6" t="s">
        <v>1880</v>
      </c>
      <c r="C112" s="6" t="s">
        <v>1107</v>
      </c>
      <c r="D112" s="6" t="s">
        <v>556</v>
      </c>
      <c r="E112" s="6" t="s">
        <v>590</v>
      </c>
      <c r="F112" s="6" t="s">
        <v>589</v>
      </c>
      <c r="G112" s="6" t="s">
        <v>469</v>
      </c>
      <c r="H112" s="6" t="n">
        <v>100</v>
      </c>
      <c r="I112" s="7" t="n">
        <v>350</v>
      </c>
      <c r="J112" s="7" t="n">
        <f aca="false">H112*I112</f>
        <v>35000</v>
      </c>
      <c r="K112" s="6" t="s">
        <v>1679</v>
      </c>
      <c r="L112" s="6" t="s">
        <v>1682</v>
      </c>
    </row>
    <row r="113" customFormat="false" ht="15" hidden="false" customHeight="false" outlineLevel="0" collapsed="false">
      <c r="A113" s="3" t="s">
        <v>1888</v>
      </c>
      <c r="B113" s="3" t="s">
        <v>1868</v>
      </c>
      <c r="C113" s="3" t="s">
        <v>1085</v>
      </c>
      <c r="D113" s="3" t="s">
        <v>473</v>
      </c>
      <c r="E113" s="3" t="s">
        <v>590</v>
      </c>
      <c r="F113" s="3" t="s">
        <v>589</v>
      </c>
      <c r="G113" s="3" t="s">
        <v>469</v>
      </c>
      <c r="H113" s="3" t="n">
        <v>14</v>
      </c>
      <c r="I113" s="4" t="n">
        <v>350</v>
      </c>
      <c r="J113" s="4" t="n">
        <f aca="false">H113*I113</f>
        <v>4900</v>
      </c>
      <c r="K113" s="3" t="s">
        <v>1689</v>
      </c>
      <c r="L113" s="3" t="s">
        <v>1686</v>
      </c>
    </row>
    <row r="114" customFormat="false" ht="15" hidden="false" customHeight="false" outlineLevel="0" collapsed="false">
      <c r="A114" s="6" t="s">
        <v>1889</v>
      </c>
      <c r="B114" s="6" t="s">
        <v>1890</v>
      </c>
      <c r="C114" s="6" t="s">
        <v>985</v>
      </c>
      <c r="D114" s="6" t="s">
        <v>173</v>
      </c>
      <c r="E114" s="6" t="s">
        <v>239</v>
      </c>
      <c r="F114" s="6" t="s">
        <v>238</v>
      </c>
      <c r="G114" s="6" t="s">
        <v>169</v>
      </c>
      <c r="H114" s="6" t="n">
        <v>63</v>
      </c>
      <c r="I114" s="7" t="n">
        <v>50</v>
      </c>
      <c r="J114" s="7" t="n">
        <f aca="false">H114*I114</f>
        <v>3150</v>
      </c>
      <c r="K114" s="6" t="s">
        <v>1679</v>
      </c>
      <c r="L114" s="6" t="s">
        <v>1682</v>
      </c>
    </row>
    <row r="115" customFormat="false" ht="15" hidden="false" customHeight="false" outlineLevel="0" collapsed="false">
      <c r="A115" s="3" t="s">
        <v>1891</v>
      </c>
      <c r="B115" s="3" t="s">
        <v>1892</v>
      </c>
      <c r="C115" s="3" t="s">
        <v>1060</v>
      </c>
      <c r="D115" s="3" t="s">
        <v>342</v>
      </c>
      <c r="E115" s="3" t="s">
        <v>407</v>
      </c>
      <c r="F115" s="3" t="s">
        <v>406</v>
      </c>
      <c r="G115" s="3" t="s">
        <v>330</v>
      </c>
      <c r="H115" s="3" t="n">
        <v>85</v>
      </c>
      <c r="I115" s="4" t="n">
        <v>500</v>
      </c>
      <c r="J115" s="4" t="n">
        <f aca="false">H115*I115</f>
        <v>42500</v>
      </c>
      <c r="K115" s="3" t="s">
        <v>1679</v>
      </c>
      <c r="L115" s="3" t="s">
        <v>1676</v>
      </c>
    </row>
    <row r="116" customFormat="false" ht="15" hidden="false" customHeight="false" outlineLevel="0" collapsed="false">
      <c r="A116" s="6" t="s">
        <v>1893</v>
      </c>
      <c r="B116" s="6" t="s">
        <v>1894</v>
      </c>
      <c r="C116" s="6" t="s">
        <v>1064</v>
      </c>
      <c r="D116" s="6" t="s">
        <v>363</v>
      </c>
      <c r="E116" s="6" t="s">
        <v>341</v>
      </c>
      <c r="F116" s="6" t="s">
        <v>340</v>
      </c>
      <c r="G116" s="6" t="s">
        <v>330</v>
      </c>
      <c r="H116" s="6" t="n">
        <v>38</v>
      </c>
      <c r="I116" s="7" t="n">
        <v>2500</v>
      </c>
      <c r="J116" s="7" t="n">
        <f aca="false">H116*I116</f>
        <v>95000</v>
      </c>
      <c r="K116" s="6" t="s">
        <v>1679</v>
      </c>
      <c r="L116" s="6" t="s">
        <v>1676</v>
      </c>
    </row>
    <row r="117" customFormat="false" ht="15" hidden="false" customHeight="false" outlineLevel="0" collapsed="false">
      <c r="A117" s="3" t="s">
        <v>1895</v>
      </c>
      <c r="B117" s="3" t="s">
        <v>1896</v>
      </c>
      <c r="C117" s="3" t="s">
        <v>1060</v>
      </c>
      <c r="D117" s="3" t="s">
        <v>342</v>
      </c>
      <c r="E117" s="3" t="s">
        <v>457</v>
      </c>
      <c r="F117" s="3" t="s">
        <v>456</v>
      </c>
      <c r="G117" s="3" t="s">
        <v>330</v>
      </c>
      <c r="H117" s="3" t="n">
        <v>48</v>
      </c>
      <c r="I117" s="4" t="n">
        <v>1200</v>
      </c>
      <c r="J117" s="4" t="n">
        <f aca="false">H117*I117</f>
        <v>57600</v>
      </c>
      <c r="K117" s="3" t="s">
        <v>1675</v>
      </c>
      <c r="L117" s="3" t="s">
        <v>1686</v>
      </c>
    </row>
    <row r="118" customFormat="false" ht="15" hidden="false" customHeight="false" outlineLevel="0" collapsed="false">
      <c r="A118" s="6" t="s">
        <v>1897</v>
      </c>
      <c r="B118" s="6" t="s">
        <v>1898</v>
      </c>
      <c r="C118" s="6" t="s">
        <v>1064</v>
      </c>
      <c r="D118" s="6" t="s">
        <v>363</v>
      </c>
      <c r="E118" s="6" t="s">
        <v>337</v>
      </c>
      <c r="F118" s="6" t="s">
        <v>336</v>
      </c>
      <c r="G118" s="6" t="s">
        <v>330</v>
      </c>
      <c r="H118" s="6" t="n">
        <v>94</v>
      </c>
      <c r="I118" s="7" t="n">
        <v>1500</v>
      </c>
      <c r="J118" s="7" t="n">
        <f aca="false">H118*I118</f>
        <v>141000</v>
      </c>
      <c r="K118" s="6" t="s">
        <v>1675</v>
      </c>
      <c r="L118" s="6" t="s">
        <v>1686</v>
      </c>
    </row>
    <row r="119" customFormat="false" ht="15" hidden="false" customHeight="false" outlineLevel="0" collapsed="false">
      <c r="A119" s="3" t="s">
        <v>1899</v>
      </c>
      <c r="B119" s="3" t="s">
        <v>1900</v>
      </c>
      <c r="C119" s="3" t="s">
        <v>1085</v>
      </c>
      <c r="D119" s="3" t="s">
        <v>473</v>
      </c>
      <c r="E119" s="3" t="s">
        <v>502</v>
      </c>
      <c r="F119" s="3" t="s">
        <v>501</v>
      </c>
      <c r="G119" s="3" t="s">
        <v>469</v>
      </c>
      <c r="H119" s="3" t="n">
        <v>19</v>
      </c>
      <c r="I119" s="4" t="n">
        <v>260</v>
      </c>
      <c r="J119" s="4" t="n">
        <f aca="false">H119*I119</f>
        <v>4940</v>
      </c>
      <c r="K119" s="3" t="s">
        <v>1689</v>
      </c>
      <c r="L119" s="3" t="s">
        <v>1686</v>
      </c>
    </row>
    <row r="120" customFormat="false" ht="15" hidden="false" customHeight="false" outlineLevel="0" collapsed="false">
      <c r="A120" s="6" t="s">
        <v>1901</v>
      </c>
      <c r="B120" s="6" t="s">
        <v>1902</v>
      </c>
      <c r="C120" s="6" t="s">
        <v>960</v>
      </c>
      <c r="D120" s="6" t="s">
        <v>114</v>
      </c>
      <c r="E120" s="6" t="s">
        <v>147</v>
      </c>
      <c r="F120" s="6" t="s">
        <v>146</v>
      </c>
      <c r="G120" s="6" t="s">
        <v>17</v>
      </c>
      <c r="H120" s="6" t="n">
        <v>25</v>
      </c>
      <c r="I120" s="7" t="n">
        <v>72000</v>
      </c>
      <c r="J120" s="7" t="n">
        <f aca="false">H120*I120</f>
        <v>1800000</v>
      </c>
      <c r="K120" s="6" t="s">
        <v>1675</v>
      </c>
      <c r="L120" s="6" t="s">
        <v>1686</v>
      </c>
    </row>
    <row r="121" customFormat="false" ht="15" hidden="false" customHeight="false" outlineLevel="0" collapsed="false">
      <c r="A121" s="3" t="s">
        <v>1903</v>
      </c>
      <c r="B121" s="3" t="s">
        <v>1904</v>
      </c>
      <c r="C121" s="3" t="s">
        <v>907</v>
      </c>
      <c r="D121" s="3" t="s">
        <v>21</v>
      </c>
      <c r="E121" s="3" t="s">
        <v>105</v>
      </c>
      <c r="F121" s="3" t="s">
        <v>104</v>
      </c>
      <c r="G121" s="3" t="s">
        <v>17</v>
      </c>
      <c r="H121" s="3" t="n">
        <v>71</v>
      </c>
      <c r="I121" s="4" t="n">
        <v>42000</v>
      </c>
      <c r="J121" s="4" t="n">
        <f aca="false">H121*I121</f>
        <v>2982000</v>
      </c>
      <c r="K121" s="3" t="s">
        <v>1685</v>
      </c>
      <c r="L121" s="3" t="s">
        <v>1682</v>
      </c>
    </row>
    <row r="122" customFormat="false" ht="15" hidden="false" customHeight="false" outlineLevel="0" collapsed="false">
      <c r="A122" s="6" t="s">
        <v>1905</v>
      </c>
      <c r="B122" s="6" t="s">
        <v>1906</v>
      </c>
      <c r="C122" s="6" t="s">
        <v>960</v>
      </c>
      <c r="D122" s="6" t="s">
        <v>114</v>
      </c>
      <c r="E122" s="6" t="s">
        <v>110</v>
      </c>
      <c r="F122" s="6" t="s">
        <v>109</v>
      </c>
      <c r="G122" s="6" t="s">
        <v>17</v>
      </c>
      <c r="H122" s="6" t="n">
        <v>19</v>
      </c>
      <c r="I122" s="7" t="n">
        <v>68000</v>
      </c>
      <c r="J122" s="7" t="n">
        <f aca="false">H122*I122</f>
        <v>1292000</v>
      </c>
      <c r="K122" s="6" t="s">
        <v>1689</v>
      </c>
      <c r="L122" s="6" t="s">
        <v>1686</v>
      </c>
    </row>
    <row r="123" customFormat="false" ht="15" hidden="false" customHeight="false" outlineLevel="0" collapsed="false">
      <c r="A123" s="3" t="s">
        <v>1907</v>
      </c>
      <c r="B123" s="3" t="s">
        <v>1908</v>
      </c>
      <c r="C123" s="3" t="s">
        <v>1055</v>
      </c>
      <c r="D123" s="3" t="s">
        <v>334</v>
      </c>
      <c r="E123" s="3" t="s">
        <v>435</v>
      </c>
      <c r="F123" s="3" t="s">
        <v>434</v>
      </c>
      <c r="G123" s="3" t="s">
        <v>330</v>
      </c>
      <c r="H123" s="3" t="n">
        <v>61</v>
      </c>
      <c r="I123" s="4" t="n">
        <v>1800</v>
      </c>
      <c r="J123" s="4" t="n">
        <f aca="false">H123*I123</f>
        <v>109800</v>
      </c>
      <c r="K123" s="3" t="s">
        <v>1689</v>
      </c>
      <c r="L123" s="3" t="s">
        <v>1682</v>
      </c>
    </row>
    <row r="124" customFormat="false" ht="15" hidden="false" customHeight="false" outlineLevel="0" collapsed="false">
      <c r="A124" s="6" t="s">
        <v>1909</v>
      </c>
      <c r="B124" s="6" t="s">
        <v>1910</v>
      </c>
      <c r="C124" s="6" t="s">
        <v>1161</v>
      </c>
      <c r="D124" s="6" t="s">
        <v>603</v>
      </c>
      <c r="E124" s="6" t="s">
        <v>775</v>
      </c>
      <c r="F124" s="6" t="s">
        <v>774</v>
      </c>
      <c r="G124" s="6" t="s">
        <v>731</v>
      </c>
      <c r="H124" s="6" t="n">
        <v>94</v>
      </c>
      <c r="I124" s="7" t="n">
        <v>280</v>
      </c>
      <c r="J124" s="7" t="n">
        <f aca="false">H124*I124</f>
        <v>26320</v>
      </c>
      <c r="K124" s="6" t="s">
        <v>1689</v>
      </c>
      <c r="L124" s="6" t="s">
        <v>1686</v>
      </c>
    </row>
    <row r="125" customFormat="false" ht="15" hidden="false" customHeight="false" outlineLevel="0" collapsed="false">
      <c r="A125" s="3" t="s">
        <v>1911</v>
      </c>
      <c r="B125" s="3" t="s">
        <v>1912</v>
      </c>
      <c r="C125" s="3" t="s">
        <v>1121</v>
      </c>
      <c r="D125" s="3" t="s">
        <v>613</v>
      </c>
      <c r="E125" s="3" t="s">
        <v>720</v>
      </c>
      <c r="F125" s="3" t="s">
        <v>719</v>
      </c>
      <c r="G125" s="3" t="s">
        <v>609</v>
      </c>
      <c r="H125" s="3" t="n">
        <v>62</v>
      </c>
      <c r="I125" s="4" t="n">
        <v>380</v>
      </c>
      <c r="J125" s="4" t="n">
        <f aca="false">H125*I125</f>
        <v>23560</v>
      </c>
      <c r="K125" s="3" t="s">
        <v>1679</v>
      </c>
      <c r="L125" s="3" t="s">
        <v>1676</v>
      </c>
    </row>
    <row r="126" customFormat="false" ht="15" hidden="false" customHeight="false" outlineLevel="0" collapsed="false">
      <c r="A126" s="6" t="s">
        <v>1913</v>
      </c>
      <c r="B126" s="6" t="s">
        <v>1791</v>
      </c>
      <c r="C126" s="6" t="s">
        <v>1107</v>
      </c>
      <c r="D126" s="6" t="s">
        <v>556</v>
      </c>
      <c r="E126" s="6" t="s">
        <v>547</v>
      </c>
      <c r="F126" s="6" t="s">
        <v>546</v>
      </c>
      <c r="G126" s="6" t="s">
        <v>469</v>
      </c>
      <c r="H126" s="6" t="n">
        <v>64</v>
      </c>
      <c r="I126" s="7" t="n">
        <v>220</v>
      </c>
      <c r="J126" s="7" t="n">
        <f aca="false">H126*I126</f>
        <v>14080</v>
      </c>
      <c r="K126" s="6" t="s">
        <v>1689</v>
      </c>
      <c r="L126" s="6" t="s">
        <v>1686</v>
      </c>
    </row>
    <row r="127" customFormat="false" ht="15" hidden="false" customHeight="false" outlineLevel="0" collapsed="false">
      <c r="A127" s="3" t="s">
        <v>1914</v>
      </c>
      <c r="B127" s="3" t="s">
        <v>1915</v>
      </c>
      <c r="C127" s="3" t="s">
        <v>1107</v>
      </c>
      <c r="D127" s="3" t="s">
        <v>556</v>
      </c>
      <c r="E127" s="3" t="s">
        <v>491</v>
      </c>
      <c r="F127" s="3" t="s">
        <v>490</v>
      </c>
      <c r="G127" s="3" t="s">
        <v>469</v>
      </c>
      <c r="H127" s="3" t="n">
        <v>7</v>
      </c>
      <c r="I127" s="4" t="n">
        <v>55</v>
      </c>
      <c r="J127" s="4" t="n">
        <f aca="false">H127*I127</f>
        <v>385</v>
      </c>
      <c r="K127" s="3" t="s">
        <v>1685</v>
      </c>
      <c r="L127" s="3" t="s">
        <v>1682</v>
      </c>
    </row>
    <row r="128" customFormat="false" ht="15" hidden="false" customHeight="false" outlineLevel="0" collapsed="false">
      <c r="A128" s="6" t="s">
        <v>1916</v>
      </c>
      <c r="B128" s="6" t="s">
        <v>1917</v>
      </c>
      <c r="C128" s="6" t="s">
        <v>1144</v>
      </c>
      <c r="D128" s="6" t="s">
        <v>825</v>
      </c>
      <c r="E128" s="6" t="s">
        <v>881</v>
      </c>
      <c r="F128" s="6" t="s">
        <v>880</v>
      </c>
      <c r="G128" s="6" t="s">
        <v>816</v>
      </c>
      <c r="H128" s="6" t="n">
        <v>43</v>
      </c>
      <c r="I128" s="7" t="n">
        <v>2500</v>
      </c>
      <c r="J128" s="7" t="n">
        <f aca="false">H128*I128</f>
        <v>107500</v>
      </c>
      <c r="K128" s="6" t="s">
        <v>1679</v>
      </c>
      <c r="L128" s="6" t="s">
        <v>1676</v>
      </c>
    </row>
    <row r="129" customFormat="false" ht="15" hidden="false" customHeight="false" outlineLevel="0" collapsed="false">
      <c r="A129" s="3" t="s">
        <v>1918</v>
      </c>
      <c r="B129" s="3" t="s">
        <v>1919</v>
      </c>
      <c r="C129" s="3" t="s">
        <v>1064</v>
      </c>
      <c r="D129" s="3" t="s">
        <v>363</v>
      </c>
      <c r="E129" s="3" t="s">
        <v>416</v>
      </c>
      <c r="F129" s="3" t="s">
        <v>415</v>
      </c>
      <c r="G129" s="3" t="s">
        <v>330</v>
      </c>
      <c r="H129" s="3" t="n">
        <v>25</v>
      </c>
      <c r="I129" s="4" t="n">
        <v>2800</v>
      </c>
      <c r="J129" s="4" t="n">
        <f aca="false">H129*I129</f>
        <v>70000</v>
      </c>
      <c r="K129" s="3" t="s">
        <v>1675</v>
      </c>
      <c r="L129" s="3" t="s">
        <v>1682</v>
      </c>
    </row>
    <row r="130" customFormat="false" ht="15" hidden="false" customHeight="false" outlineLevel="0" collapsed="false">
      <c r="A130" s="6" t="s">
        <v>1920</v>
      </c>
      <c r="B130" s="6" t="s">
        <v>1921</v>
      </c>
      <c r="C130" s="6" t="s">
        <v>1139</v>
      </c>
      <c r="D130" s="6" t="s">
        <v>820</v>
      </c>
      <c r="E130" s="6" t="s">
        <v>862</v>
      </c>
      <c r="F130" s="6" t="s">
        <v>861</v>
      </c>
      <c r="G130" s="6" t="s">
        <v>816</v>
      </c>
      <c r="H130" s="6" t="n">
        <v>12</v>
      </c>
      <c r="I130" s="7" t="n">
        <v>14000</v>
      </c>
      <c r="J130" s="7" t="n">
        <f aca="false">H130*I130</f>
        <v>168000</v>
      </c>
      <c r="K130" s="6" t="s">
        <v>1679</v>
      </c>
      <c r="L130" s="6" t="s">
        <v>1686</v>
      </c>
    </row>
    <row r="131" customFormat="false" ht="15" hidden="false" customHeight="false" outlineLevel="0" collapsed="false">
      <c r="A131" s="3" t="s">
        <v>1922</v>
      </c>
      <c r="B131" s="3" t="s">
        <v>1923</v>
      </c>
      <c r="C131" s="3" t="s">
        <v>985</v>
      </c>
      <c r="D131" s="3" t="s">
        <v>173</v>
      </c>
      <c r="E131" s="3" t="s">
        <v>195</v>
      </c>
      <c r="F131" s="3" t="s">
        <v>194</v>
      </c>
      <c r="G131" s="3" t="s">
        <v>169</v>
      </c>
      <c r="H131" s="3" t="n">
        <v>8</v>
      </c>
      <c r="I131" s="4" t="n">
        <v>2000</v>
      </c>
      <c r="J131" s="4" t="n">
        <f aca="false">H131*I131</f>
        <v>16000</v>
      </c>
      <c r="K131" s="3" t="s">
        <v>1679</v>
      </c>
      <c r="L131" s="3" t="s">
        <v>1686</v>
      </c>
    </row>
    <row r="132" customFormat="false" ht="15" hidden="false" customHeight="false" outlineLevel="0" collapsed="false">
      <c r="A132" s="6" t="s">
        <v>1924</v>
      </c>
      <c r="B132" s="6" t="s">
        <v>1925</v>
      </c>
      <c r="C132" s="6" t="s">
        <v>965</v>
      </c>
      <c r="D132" s="6" t="s">
        <v>133</v>
      </c>
      <c r="E132" s="6" t="s">
        <v>64</v>
      </c>
      <c r="F132" s="6" t="s">
        <v>63</v>
      </c>
      <c r="G132" s="6" t="s">
        <v>17</v>
      </c>
      <c r="H132" s="6" t="n">
        <v>36</v>
      </c>
      <c r="I132" s="7" t="n">
        <v>115000</v>
      </c>
      <c r="J132" s="7" t="n">
        <f aca="false">H132*I132</f>
        <v>4140000</v>
      </c>
      <c r="K132" s="6" t="s">
        <v>1675</v>
      </c>
      <c r="L132" s="6" t="s">
        <v>1676</v>
      </c>
    </row>
    <row r="133" customFormat="false" ht="15" hidden="false" customHeight="false" outlineLevel="0" collapsed="false">
      <c r="A133" s="3" t="s">
        <v>1926</v>
      </c>
      <c r="B133" s="3" t="s">
        <v>1927</v>
      </c>
      <c r="C133" s="3" t="s">
        <v>1161</v>
      </c>
      <c r="D133" s="3" t="s">
        <v>603</v>
      </c>
      <c r="E133" s="3" t="s">
        <v>744</v>
      </c>
      <c r="F133" s="3" t="s">
        <v>743</v>
      </c>
      <c r="G133" s="3" t="s">
        <v>731</v>
      </c>
      <c r="H133" s="3" t="n">
        <v>63</v>
      </c>
      <c r="I133" s="4" t="n">
        <v>150</v>
      </c>
      <c r="J133" s="4" t="n">
        <f aca="false">H133*I133</f>
        <v>9450</v>
      </c>
      <c r="K133" s="3" t="s">
        <v>1685</v>
      </c>
      <c r="L133" s="3" t="s">
        <v>1676</v>
      </c>
    </row>
    <row r="134" customFormat="false" ht="15" hidden="false" customHeight="false" outlineLevel="0" collapsed="false">
      <c r="A134" s="6" t="s">
        <v>1928</v>
      </c>
      <c r="B134" s="6" t="s">
        <v>1688</v>
      </c>
      <c r="C134" s="6" t="s">
        <v>1019</v>
      </c>
      <c r="D134" s="6" t="s">
        <v>691</v>
      </c>
      <c r="E134" s="6" t="s">
        <v>690</v>
      </c>
      <c r="F134" s="6" t="s">
        <v>689</v>
      </c>
      <c r="G134" s="6" t="s">
        <v>609</v>
      </c>
      <c r="H134" s="6" t="n">
        <v>50</v>
      </c>
      <c r="I134" s="7" t="n">
        <v>750</v>
      </c>
      <c r="J134" s="7" t="n">
        <f aca="false">H134*I134</f>
        <v>37500</v>
      </c>
      <c r="K134" s="6" t="s">
        <v>1685</v>
      </c>
      <c r="L134" s="6" t="s">
        <v>1676</v>
      </c>
    </row>
    <row r="135" customFormat="false" ht="15" hidden="false" customHeight="false" outlineLevel="0" collapsed="false">
      <c r="A135" s="3" t="s">
        <v>1929</v>
      </c>
      <c r="B135" s="3" t="s">
        <v>1930</v>
      </c>
      <c r="C135" s="3" t="s">
        <v>985</v>
      </c>
      <c r="D135" s="3" t="s">
        <v>173</v>
      </c>
      <c r="E135" s="3" t="s">
        <v>292</v>
      </c>
      <c r="F135" s="3" t="s">
        <v>291</v>
      </c>
      <c r="G135" s="3" t="s">
        <v>169</v>
      </c>
      <c r="H135" s="3" t="n">
        <v>23</v>
      </c>
      <c r="I135" s="4" t="n">
        <v>250</v>
      </c>
      <c r="J135" s="4" t="n">
        <f aca="false">H135*I135</f>
        <v>5750</v>
      </c>
      <c r="K135" s="3" t="s">
        <v>1679</v>
      </c>
      <c r="L135" s="3" t="s">
        <v>1676</v>
      </c>
    </row>
    <row r="136" customFormat="false" ht="15" hidden="false" customHeight="false" outlineLevel="0" collapsed="false">
      <c r="A136" s="6" t="s">
        <v>1931</v>
      </c>
      <c r="B136" s="6" t="s">
        <v>1932</v>
      </c>
      <c r="C136" s="6" t="s">
        <v>1161</v>
      </c>
      <c r="D136" s="6" t="s">
        <v>603</v>
      </c>
      <c r="E136" s="6" t="s">
        <v>775</v>
      </c>
      <c r="F136" s="6" t="s">
        <v>774</v>
      </c>
      <c r="G136" s="6" t="s">
        <v>731</v>
      </c>
      <c r="H136" s="6" t="n">
        <v>42</v>
      </c>
      <c r="I136" s="7" t="n">
        <v>280</v>
      </c>
      <c r="J136" s="7" t="n">
        <f aca="false">H136*I136</f>
        <v>11760</v>
      </c>
      <c r="K136" s="6" t="s">
        <v>1685</v>
      </c>
      <c r="L136" s="6" t="s">
        <v>1686</v>
      </c>
    </row>
    <row r="137" customFormat="false" ht="15" hidden="false" customHeight="false" outlineLevel="0" collapsed="false">
      <c r="A137" s="3" t="s">
        <v>1933</v>
      </c>
      <c r="B137" s="3" t="s">
        <v>1915</v>
      </c>
      <c r="C137" s="3" t="s">
        <v>1064</v>
      </c>
      <c r="D137" s="3" t="s">
        <v>363</v>
      </c>
      <c r="E137" s="3" t="s">
        <v>467</v>
      </c>
      <c r="F137" s="3" t="s">
        <v>466</v>
      </c>
      <c r="G137" s="3" t="s">
        <v>330</v>
      </c>
      <c r="H137" s="3" t="n">
        <v>47</v>
      </c>
      <c r="I137" s="4" t="n">
        <v>550</v>
      </c>
      <c r="J137" s="4" t="n">
        <f aca="false">H137*I137</f>
        <v>25850</v>
      </c>
      <c r="K137" s="3" t="s">
        <v>1685</v>
      </c>
      <c r="L137" s="3" t="s">
        <v>1686</v>
      </c>
    </row>
    <row r="138" customFormat="false" ht="15" hidden="false" customHeight="false" outlineLevel="0" collapsed="false">
      <c r="A138" s="6" t="s">
        <v>1934</v>
      </c>
      <c r="B138" s="6" t="s">
        <v>1935</v>
      </c>
      <c r="C138" s="6" t="s">
        <v>960</v>
      </c>
      <c r="D138" s="6" t="s">
        <v>114</v>
      </c>
      <c r="E138" s="6" t="s">
        <v>136</v>
      </c>
      <c r="F138" s="6" t="s">
        <v>135</v>
      </c>
      <c r="G138" s="6" t="s">
        <v>17</v>
      </c>
      <c r="H138" s="6" t="n">
        <v>90</v>
      </c>
      <c r="I138" s="7" t="n">
        <v>75000</v>
      </c>
      <c r="J138" s="7" t="n">
        <f aca="false">H138*I138</f>
        <v>6750000</v>
      </c>
      <c r="K138" s="6" t="s">
        <v>1685</v>
      </c>
      <c r="L138" s="6" t="s">
        <v>1686</v>
      </c>
    </row>
    <row r="139" customFormat="false" ht="15" hidden="false" customHeight="false" outlineLevel="0" collapsed="false">
      <c r="A139" s="3" t="s">
        <v>1936</v>
      </c>
      <c r="B139" s="3" t="s">
        <v>1937</v>
      </c>
      <c r="C139" s="3" t="s">
        <v>1103</v>
      </c>
      <c r="D139" s="3" t="s">
        <v>503</v>
      </c>
      <c r="E139" s="3" t="s">
        <v>516</v>
      </c>
      <c r="F139" s="3" t="s">
        <v>515</v>
      </c>
      <c r="G139" s="3" t="s">
        <v>469</v>
      </c>
      <c r="H139" s="3" t="n">
        <v>13</v>
      </c>
      <c r="I139" s="4" t="n">
        <v>3600</v>
      </c>
      <c r="J139" s="4" t="n">
        <f aca="false">H139*I139</f>
        <v>46800</v>
      </c>
      <c r="K139" s="3" t="s">
        <v>1679</v>
      </c>
      <c r="L139" s="3" t="s">
        <v>1682</v>
      </c>
    </row>
    <row r="140" customFormat="false" ht="15" hidden="false" customHeight="false" outlineLevel="0" collapsed="false">
      <c r="A140" s="6" t="s">
        <v>1938</v>
      </c>
      <c r="B140" s="6" t="s">
        <v>1939</v>
      </c>
      <c r="C140" s="6" t="s">
        <v>1103</v>
      </c>
      <c r="D140" s="6" t="s">
        <v>503</v>
      </c>
      <c r="E140" s="6" t="s">
        <v>599</v>
      </c>
      <c r="F140" s="6" t="s">
        <v>598</v>
      </c>
      <c r="G140" s="6" t="s">
        <v>469</v>
      </c>
      <c r="H140" s="6" t="n">
        <v>41</v>
      </c>
      <c r="I140" s="7" t="n">
        <v>600</v>
      </c>
      <c r="J140" s="7" t="n">
        <f aca="false">H140*I140</f>
        <v>24600</v>
      </c>
      <c r="K140" s="6" t="s">
        <v>1679</v>
      </c>
      <c r="L140" s="6" t="s">
        <v>1676</v>
      </c>
    </row>
    <row r="141" customFormat="false" ht="15" hidden="false" customHeight="false" outlineLevel="0" collapsed="false">
      <c r="A141" s="3" t="s">
        <v>1940</v>
      </c>
      <c r="B141" s="3" t="s">
        <v>1941</v>
      </c>
      <c r="C141" s="3" t="s">
        <v>1064</v>
      </c>
      <c r="D141" s="3" t="s">
        <v>363</v>
      </c>
      <c r="E141" s="3" t="s">
        <v>467</v>
      </c>
      <c r="F141" s="3" t="s">
        <v>466</v>
      </c>
      <c r="G141" s="3" t="s">
        <v>330</v>
      </c>
      <c r="H141" s="3" t="n">
        <v>10</v>
      </c>
      <c r="I141" s="4" t="n">
        <v>550</v>
      </c>
      <c r="J141" s="4" t="n">
        <f aca="false">H141*I141</f>
        <v>5500</v>
      </c>
      <c r="K141" s="3" t="s">
        <v>1679</v>
      </c>
      <c r="L141" s="3" t="s">
        <v>1676</v>
      </c>
    </row>
    <row r="142" customFormat="false" ht="15" hidden="false" customHeight="false" outlineLevel="0" collapsed="false">
      <c r="A142" s="6" t="s">
        <v>1942</v>
      </c>
      <c r="B142" s="6" t="s">
        <v>1906</v>
      </c>
      <c r="C142" s="6" t="s">
        <v>1060</v>
      </c>
      <c r="D142" s="6" t="s">
        <v>342</v>
      </c>
      <c r="E142" s="6" t="s">
        <v>403</v>
      </c>
      <c r="F142" s="6" t="s">
        <v>402</v>
      </c>
      <c r="G142" s="6" t="s">
        <v>330</v>
      </c>
      <c r="H142" s="6" t="n">
        <v>20</v>
      </c>
      <c r="I142" s="7" t="n">
        <v>1800</v>
      </c>
      <c r="J142" s="7" t="n">
        <f aca="false">H142*I142</f>
        <v>36000</v>
      </c>
      <c r="K142" s="6" t="s">
        <v>1689</v>
      </c>
      <c r="L142" s="6" t="s">
        <v>1676</v>
      </c>
    </row>
    <row r="143" customFormat="false" ht="15" hidden="false" customHeight="false" outlineLevel="0" collapsed="false">
      <c r="A143" s="3" t="s">
        <v>1943</v>
      </c>
      <c r="B143" s="3" t="s">
        <v>1944</v>
      </c>
      <c r="C143" s="3" t="s">
        <v>1121</v>
      </c>
      <c r="D143" s="3" t="s">
        <v>613</v>
      </c>
      <c r="E143" s="3" t="s">
        <v>630</v>
      </c>
      <c r="F143" s="3" t="s">
        <v>629</v>
      </c>
      <c r="G143" s="3" t="s">
        <v>609</v>
      </c>
      <c r="H143" s="3" t="n">
        <v>67</v>
      </c>
      <c r="I143" s="4" t="n">
        <v>120</v>
      </c>
      <c r="J143" s="4" t="n">
        <f aca="false">H143*I143</f>
        <v>8040</v>
      </c>
      <c r="K143" s="3" t="s">
        <v>1675</v>
      </c>
      <c r="L143" s="3" t="s">
        <v>1682</v>
      </c>
    </row>
    <row r="144" customFormat="false" ht="15" hidden="false" customHeight="false" outlineLevel="0" collapsed="false">
      <c r="A144" s="6" t="s">
        <v>1945</v>
      </c>
      <c r="B144" s="6" t="s">
        <v>1946</v>
      </c>
      <c r="C144" s="6" t="s">
        <v>1085</v>
      </c>
      <c r="D144" s="6" t="s">
        <v>473</v>
      </c>
      <c r="E144" s="6" t="s">
        <v>539</v>
      </c>
      <c r="F144" s="6" t="s">
        <v>538</v>
      </c>
      <c r="G144" s="6" t="s">
        <v>469</v>
      </c>
      <c r="H144" s="6" t="n">
        <v>100</v>
      </c>
      <c r="I144" s="7" t="n">
        <v>180</v>
      </c>
      <c r="J144" s="7" t="n">
        <f aca="false">H144*I144</f>
        <v>18000</v>
      </c>
      <c r="K144" s="6" t="s">
        <v>1675</v>
      </c>
      <c r="L144" s="6" t="s">
        <v>1676</v>
      </c>
    </row>
    <row r="145" customFormat="false" ht="15" hidden="false" customHeight="false" outlineLevel="0" collapsed="false">
      <c r="A145" s="3" t="s">
        <v>1947</v>
      </c>
      <c r="B145" s="3" t="s">
        <v>1948</v>
      </c>
      <c r="C145" s="3" t="s">
        <v>985</v>
      </c>
      <c r="D145" s="3" t="s">
        <v>173</v>
      </c>
      <c r="E145" s="3" t="s">
        <v>203</v>
      </c>
      <c r="F145" s="3" t="s">
        <v>202</v>
      </c>
      <c r="G145" s="3" t="s">
        <v>169</v>
      </c>
      <c r="H145" s="3" t="n">
        <v>62</v>
      </c>
      <c r="I145" s="4" t="n">
        <v>1900</v>
      </c>
      <c r="J145" s="4" t="n">
        <f aca="false">H145*I145</f>
        <v>117800</v>
      </c>
      <c r="K145" s="3" t="s">
        <v>1689</v>
      </c>
      <c r="L145" s="3" t="s">
        <v>1682</v>
      </c>
    </row>
    <row r="146" customFormat="false" ht="15" hidden="false" customHeight="false" outlineLevel="0" collapsed="false">
      <c r="A146" s="6" t="s">
        <v>1949</v>
      </c>
      <c r="B146" s="6" t="s">
        <v>1799</v>
      </c>
      <c r="C146" s="6" t="s">
        <v>998</v>
      </c>
      <c r="D146" s="6" t="s">
        <v>218</v>
      </c>
      <c r="E146" s="6" t="s">
        <v>222</v>
      </c>
      <c r="F146" s="6" t="s">
        <v>221</v>
      </c>
      <c r="G146" s="6" t="s">
        <v>169</v>
      </c>
      <c r="H146" s="6" t="n">
        <v>59</v>
      </c>
      <c r="I146" s="7" t="n">
        <v>95</v>
      </c>
      <c r="J146" s="7" t="n">
        <f aca="false">H146*I146</f>
        <v>5605</v>
      </c>
      <c r="K146" s="6" t="s">
        <v>1679</v>
      </c>
      <c r="L146" s="6" t="s">
        <v>1686</v>
      </c>
    </row>
    <row r="147" customFormat="false" ht="15" hidden="false" customHeight="false" outlineLevel="0" collapsed="false">
      <c r="A147" s="3" t="s">
        <v>1950</v>
      </c>
      <c r="B147" s="3" t="s">
        <v>1951</v>
      </c>
      <c r="C147" s="3" t="s">
        <v>985</v>
      </c>
      <c r="D147" s="3" t="s">
        <v>173</v>
      </c>
      <c r="E147" s="3" t="s">
        <v>222</v>
      </c>
      <c r="F147" s="3" t="s">
        <v>221</v>
      </c>
      <c r="G147" s="3" t="s">
        <v>169</v>
      </c>
      <c r="H147" s="3" t="n">
        <v>97</v>
      </c>
      <c r="I147" s="4" t="n">
        <v>95</v>
      </c>
      <c r="J147" s="4" t="n">
        <f aca="false">H147*I147</f>
        <v>9215</v>
      </c>
      <c r="K147" s="3" t="s">
        <v>1685</v>
      </c>
      <c r="L147" s="3" t="s">
        <v>1686</v>
      </c>
    </row>
    <row r="148" customFormat="false" ht="15" hidden="false" customHeight="false" outlineLevel="0" collapsed="false">
      <c r="A148" s="6" t="s">
        <v>1952</v>
      </c>
      <c r="B148" s="6" t="s">
        <v>1953</v>
      </c>
      <c r="C148" s="6" t="s">
        <v>907</v>
      </c>
      <c r="D148" s="6" t="s">
        <v>21</v>
      </c>
      <c r="E148" s="6" t="s">
        <v>158</v>
      </c>
      <c r="F148" s="6" t="s">
        <v>157</v>
      </c>
      <c r="G148" s="6" t="s">
        <v>17</v>
      </c>
      <c r="H148" s="6" t="n">
        <v>78</v>
      </c>
      <c r="I148" s="7" t="n">
        <v>75000</v>
      </c>
      <c r="J148" s="7" t="n">
        <f aca="false">H148*I148</f>
        <v>5850000</v>
      </c>
      <c r="K148" s="6" t="s">
        <v>1675</v>
      </c>
      <c r="L148" s="6" t="s">
        <v>1682</v>
      </c>
    </row>
    <row r="149" customFormat="false" ht="15" hidden="false" customHeight="false" outlineLevel="0" collapsed="false">
      <c r="A149" s="3" t="s">
        <v>1954</v>
      </c>
      <c r="B149" s="3" t="s">
        <v>1955</v>
      </c>
      <c r="C149" s="3" t="s">
        <v>1107</v>
      </c>
      <c r="D149" s="3" t="s">
        <v>556</v>
      </c>
      <c r="E149" s="3" t="s">
        <v>571</v>
      </c>
      <c r="F149" s="3" t="s">
        <v>570</v>
      </c>
      <c r="G149" s="3" t="s">
        <v>469</v>
      </c>
      <c r="H149" s="3" t="n">
        <v>28</v>
      </c>
      <c r="I149" s="4" t="n">
        <v>120</v>
      </c>
      <c r="J149" s="4" t="n">
        <f aca="false">H149*I149</f>
        <v>3360</v>
      </c>
      <c r="K149" s="3" t="s">
        <v>1679</v>
      </c>
      <c r="L149" s="3" t="s">
        <v>1676</v>
      </c>
    </row>
    <row r="150" customFormat="false" ht="15" hidden="false" customHeight="false" outlineLevel="0" collapsed="false">
      <c r="A150" s="6" t="s">
        <v>1956</v>
      </c>
      <c r="B150" s="6" t="s">
        <v>1957</v>
      </c>
      <c r="C150" s="6" t="s">
        <v>1019</v>
      </c>
      <c r="D150" s="6" t="s">
        <v>691</v>
      </c>
      <c r="E150" s="6" t="s">
        <v>699</v>
      </c>
      <c r="F150" s="6" t="s">
        <v>698</v>
      </c>
      <c r="G150" s="6" t="s">
        <v>609</v>
      </c>
      <c r="H150" s="6" t="n">
        <v>74</v>
      </c>
      <c r="I150" s="7" t="n">
        <v>120</v>
      </c>
      <c r="J150" s="7" t="n">
        <f aca="false">H150*I150</f>
        <v>8880</v>
      </c>
      <c r="K150" s="6" t="s">
        <v>1675</v>
      </c>
      <c r="L150" s="6" t="s">
        <v>1682</v>
      </c>
    </row>
    <row r="151" customFormat="false" ht="15" hidden="false" customHeight="false" outlineLevel="0" collapsed="false">
      <c r="A151" s="3" t="s">
        <v>1958</v>
      </c>
      <c r="B151" s="3" t="s">
        <v>1959</v>
      </c>
      <c r="C151" s="3" t="s">
        <v>998</v>
      </c>
      <c r="D151" s="3" t="s">
        <v>218</v>
      </c>
      <c r="E151" s="3" t="s">
        <v>259</v>
      </c>
      <c r="F151" s="3" t="s">
        <v>258</v>
      </c>
      <c r="G151" s="3" t="s">
        <v>169</v>
      </c>
      <c r="H151" s="3" t="n">
        <v>96</v>
      </c>
      <c r="I151" s="4" t="n">
        <v>650</v>
      </c>
      <c r="J151" s="4" t="n">
        <f aca="false">H151*I151</f>
        <v>62400</v>
      </c>
      <c r="K151" s="3" t="s">
        <v>1685</v>
      </c>
      <c r="L151" s="3" t="s">
        <v>1686</v>
      </c>
    </row>
    <row r="152" customFormat="false" ht="15" hidden="false" customHeight="false" outlineLevel="0" collapsed="false">
      <c r="A152" s="6" t="s">
        <v>1960</v>
      </c>
      <c r="B152" s="6" t="s">
        <v>1807</v>
      </c>
      <c r="C152" s="6" t="s">
        <v>1019</v>
      </c>
      <c r="D152" s="6" t="s">
        <v>691</v>
      </c>
      <c r="E152" s="6" t="s">
        <v>639</v>
      </c>
      <c r="F152" s="6" t="s">
        <v>638</v>
      </c>
      <c r="G152" s="6" t="s">
        <v>609</v>
      </c>
      <c r="H152" s="6" t="n">
        <v>27</v>
      </c>
      <c r="I152" s="7" t="n">
        <v>180</v>
      </c>
      <c r="J152" s="7" t="n">
        <f aca="false">H152*I152</f>
        <v>4860</v>
      </c>
      <c r="K152" s="6" t="s">
        <v>1689</v>
      </c>
      <c r="L152" s="6" t="s">
        <v>1676</v>
      </c>
    </row>
    <row r="153" customFormat="false" ht="15" hidden="false" customHeight="false" outlineLevel="0" collapsed="false">
      <c r="A153" s="3" t="s">
        <v>1961</v>
      </c>
      <c r="B153" s="3" t="s">
        <v>1840</v>
      </c>
      <c r="C153" s="3" t="s">
        <v>1060</v>
      </c>
      <c r="D153" s="3" t="s">
        <v>342</v>
      </c>
      <c r="E153" s="3" t="s">
        <v>445</v>
      </c>
      <c r="F153" s="3" t="s">
        <v>444</v>
      </c>
      <c r="G153" s="3" t="s">
        <v>330</v>
      </c>
      <c r="H153" s="3" t="n">
        <v>70</v>
      </c>
      <c r="I153" s="4" t="n">
        <v>250</v>
      </c>
      <c r="J153" s="4" t="n">
        <f aca="false">H153*I153</f>
        <v>17500</v>
      </c>
      <c r="K153" s="3" t="s">
        <v>1675</v>
      </c>
      <c r="L153" s="3" t="s">
        <v>1686</v>
      </c>
    </row>
    <row r="154" customFormat="false" ht="15" hidden="false" customHeight="false" outlineLevel="0" collapsed="false">
      <c r="A154" s="6" t="s">
        <v>1962</v>
      </c>
      <c r="B154" s="6" t="s">
        <v>1768</v>
      </c>
      <c r="C154" s="6" t="s">
        <v>1107</v>
      </c>
      <c r="D154" s="6" t="s">
        <v>556</v>
      </c>
      <c r="E154" s="6" t="s">
        <v>566</v>
      </c>
      <c r="F154" s="6" t="s">
        <v>565</v>
      </c>
      <c r="G154" s="6" t="s">
        <v>469</v>
      </c>
      <c r="H154" s="6" t="n">
        <v>16</v>
      </c>
      <c r="I154" s="7" t="n">
        <v>180</v>
      </c>
      <c r="J154" s="7" t="n">
        <f aca="false">H154*I154</f>
        <v>2880</v>
      </c>
      <c r="K154" s="6" t="s">
        <v>1679</v>
      </c>
      <c r="L154" s="6" t="s">
        <v>1676</v>
      </c>
    </row>
    <row r="155" customFormat="false" ht="15" hidden="false" customHeight="false" outlineLevel="0" collapsed="false">
      <c r="A155" s="3" t="s">
        <v>1963</v>
      </c>
      <c r="B155" s="3" t="s">
        <v>1964</v>
      </c>
      <c r="C155" s="3" t="s">
        <v>1156</v>
      </c>
      <c r="D155" s="3" t="s">
        <v>740</v>
      </c>
      <c r="E155" s="3" t="s">
        <v>787</v>
      </c>
      <c r="F155" s="3" t="s">
        <v>786</v>
      </c>
      <c r="G155" s="3" t="s">
        <v>731</v>
      </c>
      <c r="H155" s="3" t="n">
        <v>39</v>
      </c>
      <c r="I155" s="4" t="n">
        <v>650</v>
      </c>
      <c r="J155" s="4" t="n">
        <f aca="false">H155*I155</f>
        <v>25350</v>
      </c>
      <c r="K155" s="3" t="s">
        <v>1679</v>
      </c>
      <c r="L155" s="3" t="s">
        <v>1686</v>
      </c>
    </row>
    <row r="156" customFormat="false" ht="15" hidden="false" customHeight="false" outlineLevel="0" collapsed="false">
      <c r="A156" s="6" t="s">
        <v>1965</v>
      </c>
      <c r="B156" s="6" t="s">
        <v>1966</v>
      </c>
      <c r="C156" s="6" t="s">
        <v>1060</v>
      </c>
      <c r="D156" s="6" t="s">
        <v>342</v>
      </c>
      <c r="E156" s="6" t="s">
        <v>383</v>
      </c>
      <c r="F156" s="6" t="s">
        <v>382</v>
      </c>
      <c r="G156" s="6" t="s">
        <v>330</v>
      </c>
      <c r="H156" s="6" t="n">
        <v>73</v>
      </c>
      <c r="I156" s="7" t="n">
        <v>3200</v>
      </c>
      <c r="J156" s="7" t="n">
        <f aca="false">H156*I156</f>
        <v>233600</v>
      </c>
      <c r="K156" s="6" t="s">
        <v>1685</v>
      </c>
      <c r="L156" s="6" t="s">
        <v>1676</v>
      </c>
    </row>
    <row r="157" customFormat="false" ht="15" hidden="false" customHeight="false" outlineLevel="0" collapsed="false">
      <c r="A157" s="3" t="s">
        <v>1967</v>
      </c>
      <c r="B157" s="3" t="s">
        <v>1731</v>
      </c>
      <c r="C157" s="3" t="s">
        <v>1148</v>
      </c>
      <c r="D157" s="3" t="s">
        <v>854</v>
      </c>
      <c r="E157" s="3" t="s">
        <v>834</v>
      </c>
      <c r="F157" s="3" t="s">
        <v>833</v>
      </c>
      <c r="G157" s="3" t="s">
        <v>816</v>
      </c>
      <c r="H157" s="3" t="n">
        <v>86</v>
      </c>
      <c r="I157" s="4" t="n">
        <v>1200</v>
      </c>
      <c r="J157" s="4" t="n">
        <f aca="false">H157*I157</f>
        <v>103200</v>
      </c>
      <c r="K157" s="3" t="s">
        <v>1679</v>
      </c>
      <c r="L157" s="3" t="s">
        <v>1682</v>
      </c>
    </row>
    <row r="158" customFormat="false" ht="15" hidden="false" customHeight="false" outlineLevel="0" collapsed="false">
      <c r="A158" s="6" t="s">
        <v>1968</v>
      </c>
      <c r="B158" s="6" t="s">
        <v>1969</v>
      </c>
      <c r="C158" s="6" t="s">
        <v>960</v>
      </c>
      <c r="D158" s="6" t="s">
        <v>114</v>
      </c>
      <c r="E158" s="6" t="s">
        <v>34</v>
      </c>
      <c r="F158" s="6" t="s">
        <v>33</v>
      </c>
      <c r="G158" s="6" t="s">
        <v>17</v>
      </c>
      <c r="H158" s="6" t="n">
        <v>87</v>
      </c>
      <c r="I158" s="7" t="n">
        <v>185000</v>
      </c>
      <c r="J158" s="7" t="n">
        <f aca="false">H158*I158</f>
        <v>16095000</v>
      </c>
      <c r="K158" s="6" t="s">
        <v>1675</v>
      </c>
      <c r="L158" s="6" t="s">
        <v>1686</v>
      </c>
    </row>
    <row r="159" customFormat="false" ht="15" hidden="false" customHeight="false" outlineLevel="0" collapsed="false">
      <c r="A159" s="3" t="s">
        <v>1970</v>
      </c>
      <c r="B159" s="3" t="s">
        <v>1971</v>
      </c>
      <c r="C159" s="3" t="s">
        <v>1121</v>
      </c>
      <c r="D159" s="3" t="s">
        <v>613</v>
      </c>
      <c r="E159" s="3" t="s">
        <v>677</v>
      </c>
      <c r="F159" s="3" t="s">
        <v>676</v>
      </c>
      <c r="G159" s="3" t="s">
        <v>609</v>
      </c>
      <c r="H159" s="3" t="n">
        <v>25</v>
      </c>
      <c r="I159" s="4" t="n">
        <v>2800</v>
      </c>
      <c r="J159" s="4" t="n">
        <f aca="false">H159*I159</f>
        <v>70000</v>
      </c>
      <c r="K159" s="3" t="s">
        <v>1679</v>
      </c>
      <c r="L159" s="3" t="s">
        <v>1686</v>
      </c>
    </row>
    <row r="160" customFormat="false" ht="15" hidden="false" customHeight="false" outlineLevel="0" collapsed="false">
      <c r="A160" s="6" t="s">
        <v>1972</v>
      </c>
      <c r="B160" s="6" t="s">
        <v>1884</v>
      </c>
      <c r="C160" s="6" t="s">
        <v>1103</v>
      </c>
      <c r="D160" s="6" t="s">
        <v>503</v>
      </c>
      <c r="E160" s="6" t="s">
        <v>521</v>
      </c>
      <c r="F160" s="6" t="s">
        <v>520</v>
      </c>
      <c r="G160" s="6" t="s">
        <v>469</v>
      </c>
      <c r="H160" s="6" t="n">
        <v>13</v>
      </c>
      <c r="I160" s="7" t="n">
        <v>3200</v>
      </c>
      <c r="J160" s="7" t="n">
        <f aca="false">H160*I160</f>
        <v>41600</v>
      </c>
      <c r="K160" s="6" t="s">
        <v>1679</v>
      </c>
      <c r="L160" s="6" t="s">
        <v>1676</v>
      </c>
    </row>
    <row r="161" customFormat="false" ht="15" hidden="false" customHeight="false" outlineLevel="0" collapsed="false">
      <c r="A161" s="3" t="s">
        <v>1973</v>
      </c>
      <c r="B161" s="3" t="s">
        <v>1974</v>
      </c>
      <c r="C161" s="3" t="s">
        <v>1019</v>
      </c>
      <c r="D161" s="3" t="s">
        <v>691</v>
      </c>
      <c r="E161" s="3" t="s">
        <v>712</v>
      </c>
      <c r="F161" s="3" t="s">
        <v>711</v>
      </c>
      <c r="G161" s="3" t="s">
        <v>609</v>
      </c>
      <c r="H161" s="3" t="n">
        <v>39</v>
      </c>
      <c r="I161" s="4" t="n">
        <v>200</v>
      </c>
      <c r="J161" s="4" t="n">
        <f aca="false">H161*I161</f>
        <v>7800</v>
      </c>
      <c r="K161" s="3" t="s">
        <v>1679</v>
      </c>
      <c r="L161" s="3" t="s">
        <v>1682</v>
      </c>
    </row>
    <row r="162" customFormat="false" ht="15" hidden="false" customHeight="false" outlineLevel="0" collapsed="false">
      <c r="A162" s="6" t="s">
        <v>1975</v>
      </c>
      <c r="B162" s="6" t="s">
        <v>1976</v>
      </c>
      <c r="C162" s="6" t="s">
        <v>1107</v>
      </c>
      <c r="D162" s="6" t="s">
        <v>556</v>
      </c>
      <c r="E162" s="6" t="s">
        <v>486</v>
      </c>
      <c r="F162" s="6" t="s">
        <v>485</v>
      </c>
      <c r="G162" s="6" t="s">
        <v>469</v>
      </c>
      <c r="H162" s="6" t="n">
        <v>99</v>
      </c>
      <c r="I162" s="7" t="n">
        <v>14000</v>
      </c>
      <c r="J162" s="7" t="n">
        <f aca="false">H162*I162</f>
        <v>1386000</v>
      </c>
      <c r="K162" s="6" t="s">
        <v>1675</v>
      </c>
      <c r="L162" s="6" t="s">
        <v>1682</v>
      </c>
    </row>
    <row r="163" customFormat="false" ht="15" hidden="false" customHeight="false" outlineLevel="0" collapsed="false">
      <c r="A163" s="3" t="s">
        <v>1977</v>
      </c>
      <c r="B163" s="3" t="s">
        <v>1978</v>
      </c>
      <c r="C163" s="3" t="s">
        <v>960</v>
      </c>
      <c r="D163" s="3" t="s">
        <v>114</v>
      </c>
      <c r="E163" s="3" t="s">
        <v>53</v>
      </c>
      <c r="F163" s="3" t="s">
        <v>52</v>
      </c>
      <c r="G163" s="3" t="s">
        <v>17</v>
      </c>
      <c r="H163" s="3" t="n">
        <v>72</v>
      </c>
      <c r="I163" s="4" t="n">
        <v>52000</v>
      </c>
      <c r="J163" s="4" t="n">
        <f aca="false">H163*I163</f>
        <v>3744000</v>
      </c>
      <c r="K163" s="3" t="s">
        <v>1689</v>
      </c>
      <c r="L163" s="3" t="s">
        <v>1682</v>
      </c>
    </row>
    <row r="164" customFormat="false" ht="15" hidden="false" customHeight="false" outlineLevel="0" collapsed="false">
      <c r="A164" s="6" t="s">
        <v>1979</v>
      </c>
      <c r="B164" s="6" t="s">
        <v>1787</v>
      </c>
      <c r="C164" s="6" t="s">
        <v>1064</v>
      </c>
      <c r="D164" s="6" t="s">
        <v>363</v>
      </c>
      <c r="E164" s="6" t="s">
        <v>355</v>
      </c>
      <c r="F164" s="6" t="s">
        <v>354</v>
      </c>
      <c r="G164" s="6" t="s">
        <v>330</v>
      </c>
      <c r="H164" s="6" t="n">
        <v>82</v>
      </c>
      <c r="I164" s="7" t="n">
        <v>1400</v>
      </c>
      <c r="J164" s="7" t="n">
        <f aca="false">H164*I164</f>
        <v>114800</v>
      </c>
      <c r="K164" s="6" t="s">
        <v>1685</v>
      </c>
      <c r="L164" s="6" t="s">
        <v>1686</v>
      </c>
    </row>
    <row r="165" customFormat="false" ht="15" hidden="false" customHeight="false" outlineLevel="0" collapsed="false">
      <c r="A165" s="3" t="s">
        <v>1980</v>
      </c>
      <c r="B165" s="3" t="s">
        <v>1981</v>
      </c>
      <c r="C165" s="3" t="s">
        <v>960</v>
      </c>
      <c r="D165" s="3" t="s">
        <v>114</v>
      </c>
      <c r="E165" s="3" t="s">
        <v>161</v>
      </c>
      <c r="F165" s="3" t="s">
        <v>160</v>
      </c>
      <c r="G165" s="3" t="s">
        <v>17</v>
      </c>
      <c r="H165" s="3" t="n">
        <v>97</v>
      </c>
      <c r="I165" s="4" t="n">
        <v>22000</v>
      </c>
      <c r="J165" s="4" t="n">
        <f aca="false">H165*I165</f>
        <v>2134000</v>
      </c>
      <c r="K165" s="3" t="s">
        <v>1685</v>
      </c>
      <c r="L165" s="3" t="s">
        <v>1686</v>
      </c>
    </row>
    <row r="166" customFormat="false" ht="15" hidden="false" customHeight="false" outlineLevel="0" collapsed="false">
      <c r="A166" s="6" t="s">
        <v>1982</v>
      </c>
      <c r="B166" s="6" t="s">
        <v>1983</v>
      </c>
      <c r="C166" s="6" t="s">
        <v>998</v>
      </c>
      <c r="D166" s="6" t="s">
        <v>218</v>
      </c>
      <c r="E166" s="6" t="s">
        <v>298</v>
      </c>
      <c r="F166" s="6" t="s">
        <v>297</v>
      </c>
      <c r="G166" s="6" t="s">
        <v>169</v>
      </c>
      <c r="H166" s="6" t="n">
        <v>42</v>
      </c>
      <c r="I166" s="7" t="n">
        <v>185</v>
      </c>
      <c r="J166" s="7" t="n">
        <f aca="false">H166*I166</f>
        <v>7770</v>
      </c>
      <c r="K166" s="6" t="s">
        <v>1685</v>
      </c>
      <c r="L166" s="6" t="s">
        <v>1682</v>
      </c>
    </row>
    <row r="167" customFormat="false" ht="15" hidden="false" customHeight="false" outlineLevel="0" collapsed="false">
      <c r="A167" s="3" t="s">
        <v>1984</v>
      </c>
      <c r="B167" s="3" t="s">
        <v>1799</v>
      </c>
      <c r="C167" s="3" t="s">
        <v>960</v>
      </c>
      <c r="D167" s="3" t="s">
        <v>114</v>
      </c>
      <c r="E167" s="3" t="s">
        <v>132</v>
      </c>
      <c r="F167" s="3" t="s">
        <v>131</v>
      </c>
      <c r="G167" s="3" t="s">
        <v>17</v>
      </c>
      <c r="H167" s="3" t="n">
        <v>85</v>
      </c>
      <c r="I167" s="4" t="n">
        <v>95000</v>
      </c>
      <c r="J167" s="4" t="n">
        <f aca="false">H167*I167</f>
        <v>8075000</v>
      </c>
      <c r="K167" s="3" t="s">
        <v>1689</v>
      </c>
      <c r="L167" s="3" t="s">
        <v>1686</v>
      </c>
    </row>
    <row r="168" customFormat="false" ht="15" hidden="false" customHeight="false" outlineLevel="0" collapsed="false">
      <c r="A168" s="6" t="s">
        <v>1985</v>
      </c>
      <c r="B168" s="6" t="s">
        <v>1986</v>
      </c>
      <c r="C168" s="6" t="s">
        <v>1060</v>
      </c>
      <c r="D168" s="6" t="s">
        <v>342</v>
      </c>
      <c r="E168" s="6" t="s">
        <v>467</v>
      </c>
      <c r="F168" s="6" t="s">
        <v>466</v>
      </c>
      <c r="G168" s="6" t="s">
        <v>330</v>
      </c>
      <c r="H168" s="6" t="n">
        <v>26</v>
      </c>
      <c r="I168" s="7" t="n">
        <v>550</v>
      </c>
      <c r="J168" s="7" t="n">
        <f aca="false">H168*I168</f>
        <v>14300</v>
      </c>
      <c r="K168" s="6" t="s">
        <v>1685</v>
      </c>
      <c r="L168" s="6" t="s">
        <v>1676</v>
      </c>
    </row>
    <row r="169" customFormat="false" ht="15" hidden="false" customHeight="false" outlineLevel="0" collapsed="false">
      <c r="A169" s="3" t="s">
        <v>1987</v>
      </c>
      <c r="B169" s="3" t="s">
        <v>1707</v>
      </c>
      <c r="C169" s="3" t="s">
        <v>1107</v>
      </c>
      <c r="D169" s="3" t="s">
        <v>556</v>
      </c>
      <c r="E169" s="3" t="s">
        <v>607</v>
      </c>
      <c r="F169" s="3" t="s">
        <v>606</v>
      </c>
      <c r="G169" s="3" t="s">
        <v>469</v>
      </c>
      <c r="H169" s="3" t="n">
        <v>26</v>
      </c>
      <c r="I169" s="4" t="n">
        <v>450</v>
      </c>
      <c r="J169" s="4" t="n">
        <f aca="false">H169*I169</f>
        <v>11700</v>
      </c>
      <c r="K169" s="3" t="s">
        <v>1675</v>
      </c>
      <c r="L169" s="3" t="s">
        <v>1686</v>
      </c>
    </row>
    <row r="170" customFormat="false" ht="15" hidden="false" customHeight="false" outlineLevel="0" collapsed="false">
      <c r="A170" s="6" t="s">
        <v>1988</v>
      </c>
      <c r="B170" s="6" t="s">
        <v>1684</v>
      </c>
      <c r="C170" s="6" t="s">
        <v>1103</v>
      </c>
      <c r="D170" s="6" t="s">
        <v>503</v>
      </c>
      <c r="E170" s="6" t="s">
        <v>472</v>
      </c>
      <c r="F170" s="6" t="s">
        <v>471</v>
      </c>
      <c r="G170" s="6" t="s">
        <v>469</v>
      </c>
      <c r="H170" s="6" t="n">
        <v>25</v>
      </c>
      <c r="I170" s="7" t="n">
        <v>850</v>
      </c>
      <c r="J170" s="7" t="n">
        <f aca="false">H170*I170</f>
        <v>21250</v>
      </c>
      <c r="K170" s="6" t="s">
        <v>1685</v>
      </c>
      <c r="L170" s="6" t="s">
        <v>1676</v>
      </c>
    </row>
    <row r="171" customFormat="false" ht="15" hidden="false" customHeight="false" outlineLevel="0" collapsed="false">
      <c r="A171" s="3" t="s">
        <v>1989</v>
      </c>
      <c r="B171" s="3" t="s">
        <v>1990</v>
      </c>
      <c r="C171" s="3" t="s">
        <v>1019</v>
      </c>
      <c r="D171" s="3" t="s">
        <v>691</v>
      </c>
      <c r="E171" s="3" t="s">
        <v>699</v>
      </c>
      <c r="F171" s="3" t="s">
        <v>698</v>
      </c>
      <c r="G171" s="3" t="s">
        <v>609</v>
      </c>
      <c r="H171" s="3" t="n">
        <v>21</v>
      </c>
      <c r="I171" s="4" t="n">
        <v>120</v>
      </c>
      <c r="J171" s="4" t="n">
        <f aca="false">H171*I171</f>
        <v>2520</v>
      </c>
      <c r="K171" s="3" t="s">
        <v>1675</v>
      </c>
      <c r="L171" s="3" t="s">
        <v>1676</v>
      </c>
    </row>
    <row r="172" customFormat="false" ht="15" hidden="false" customHeight="false" outlineLevel="0" collapsed="false">
      <c r="A172" s="6" t="s">
        <v>1991</v>
      </c>
      <c r="B172" s="6" t="s">
        <v>1941</v>
      </c>
      <c r="C172" s="6" t="s">
        <v>998</v>
      </c>
      <c r="D172" s="6" t="s">
        <v>218</v>
      </c>
      <c r="E172" s="6" t="s">
        <v>200</v>
      </c>
      <c r="F172" s="6" t="s">
        <v>199</v>
      </c>
      <c r="G172" s="6" t="s">
        <v>169</v>
      </c>
      <c r="H172" s="6" t="n">
        <v>73</v>
      </c>
      <c r="I172" s="7" t="n">
        <v>430</v>
      </c>
      <c r="J172" s="7" t="n">
        <f aca="false">H172*I172</f>
        <v>31390</v>
      </c>
      <c r="K172" s="6" t="s">
        <v>1679</v>
      </c>
      <c r="L172" s="6" t="s">
        <v>1676</v>
      </c>
    </row>
    <row r="173" customFormat="false" ht="15" hidden="false" customHeight="false" outlineLevel="0" collapsed="false">
      <c r="A173" s="3" t="s">
        <v>1992</v>
      </c>
      <c r="B173" s="3" t="s">
        <v>1852</v>
      </c>
      <c r="C173" s="3" t="s">
        <v>1060</v>
      </c>
      <c r="D173" s="3" t="s">
        <v>342</v>
      </c>
      <c r="E173" s="3" t="s">
        <v>337</v>
      </c>
      <c r="F173" s="3" t="s">
        <v>336</v>
      </c>
      <c r="G173" s="3" t="s">
        <v>330</v>
      </c>
      <c r="H173" s="3" t="n">
        <v>64</v>
      </c>
      <c r="I173" s="4" t="n">
        <v>1500</v>
      </c>
      <c r="J173" s="4" t="n">
        <f aca="false">H173*I173</f>
        <v>96000</v>
      </c>
      <c r="K173" s="3" t="s">
        <v>1685</v>
      </c>
      <c r="L173" s="3" t="s">
        <v>1686</v>
      </c>
    </row>
    <row r="174" customFormat="false" ht="15" hidden="false" customHeight="false" outlineLevel="0" collapsed="false">
      <c r="A174" s="6" t="s">
        <v>1993</v>
      </c>
      <c r="B174" s="6" t="s">
        <v>1946</v>
      </c>
      <c r="C174" s="6" t="s">
        <v>907</v>
      </c>
      <c r="D174" s="6" t="s">
        <v>21</v>
      </c>
      <c r="E174" s="6" t="s">
        <v>99</v>
      </c>
      <c r="F174" s="6" t="s">
        <v>98</v>
      </c>
      <c r="G174" s="6" t="s">
        <v>17</v>
      </c>
      <c r="H174" s="6" t="n">
        <v>88</v>
      </c>
      <c r="I174" s="7" t="n">
        <v>78000</v>
      </c>
      <c r="J174" s="7" t="n">
        <f aca="false">H174*I174</f>
        <v>6864000</v>
      </c>
      <c r="K174" s="6" t="s">
        <v>1685</v>
      </c>
      <c r="L174" s="6" t="s">
        <v>1676</v>
      </c>
    </row>
    <row r="175" customFormat="false" ht="15" hidden="false" customHeight="false" outlineLevel="0" collapsed="false">
      <c r="A175" s="3" t="s">
        <v>1994</v>
      </c>
      <c r="B175" s="3" t="s">
        <v>1948</v>
      </c>
      <c r="C175" s="3" t="s">
        <v>965</v>
      </c>
      <c r="D175" s="3" t="s">
        <v>133</v>
      </c>
      <c r="E175" s="3" t="s">
        <v>99</v>
      </c>
      <c r="F175" s="3" t="s">
        <v>98</v>
      </c>
      <c r="G175" s="3" t="s">
        <v>17</v>
      </c>
      <c r="H175" s="3" t="n">
        <v>77</v>
      </c>
      <c r="I175" s="4" t="n">
        <v>78000</v>
      </c>
      <c r="J175" s="4" t="n">
        <f aca="false">H175*I175</f>
        <v>6006000</v>
      </c>
      <c r="K175" s="3" t="s">
        <v>1679</v>
      </c>
      <c r="L175" s="3" t="s">
        <v>1686</v>
      </c>
    </row>
    <row r="176" customFormat="false" ht="15" hidden="false" customHeight="false" outlineLevel="0" collapsed="false">
      <c r="A176" s="6" t="s">
        <v>1995</v>
      </c>
      <c r="B176" s="6" t="s">
        <v>1996</v>
      </c>
      <c r="C176" s="6" t="s">
        <v>1156</v>
      </c>
      <c r="D176" s="6" t="s">
        <v>740</v>
      </c>
      <c r="E176" s="6" t="s">
        <v>747</v>
      </c>
      <c r="F176" s="6" t="s">
        <v>746</v>
      </c>
      <c r="G176" s="6" t="s">
        <v>731</v>
      </c>
      <c r="H176" s="6" t="n">
        <v>78</v>
      </c>
      <c r="I176" s="7" t="n">
        <v>180</v>
      </c>
      <c r="J176" s="7" t="n">
        <f aca="false">H176*I176</f>
        <v>14040</v>
      </c>
      <c r="K176" s="6" t="s">
        <v>1685</v>
      </c>
      <c r="L176" s="6" t="s">
        <v>1682</v>
      </c>
    </row>
    <row r="177" customFormat="false" ht="15" hidden="false" customHeight="false" outlineLevel="0" collapsed="false">
      <c r="A177" s="3" t="s">
        <v>1997</v>
      </c>
      <c r="B177" s="3" t="s">
        <v>1998</v>
      </c>
      <c r="C177" s="3" t="s">
        <v>1055</v>
      </c>
      <c r="D177" s="3" t="s">
        <v>334</v>
      </c>
      <c r="E177" s="3" t="s">
        <v>333</v>
      </c>
      <c r="F177" s="3" t="s">
        <v>332</v>
      </c>
      <c r="G177" s="3" t="s">
        <v>330</v>
      </c>
      <c r="H177" s="3" t="n">
        <v>69</v>
      </c>
      <c r="I177" s="4" t="n">
        <v>1200</v>
      </c>
      <c r="J177" s="4" t="n">
        <f aca="false">H177*I177</f>
        <v>82800</v>
      </c>
      <c r="K177" s="3" t="s">
        <v>1689</v>
      </c>
      <c r="L177" s="3" t="s">
        <v>1682</v>
      </c>
    </row>
    <row r="178" customFormat="false" ht="15" hidden="false" customHeight="false" outlineLevel="0" collapsed="false">
      <c r="A178" s="6" t="s">
        <v>1999</v>
      </c>
      <c r="B178" s="6" t="s">
        <v>1779</v>
      </c>
      <c r="C178" s="6" t="s">
        <v>1107</v>
      </c>
      <c r="D178" s="6" t="s">
        <v>556</v>
      </c>
      <c r="E178" s="6" t="s">
        <v>513</v>
      </c>
      <c r="F178" s="6" t="s">
        <v>512</v>
      </c>
      <c r="G178" s="6" t="s">
        <v>469</v>
      </c>
      <c r="H178" s="6" t="n">
        <v>94</v>
      </c>
      <c r="I178" s="7" t="n">
        <v>2800</v>
      </c>
      <c r="J178" s="7" t="n">
        <f aca="false">H178*I178</f>
        <v>263200</v>
      </c>
      <c r="K178" s="6" t="s">
        <v>1675</v>
      </c>
      <c r="L178" s="6" t="s">
        <v>1686</v>
      </c>
    </row>
    <row r="179" customFormat="false" ht="15" hidden="false" customHeight="false" outlineLevel="0" collapsed="false">
      <c r="A179" s="3" t="s">
        <v>2000</v>
      </c>
      <c r="B179" s="3" t="s">
        <v>2001</v>
      </c>
      <c r="C179" s="3" t="s">
        <v>1103</v>
      </c>
      <c r="D179" s="3" t="s">
        <v>503</v>
      </c>
      <c r="E179" s="3" t="s">
        <v>526</v>
      </c>
      <c r="F179" s="3" t="s">
        <v>525</v>
      </c>
      <c r="G179" s="3" t="s">
        <v>469</v>
      </c>
      <c r="H179" s="3" t="n">
        <v>41</v>
      </c>
      <c r="I179" s="4" t="n">
        <v>1200</v>
      </c>
      <c r="J179" s="4" t="n">
        <f aca="false">H179*I179</f>
        <v>49200</v>
      </c>
      <c r="K179" s="3" t="s">
        <v>1689</v>
      </c>
      <c r="L179" s="3" t="s">
        <v>1676</v>
      </c>
    </row>
    <row r="180" customFormat="false" ht="15" hidden="false" customHeight="false" outlineLevel="0" collapsed="false">
      <c r="A180" s="6" t="s">
        <v>2002</v>
      </c>
      <c r="B180" s="6" t="s">
        <v>1860</v>
      </c>
      <c r="C180" s="6" t="s">
        <v>998</v>
      </c>
      <c r="D180" s="6" t="s">
        <v>218</v>
      </c>
      <c r="E180" s="6" t="s">
        <v>287</v>
      </c>
      <c r="F180" s="6" t="s">
        <v>286</v>
      </c>
      <c r="G180" s="6" t="s">
        <v>169</v>
      </c>
      <c r="H180" s="6" t="n">
        <v>79</v>
      </c>
      <c r="I180" s="7" t="n">
        <v>180</v>
      </c>
      <c r="J180" s="7" t="n">
        <f aca="false">H180*I180</f>
        <v>14220</v>
      </c>
      <c r="K180" s="6" t="s">
        <v>1689</v>
      </c>
      <c r="L180" s="6" t="s">
        <v>1676</v>
      </c>
    </row>
    <row r="181" customFormat="false" ht="15" hidden="false" customHeight="false" outlineLevel="0" collapsed="false">
      <c r="A181" s="3" t="s">
        <v>2003</v>
      </c>
      <c r="B181" s="3" t="s">
        <v>2004</v>
      </c>
      <c r="C181" s="3" t="s">
        <v>1060</v>
      </c>
      <c r="D181" s="3" t="s">
        <v>342</v>
      </c>
      <c r="E181" s="3" t="s">
        <v>431</v>
      </c>
      <c r="F181" s="3" t="s">
        <v>430</v>
      </c>
      <c r="G181" s="3" t="s">
        <v>330</v>
      </c>
      <c r="H181" s="3" t="n">
        <v>46</v>
      </c>
      <c r="I181" s="4" t="n">
        <v>2200</v>
      </c>
      <c r="J181" s="4" t="n">
        <f aca="false">H181*I181</f>
        <v>101200</v>
      </c>
      <c r="K181" s="3" t="s">
        <v>1685</v>
      </c>
      <c r="L181" s="3" t="s">
        <v>1676</v>
      </c>
    </row>
    <row r="182" customFormat="false" ht="15" hidden="false" customHeight="false" outlineLevel="0" collapsed="false">
      <c r="A182" s="6" t="s">
        <v>2005</v>
      </c>
      <c r="B182" s="6" t="s">
        <v>2006</v>
      </c>
      <c r="C182" s="6" t="s">
        <v>907</v>
      </c>
      <c r="D182" s="6" t="s">
        <v>21</v>
      </c>
      <c r="E182" s="6" t="s">
        <v>139</v>
      </c>
      <c r="F182" s="6" t="s">
        <v>138</v>
      </c>
      <c r="G182" s="6" t="s">
        <v>17</v>
      </c>
      <c r="H182" s="6" t="n">
        <v>18</v>
      </c>
      <c r="I182" s="7" t="n">
        <v>80000</v>
      </c>
      <c r="J182" s="7" t="n">
        <f aca="false">H182*I182</f>
        <v>1440000</v>
      </c>
      <c r="K182" s="6" t="s">
        <v>1685</v>
      </c>
      <c r="L182" s="6" t="s">
        <v>1686</v>
      </c>
    </row>
    <row r="183" customFormat="false" ht="15" hidden="false" customHeight="false" outlineLevel="0" collapsed="false">
      <c r="A183" s="3" t="s">
        <v>2007</v>
      </c>
      <c r="B183" s="3" t="s">
        <v>2008</v>
      </c>
      <c r="C183" s="3" t="s">
        <v>998</v>
      </c>
      <c r="D183" s="3" t="s">
        <v>218</v>
      </c>
      <c r="E183" s="3" t="s">
        <v>208</v>
      </c>
      <c r="F183" s="3" t="s">
        <v>207</v>
      </c>
      <c r="G183" s="3" t="s">
        <v>169</v>
      </c>
      <c r="H183" s="3" t="n">
        <v>92</v>
      </c>
      <c r="I183" s="4" t="n">
        <v>1100</v>
      </c>
      <c r="J183" s="4" t="n">
        <f aca="false">H183*I183</f>
        <v>101200</v>
      </c>
      <c r="K183" s="3" t="s">
        <v>1679</v>
      </c>
      <c r="L183" s="3" t="s">
        <v>1676</v>
      </c>
    </row>
    <row r="184" customFormat="false" ht="15" hidden="false" customHeight="false" outlineLevel="0" collapsed="false">
      <c r="A184" s="6" t="s">
        <v>2009</v>
      </c>
      <c r="B184" s="6" t="s">
        <v>1959</v>
      </c>
      <c r="C184" s="6" t="s">
        <v>1103</v>
      </c>
      <c r="D184" s="6" t="s">
        <v>503</v>
      </c>
      <c r="E184" s="6" t="s">
        <v>602</v>
      </c>
      <c r="F184" s="6" t="s">
        <v>601</v>
      </c>
      <c r="G184" s="6" t="s">
        <v>469</v>
      </c>
      <c r="H184" s="6" t="n">
        <v>86</v>
      </c>
      <c r="I184" s="7" t="n">
        <v>280</v>
      </c>
      <c r="J184" s="7" t="n">
        <f aca="false">H184*I184</f>
        <v>24080</v>
      </c>
      <c r="K184" s="6" t="s">
        <v>1679</v>
      </c>
      <c r="L184" s="6" t="s">
        <v>1686</v>
      </c>
    </row>
    <row r="185" customFormat="false" ht="15" hidden="false" customHeight="false" outlineLevel="0" collapsed="false">
      <c r="A185" s="3" t="s">
        <v>2010</v>
      </c>
      <c r="B185" s="3" t="s">
        <v>2011</v>
      </c>
      <c r="C185" s="3" t="s">
        <v>998</v>
      </c>
      <c r="D185" s="3" t="s">
        <v>218</v>
      </c>
      <c r="E185" s="3" t="s">
        <v>225</v>
      </c>
      <c r="F185" s="3" t="s">
        <v>224</v>
      </c>
      <c r="G185" s="3" t="s">
        <v>169</v>
      </c>
      <c r="H185" s="3" t="n">
        <v>97</v>
      </c>
      <c r="I185" s="4" t="n">
        <v>75</v>
      </c>
      <c r="J185" s="4" t="n">
        <f aca="false">H185*I185</f>
        <v>7275</v>
      </c>
      <c r="K185" s="3" t="s">
        <v>1675</v>
      </c>
      <c r="L185" s="3" t="s">
        <v>1676</v>
      </c>
    </row>
    <row r="186" customFormat="false" ht="15" hidden="false" customHeight="false" outlineLevel="0" collapsed="false">
      <c r="A186" s="6" t="s">
        <v>2012</v>
      </c>
      <c r="B186" s="6" t="s">
        <v>2013</v>
      </c>
      <c r="C186" s="6" t="s">
        <v>960</v>
      </c>
      <c r="D186" s="6" t="s">
        <v>114</v>
      </c>
      <c r="E186" s="6" t="s">
        <v>29</v>
      </c>
      <c r="F186" s="6" t="s">
        <v>28</v>
      </c>
      <c r="G186" s="6" t="s">
        <v>17</v>
      </c>
      <c r="H186" s="6" t="n">
        <v>65</v>
      </c>
      <c r="I186" s="7" t="n">
        <v>240000</v>
      </c>
      <c r="J186" s="7" t="n">
        <f aca="false">H186*I186</f>
        <v>15600000</v>
      </c>
      <c r="K186" s="6" t="s">
        <v>1679</v>
      </c>
      <c r="L186" s="6" t="s">
        <v>1686</v>
      </c>
    </row>
    <row r="187" customFormat="false" ht="15" hidden="false" customHeight="false" outlineLevel="0" collapsed="false">
      <c r="A187" s="3" t="s">
        <v>2014</v>
      </c>
      <c r="B187" s="3" t="s">
        <v>1935</v>
      </c>
      <c r="C187" s="3" t="s">
        <v>1126</v>
      </c>
      <c r="D187" s="3" t="s">
        <v>621</v>
      </c>
      <c r="E187" s="3" t="s">
        <v>652</v>
      </c>
      <c r="F187" s="3" t="s">
        <v>651</v>
      </c>
      <c r="G187" s="3" t="s">
        <v>609</v>
      </c>
      <c r="H187" s="3" t="n">
        <v>77</v>
      </c>
      <c r="I187" s="4" t="n">
        <v>145</v>
      </c>
      <c r="J187" s="4" t="n">
        <f aca="false">H187*I187</f>
        <v>11165</v>
      </c>
      <c r="K187" s="3" t="s">
        <v>1679</v>
      </c>
      <c r="L187" s="3" t="s">
        <v>1676</v>
      </c>
    </row>
    <row r="188" customFormat="false" ht="15" hidden="false" customHeight="false" outlineLevel="0" collapsed="false">
      <c r="A188" s="6" t="s">
        <v>2015</v>
      </c>
      <c r="B188" s="6" t="s">
        <v>1824</v>
      </c>
      <c r="C188" s="6" t="s">
        <v>1064</v>
      </c>
      <c r="D188" s="6" t="s">
        <v>363</v>
      </c>
      <c r="E188" s="6" t="s">
        <v>337</v>
      </c>
      <c r="F188" s="6" t="s">
        <v>336</v>
      </c>
      <c r="G188" s="6" t="s">
        <v>330</v>
      </c>
      <c r="H188" s="6" t="n">
        <v>27</v>
      </c>
      <c r="I188" s="7" t="n">
        <v>1500</v>
      </c>
      <c r="J188" s="7" t="n">
        <f aca="false">H188*I188</f>
        <v>40500</v>
      </c>
      <c r="K188" s="6" t="s">
        <v>1675</v>
      </c>
      <c r="L188" s="6" t="s">
        <v>1676</v>
      </c>
    </row>
    <row r="189" customFormat="false" ht="15" hidden="false" customHeight="false" outlineLevel="0" collapsed="false">
      <c r="A189" s="3" t="s">
        <v>2016</v>
      </c>
      <c r="B189" s="3" t="s">
        <v>1703</v>
      </c>
      <c r="C189" s="3" t="s">
        <v>1019</v>
      </c>
      <c r="D189" s="3" t="s">
        <v>691</v>
      </c>
      <c r="E189" s="3" t="s">
        <v>684</v>
      </c>
      <c r="F189" s="3" t="s">
        <v>683</v>
      </c>
      <c r="G189" s="3" t="s">
        <v>609</v>
      </c>
      <c r="H189" s="3" t="n">
        <v>44</v>
      </c>
      <c r="I189" s="4" t="n">
        <v>3500</v>
      </c>
      <c r="J189" s="4" t="n">
        <f aca="false">H189*I189</f>
        <v>154000</v>
      </c>
      <c r="K189" s="3" t="s">
        <v>1685</v>
      </c>
      <c r="L189" s="3" t="s">
        <v>1676</v>
      </c>
    </row>
    <row r="190" customFormat="false" ht="15" hidden="false" customHeight="false" outlineLevel="0" collapsed="false">
      <c r="A190" s="6" t="s">
        <v>2017</v>
      </c>
      <c r="B190" s="6" t="s">
        <v>2018</v>
      </c>
      <c r="C190" s="6" t="s">
        <v>985</v>
      </c>
      <c r="D190" s="6" t="s">
        <v>173</v>
      </c>
      <c r="E190" s="6" t="s">
        <v>195</v>
      </c>
      <c r="F190" s="6" t="s">
        <v>194</v>
      </c>
      <c r="G190" s="6" t="s">
        <v>169</v>
      </c>
      <c r="H190" s="6" t="n">
        <v>53</v>
      </c>
      <c r="I190" s="7" t="n">
        <v>2000</v>
      </c>
      <c r="J190" s="7" t="n">
        <f aca="false">H190*I190</f>
        <v>106000</v>
      </c>
      <c r="K190" s="6" t="s">
        <v>1675</v>
      </c>
      <c r="L190" s="6" t="s">
        <v>1686</v>
      </c>
    </row>
    <row r="191" customFormat="false" ht="15" hidden="false" customHeight="false" outlineLevel="0" collapsed="false">
      <c r="A191" s="3" t="s">
        <v>2019</v>
      </c>
      <c r="B191" s="3" t="s">
        <v>2020</v>
      </c>
      <c r="C191" s="3" t="s">
        <v>1064</v>
      </c>
      <c r="D191" s="3" t="s">
        <v>363</v>
      </c>
      <c r="E191" s="3" t="s">
        <v>451</v>
      </c>
      <c r="F191" s="3" t="s">
        <v>450</v>
      </c>
      <c r="G191" s="3" t="s">
        <v>330</v>
      </c>
      <c r="H191" s="3" t="n">
        <v>77</v>
      </c>
      <c r="I191" s="4" t="n">
        <v>200</v>
      </c>
      <c r="J191" s="4" t="n">
        <f aca="false">H191*I191</f>
        <v>15400</v>
      </c>
      <c r="K191" s="3" t="s">
        <v>1675</v>
      </c>
      <c r="L191" s="3" t="s">
        <v>1676</v>
      </c>
    </row>
    <row r="192" customFormat="false" ht="15" hidden="false" customHeight="false" outlineLevel="0" collapsed="false">
      <c r="A192" s="6" t="s">
        <v>2021</v>
      </c>
      <c r="B192" s="6" t="s">
        <v>2022</v>
      </c>
      <c r="C192" s="6" t="s">
        <v>998</v>
      </c>
      <c r="D192" s="6" t="s">
        <v>218</v>
      </c>
      <c r="E192" s="6" t="s">
        <v>195</v>
      </c>
      <c r="F192" s="6" t="s">
        <v>194</v>
      </c>
      <c r="G192" s="6" t="s">
        <v>169</v>
      </c>
      <c r="H192" s="6" t="n">
        <v>40</v>
      </c>
      <c r="I192" s="7" t="n">
        <v>2000</v>
      </c>
      <c r="J192" s="7" t="n">
        <f aca="false">H192*I192</f>
        <v>80000</v>
      </c>
      <c r="K192" s="6" t="s">
        <v>1689</v>
      </c>
      <c r="L192" s="6" t="s">
        <v>1676</v>
      </c>
    </row>
    <row r="193" customFormat="false" ht="15" hidden="false" customHeight="false" outlineLevel="0" collapsed="false">
      <c r="A193" s="3" t="s">
        <v>2023</v>
      </c>
      <c r="B193" s="3" t="s">
        <v>1868</v>
      </c>
      <c r="C193" s="3" t="s">
        <v>1107</v>
      </c>
      <c r="D193" s="3" t="s">
        <v>556</v>
      </c>
      <c r="E193" s="3" t="s">
        <v>560</v>
      </c>
      <c r="F193" s="3" t="s">
        <v>559</v>
      </c>
      <c r="G193" s="3" t="s">
        <v>469</v>
      </c>
      <c r="H193" s="3" t="n">
        <v>96</v>
      </c>
      <c r="I193" s="4" t="n">
        <v>65</v>
      </c>
      <c r="J193" s="4" t="n">
        <f aca="false">H193*I193</f>
        <v>6240</v>
      </c>
      <c r="K193" s="3" t="s">
        <v>1689</v>
      </c>
      <c r="L193" s="3" t="s">
        <v>1686</v>
      </c>
    </row>
    <row r="194" customFormat="false" ht="15" hidden="false" customHeight="false" outlineLevel="0" collapsed="false">
      <c r="A194" s="6" t="s">
        <v>2024</v>
      </c>
      <c r="B194" s="6" t="s">
        <v>2025</v>
      </c>
      <c r="C194" s="6" t="s">
        <v>1064</v>
      </c>
      <c r="D194" s="6" t="s">
        <v>363</v>
      </c>
      <c r="E194" s="6" t="s">
        <v>383</v>
      </c>
      <c r="F194" s="6" t="s">
        <v>382</v>
      </c>
      <c r="G194" s="6" t="s">
        <v>330</v>
      </c>
      <c r="H194" s="6" t="n">
        <v>33</v>
      </c>
      <c r="I194" s="7" t="n">
        <v>3200</v>
      </c>
      <c r="J194" s="7" t="n">
        <f aca="false">H194*I194</f>
        <v>105600</v>
      </c>
      <c r="K194" s="6" t="s">
        <v>1685</v>
      </c>
      <c r="L194" s="6" t="s">
        <v>1682</v>
      </c>
    </row>
    <row r="195" customFormat="false" ht="15" hidden="false" customHeight="false" outlineLevel="0" collapsed="false">
      <c r="A195" s="3" t="s">
        <v>2026</v>
      </c>
      <c r="B195" s="3" t="s">
        <v>2022</v>
      </c>
      <c r="C195" s="3" t="s">
        <v>965</v>
      </c>
      <c r="D195" s="3" t="s">
        <v>133</v>
      </c>
      <c r="E195" s="3" t="s">
        <v>58</v>
      </c>
      <c r="F195" s="3" t="s">
        <v>57</v>
      </c>
      <c r="G195" s="3" t="s">
        <v>17</v>
      </c>
      <c r="H195" s="3" t="n">
        <v>6</v>
      </c>
      <c r="I195" s="4" t="n">
        <v>34000</v>
      </c>
      <c r="J195" s="4" t="n">
        <f aca="false">H195*I195</f>
        <v>204000</v>
      </c>
      <c r="K195" s="3" t="s">
        <v>1679</v>
      </c>
      <c r="L195" s="3" t="s">
        <v>1676</v>
      </c>
    </row>
    <row r="196" customFormat="false" ht="15" hidden="false" customHeight="false" outlineLevel="0" collapsed="false">
      <c r="A196" s="6" t="s">
        <v>2027</v>
      </c>
      <c r="B196" s="6" t="s">
        <v>2028</v>
      </c>
      <c r="C196" s="6" t="s">
        <v>994</v>
      </c>
      <c r="D196" s="6" t="s">
        <v>189</v>
      </c>
      <c r="E196" s="6" t="s">
        <v>236</v>
      </c>
      <c r="F196" s="6" t="s">
        <v>235</v>
      </c>
      <c r="G196" s="6" t="s">
        <v>169</v>
      </c>
      <c r="H196" s="6" t="n">
        <v>36</v>
      </c>
      <c r="I196" s="7" t="n">
        <v>75</v>
      </c>
      <c r="J196" s="7" t="n">
        <f aca="false">H196*I196</f>
        <v>2700</v>
      </c>
      <c r="K196" s="6" t="s">
        <v>1675</v>
      </c>
      <c r="L196" s="6" t="s">
        <v>1686</v>
      </c>
    </row>
    <row r="197" customFormat="false" ht="15" hidden="false" customHeight="false" outlineLevel="0" collapsed="false">
      <c r="A197" s="3" t="s">
        <v>2029</v>
      </c>
      <c r="B197" s="3" t="s">
        <v>1951</v>
      </c>
      <c r="C197" s="3" t="s">
        <v>1156</v>
      </c>
      <c r="D197" s="3" t="s">
        <v>740</v>
      </c>
      <c r="E197" s="3" t="s">
        <v>791</v>
      </c>
      <c r="F197" s="3" t="s">
        <v>790</v>
      </c>
      <c r="G197" s="3" t="s">
        <v>731</v>
      </c>
      <c r="H197" s="3" t="n">
        <v>62</v>
      </c>
      <c r="I197" s="4" t="n">
        <v>120</v>
      </c>
      <c r="J197" s="4" t="n">
        <f aca="false">H197*I197</f>
        <v>7440</v>
      </c>
      <c r="K197" s="3" t="s">
        <v>1685</v>
      </c>
      <c r="L197" s="3" t="s">
        <v>1682</v>
      </c>
    </row>
    <row r="198" customFormat="false" ht="15" hidden="false" customHeight="false" outlineLevel="0" collapsed="false">
      <c r="A198" s="6" t="s">
        <v>2030</v>
      </c>
      <c r="B198" s="6" t="s">
        <v>2031</v>
      </c>
      <c r="C198" s="6" t="s">
        <v>1121</v>
      </c>
      <c r="D198" s="6" t="s">
        <v>613</v>
      </c>
      <c r="E198" s="6" t="s">
        <v>684</v>
      </c>
      <c r="F198" s="6" t="s">
        <v>683</v>
      </c>
      <c r="G198" s="6" t="s">
        <v>609</v>
      </c>
      <c r="H198" s="6" t="n">
        <v>27</v>
      </c>
      <c r="I198" s="7" t="n">
        <v>3500</v>
      </c>
      <c r="J198" s="7" t="n">
        <f aca="false">H198*I198</f>
        <v>94500</v>
      </c>
      <c r="K198" s="6" t="s">
        <v>1679</v>
      </c>
      <c r="L198" s="6" t="s">
        <v>1682</v>
      </c>
    </row>
    <row r="199" customFormat="false" ht="15" hidden="false" customHeight="false" outlineLevel="0" collapsed="false">
      <c r="A199" s="3" t="s">
        <v>2032</v>
      </c>
      <c r="B199" s="3" t="s">
        <v>1709</v>
      </c>
      <c r="C199" s="3" t="s">
        <v>960</v>
      </c>
      <c r="D199" s="3" t="s">
        <v>114</v>
      </c>
      <c r="E199" s="3" t="s">
        <v>50</v>
      </c>
      <c r="F199" s="3" t="s">
        <v>49</v>
      </c>
      <c r="G199" s="3" t="s">
        <v>17</v>
      </c>
      <c r="H199" s="3" t="n">
        <v>24</v>
      </c>
      <c r="I199" s="4" t="n">
        <v>82000</v>
      </c>
      <c r="J199" s="4" t="n">
        <f aca="false">H199*I199</f>
        <v>1968000</v>
      </c>
      <c r="K199" s="3" t="s">
        <v>1689</v>
      </c>
      <c r="L199" s="3" t="s">
        <v>1686</v>
      </c>
    </row>
    <row r="200" customFormat="false" ht="15" hidden="false" customHeight="false" outlineLevel="0" collapsed="false">
      <c r="A200" s="6" t="s">
        <v>2033</v>
      </c>
      <c r="B200" s="6" t="s">
        <v>1890</v>
      </c>
      <c r="C200" s="6" t="s">
        <v>1139</v>
      </c>
      <c r="D200" s="6" t="s">
        <v>820</v>
      </c>
      <c r="E200" s="6" t="s">
        <v>881</v>
      </c>
      <c r="F200" s="6" t="s">
        <v>880</v>
      </c>
      <c r="G200" s="6" t="s">
        <v>816</v>
      </c>
      <c r="H200" s="6" t="n">
        <v>65</v>
      </c>
      <c r="I200" s="7" t="n">
        <v>2500</v>
      </c>
      <c r="J200" s="7" t="n">
        <f aca="false">H200*I200</f>
        <v>162500</v>
      </c>
      <c r="K200" s="6" t="s">
        <v>1675</v>
      </c>
      <c r="L200" s="6" t="s">
        <v>1686</v>
      </c>
    </row>
    <row r="201" customFormat="false" ht="15" hidden="false" customHeight="false" outlineLevel="0" collapsed="false">
      <c r="A201" s="3" t="s">
        <v>2034</v>
      </c>
      <c r="B201" s="3" t="s">
        <v>1752</v>
      </c>
      <c r="C201" s="3" t="s">
        <v>994</v>
      </c>
      <c r="D201" s="3" t="s">
        <v>189</v>
      </c>
      <c r="E201" s="3" t="s">
        <v>214</v>
      </c>
      <c r="F201" s="3" t="s">
        <v>213</v>
      </c>
      <c r="G201" s="3" t="s">
        <v>169</v>
      </c>
      <c r="H201" s="3" t="n">
        <v>95</v>
      </c>
      <c r="I201" s="4" t="n">
        <v>65</v>
      </c>
      <c r="J201" s="4" t="n">
        <f aca="false">H201*I201</f>
        <v>6175</v>
      </c>
      <c r="K201" s="3" t="s">
        <v>1689</v>
      </c>
      <c r="L201" s="3" t="s">
        <v>1686</v>
      </c>
    </row>
    <row r="202" customFormat="false" ht="15" hidden="false" customHeight="false" outlineLevel="0" collapsed="false">
      <c r="A202" s="6" t="s">
        <v>2035</v>
      </c>
      <c r="B202" s="6" t="s">
        <v>1935</v>
      </c>
      <c r="C202" s="6" t="s">
        <v>1103</v>
      </c>
      <c r="D202" s="6" t="s">
        <v>503</v>
      </c>
      <c r="E202" s="6" t="s">
        <v>526</v>
      </c>
      <c r="F202" s="6" t="s">
        <v>525</v>
      </c>
      <c r="G202" s="6" t="s">
        <v>469</v>
      </c>
      <c r="H202" s="6" t="n">
        <v>10</v>
      </c>
      <c r="I202" s="7" t="n">
        <v>1200</v>
      </c>
      <c r="J202" s="7" t="n">
        <f aca="false">H202*I202</f>
        <v>12000</v>
      </c>
      <c r="K202" s="6" t="s">
        <v>1685</v>
      </c>
      <c r="L202" s="6" t="s">
        <v>1676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20"/>
    <col collapsed="false" customWidth="true" hidden="false" outlineLevel="0" max="13" min="12" style="0" width="18"/>
  </cols>
  <sheetData>
    <row r="1" customFormat="false" ht="30" hidden="false" customHeight="true" outlineLevel="0" collapsed="false">
      <c r="A1" s="1" t="s">
        <v>2036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6.85" hidden="false" customHeight="false" outlineLevel="0" collapsed="false">
      <c r="A2" s="2" t="s">
        <v>2037</v>
      </c>
      <c r="B2" s="2" t="s">
        <v>1668</v>
      </c>
      <c r="C2" s="2" t="s">
        <v>1171</v>
      </c>
      <c r="D2" s="2" t="s">
        <v>1172</v>
      </c>
      <c r="E2" s="2" t="s">
        <v>1</v>
      </c>
      <c r="F2" s="2" t="s">
        <v>4</v>
      </c>
      <c r="G2" s="2" t="s">
        <v>2</v>
      </c>
      <c r="H2" s="2" t="s">
        <v>2038</v>
      </c>
      <c r="I2" s="2" t="s">
        <v>9</v>
      </c>
      <c r="J2" s="2" t="s">
        <v>10</v>
      </c>
      <c r="K2" s="2" t="s">
        <v>2039</v>
      </c>
      <c r="L2" s="2" t="s">
        <v>1671</v>
      </c>
      <c r="M2" s="2" t="s">
        <v>2040</v>
      </c>
    </row>
    <row r="3" customFormat="false" ht="15" hidden="false" customHeight="false" outlineLevel="0" collapsed="false">
      <c r="A3" s="3" t="s">
        <v>2041</v>
      </c>
      <c r="B3" s="3" t="s">
        <v>1691</v>
      </c>
      <c r="C3" s="3" t="s">
        <v>1657</v>
      </c>
      <c r="D3" s="3" t="s">
        <v>1658</v>
      </c>
      <c r="E3" s="3" t="s">
        <v>849</v>
      </c>
      <c r="F3" s="3" t="s">
        <v>848</v>
      </c>
      <c r="G3" s="3" t="s">
        <v>816</v>
      </c>
      <c r="H3" s="3" t="n">
        <v>10</v>
      </c>
      <c r="I3" s="4" t="n">
        <v>320</v>
      </c>
      <c r="J3" s="4" t="n">
        <v>480</v>
      </c>
      <c r="K3" s="4" t="n">
        <f aca="false">H3*J3</f>
        <v>4800</v>
      </c>
      <c r="L3" s="4" t="n">
        <f aca="false">H3*I3</f>
        <v>3200</v>
      </c>
      <c r="M3" s="4" t="n">
        <f aca="false">K3-L3</f>
        <v>1600</v>
      </c>
    </row>
    <row r="4" customFormat="false" ht="15" hidden="false" customHeight="false" outlineLevel="0" collapsed="false">
      <c r="A4" s="6" t="s">
        <v>2042</v>
      </c>
      <c r="B4" s="6" t="s">
        <v>2043</v>
      </c>
      <c r="C4" s="6" t="s">
        <v>1577</v>
      </c>
      <c r="D4" s="6" t="s">
        <v>1578</v>
      </c>
      <c r="E4" s="6" t="s">
        <v>739</v>
      </c>
      <c r="F4" s="6" t="s">
        <v>738</v>
      </c>
      <c r="G4" s="6" t="s">
        <v>731</v>
      </c>
      <c r="H4" s="6" t="n">
        <v>7</v>
      </c>
      <c r="I4" s="7" t="n">
        <v>180</v>
      </c>
      <c r="J4" s="7" t="n">
        <v>270</v>
      </c>
      <c r="K4" s="7" t="n">
        <f aca="false">H4*J4</f>
        <v>1890</v>
      </c>
      <c r="L4" s="7" t="n">
        <f aca="false">H4*I4</f>
        <v>1260</v>
      </c>
      <c r="M4" s="7" t="n">
        <f aca="false">K4-L4</f>
        <v>630</v>
      </c>
    </row>
    <row r="5" customFormat="false" ht="15" hidden="false" customHeight="false" outlineLevel="0" collapsed="false">
      <c r="A5" s="3" t="s">
        <v>2044</v>
      </c>
      <c r="B5" s="3" t="s">
        <v>2045</v>
      </c>
      <c r="C5" s="3" t="s">
        <v>1289</v>
      </c>
      <c r="D5" s="3" t="s">
        <v>1290</v>
      </c>
      <c r="E5" s="3" t="s">
        <v>625</v>
      </c>
      <c r="F5" s="3" t="s">
        <v>624</v>
      </c>
      <c r="G5" s="3" t="s">
        <v>609</v>
      </c>
      <c r="H5" s="3" t="n">
        <v>2</v>
      </c>
      <c r="I5" s="4" t="n">
        <v>45</v>
      </c>
      <c r="J5" s="4" t="n">
        <v>70</v>
      </c>
      <c r="K5" s="4" t="n">
        <f aca="false">H5*J5</f>
        <v>140</v>
      </c>
      <c r="L5" s="4" t="n">
        <f aca="false">H5*I5</f>
        <v>90</v>
      </c>
      <c r="M5" s="4" t="n">
        <f aca="false">K5-L5</f>
        <v>50</v>
      </c>
    </row>
    <row r="6" customFormat="false" ht="15" hidden="false" customHeight="false" outlineLevel="0" collapsed="false">
      <c r="A6" s="6" t="s">
        <v>2046</v>
      </c>
      <c r="B6" s="6" t="s">
        <v>2047</v>
      </c>
      <c r="C6" s="6" t="s">
        <v>1226</v>
      </c>
      <c r="D6" s="6" t="s">
        <v>1227</v>
      </c>
      <c r="E6" s="6" t="s">
        <v>451</v>
      </c>
      <c r="F6" s="6" t="s">
        <v>450</v>
      </c>
      <c r="G6" s="6" t="s">
        <v>330</v>
      </c>
      <c r="H6" s="6" t="n">
        <v>7</v>
      </c>
      <c r="I6" s="7" t="n">
        <v>200</v>
      </c>
      <c r="J6" s="7" t="n">
        <v>310</v>
      </c>
      <c r="K6" s="7" t="n">
        <f aca="false">H6*J6</f>
        <v>2170</v>
      </c>
      <c r="L6" s="7" t="n">
        <f aca="false">H6*I6</f>
        <v>1400</v>
      </c>
      <c r="M6" s="7" t="n">
        <f aca="false">K6-L6</f>
        <v>770</v>
      </c>
    </row>
    <row r="7" customFormat="false" ht="15" hidden="false" customHeight="false" outlineLevel="0" collapsed="false">
      <c r="A7" s="3" t="s">
        <v>2048</v>
      </c>
      <c r="B7" s="3" t="s">
        <v>1882</v>
      </c>
      <c r="C7" s="3" t="s">
        <v>1478</v>
      </c>
      <c r="D7" s="3" t="s">
        <v>1479</v>
      </c>
      <c r="E7" s="3" t="s">
        <v>362</v>
      </c>
      <c r="F7" s="3" t="s">
        <v>361</v>
      </c>
      <c r="G7" s="3" t="s">
        <v>330</v>
      </c>
      <c r="H7" s="3" t="n">
        <v>38</v>
      </c>
      <c r="I7" s="4" t="n">
        <v>1600</v>
      </c>
      <c r="J7" s="4" t="n">
        <v>2400</v>
      </c>
      <c r="K7" s="4" t="n">
        <f aca="false">H7*J7</f>
        <v>91200</v>
      </c>
      <c r="L7" s="4" t="n">
        <f aca="false">H7*I7</f>
        <v>60800</v>
      </c>
      <c r="M7" s="4" t="n">
        <f aca="false">K7-L7</f>
        <v>30400</v>
      </c>
    </row>
    <row r="8" customFormat="false" ht="15" hidden="false" customHeight="false" outlineLevel="0" collapsed="false">
      <c r="A8" s="6" t="s">
        <v>2049</v>
      </c>
      <c r="B8" s="6" t="s">
        <v>2050</v>
      </c>
      <c r="C8" s="6" t="s">
        <v>1314</v>
      </c>
      <c r="D8" s="6" t="s">
        <v>1315</v>
      </c>
      <c r="E8" s="6" t="s">
        <v>454</v>
      </c>
      <c r="F8" s="6" t="s">
        <v>453</v>
      </c>
      <c r="G8" s="6" t="s">
        <v>330</v>
      </c>
      <c r="H8" s="6" t="n">
        <v>13</v>
      </c>
      <c r="I8" s="7" t="n">
        <v>700</v>
      </c>
      <c r="J8" s="7" t="n">
        <v>1050</v>
      </c>
      <c r="K8" s="7" t="n">
        <f aca="false">H8*J8</f>
        <v>13650</v>
      </c>
      <c r="L8" s="7" t="n">
        <f aca="false">H8*I8</f>
        <v>9100</v>
      </c>
      <c r="M8" s="7" t="n">
        <f aca="false">K8-L8</f>
        <v>4550</v>
      </c>
    </row>
    <row r="9" customFormat="false" ht="15" hidden="false" customHeight="false" outlineLevel="0" collapsed="false">
      <c r="A9" s="3" t="s">
        <v>2051</v>
      </c>
      <c r="B9" s="3" t="s">
        <v>2052</v>
      </c>
      <c r="C9" s="3" t="s">
        <v>1606</v>
      </c>
      <c r="D9" s="3" t="s">
        <v>1607</v>
      </c>
      <c r="E9" s="3" t="s">
        <v>684</v>
      </c>
      <c r="F9" s="3" t="s">
        <v>683</v>
      </c>
      <c r="G9" s="3" t="s">
        <v>609</v>
      </c>
      <c r="H9" s="3" t="n">
        <v>22</v>
      </c>
      <c r="I9" s="4" t="n">
        <v>3500</v>
      </c>
      <c r="J9" s="4" t="n">
        <v>5200</v>
      </c>
      <c r="K9" s="4" t="n">
        <f aca="false">H9*J9</f>
        <v>114400</v>
      </c>
      <c r="L9" s="4" t="n">
        <f aca="false">H9*I9</f>
        <v>77000</v>
      </c>
      <c r="M9" s="4" t="n">
        <f aca="false">K9-L9</f>
        <v>37400</v>
      </c>
    </row>
    <row r="10" customFormat="false" ht="15" hidden="false" customHeight="false" outlineLevel="0" collapsed="false">
      <c r="A10" s="6" t="s">
        <v>2053</v>
      </c>
      <c r="B10" s="6" t="s">
        <v>2054</v>
      </c>
      <c r="C10" s="6" t="s">
        <v>1237</v>
      </c>
      <c r="D10" s="6" t="s">
        <v>1238</v>
      </c>
      <c r="E10" s="6" t="s">
        <v>467</v>
      </c>
      <c r="F10" s="6" t="s">
        <v>466</v>
      </c>
      <c r="G10" s="6" t="s">
        <v>330</v>
      </c>
      <c r="H10" s="6" t="n">
        <v>41</v>
      </c>
      <c r="I10" s="7" t="n">
        <v>550</v>
      </c>
      <c r="J10" s="7" t="n">
        <v>900</v>
      </c>
      <c r="K10" s="7" t="n">
        <f aca="false">H10*J10</f>
        <v>36900</v>
      </c>
      <c r="L10" s="7" t="n">
        <f aca="false">H10*I10</f>
        <v>22550</v>
      </c>
      <c r="M10" s="7" t="n">
        <f aca="false">K10-L10</f>
        <v>14350</v>
      </c>
    </row>
    <row r="11" customFormat="false" ht="15" hidden="false" customHeight="false" outlineLevel="0" collapsed="false">
      <c r="A11" s="3" t="s">
        <v>2055</v>
      </c>
      <c r="B11" s="3" t="s">
        <v>2056</v>
      </c>
      <c r="C11" s="3" t="s">
        <v>1488</v>
      </c>
      <c r="D11" s="3" t="s">
        <v>1489</v>
      </c>
      <c r="E11" s="3" t="s">
        <v>871</v>
      </c>
      <c r="F11" s="3" t="s">
        <v>870</v>
      </c>
      <c r="G11" s="3" t="s">
        <v>816</v>
      </c>
      <c r="H11" s="3" t="n">
        <v>26</v>
      </c>
      <c r="I11" s="4" t="n">
        <v>10500</v>
      </c>
      <c r="J11" s="4" t="n">
        <v>14000</v>
      </c>
      <c r="K11" s="4" t="n">
        <f aca="false">H11*J11</f>
        <v>364000</v>
      </c>
      <c r="L11" s="4" t="n">
        <f aca="false">H11*I11</f>
        <v>273000</v>
      </c>
      <c r="M11" s="4" t="n">
        <f aca="false">K11-L11</f>
        <v>91000</v>
      </c>
    </row>
    <row r="12" customFormat="false" ht="15" hidden="false" customHeight="false" outlineLevel="0" collapsed="false">
      <c r="A12" s="6" t="s">
        <v>2057</v>
      </c>
      <c r="B12" s="6" t="s">
        <v>1705</v>
      </c>
      <c r="C12" s="6" t="s">
        <v>1541</v>
      </c>
      <c r="D12" s="6" t="s">
        <v>1542</v>
      </c>
      <c r="E12" s="6" t="s">
        <v>236</v>
      </c>
      <c r="F12" s="6" t="s">
        <v>235</v>
      </c>
      <c r="G12" s="6" t="s">
        <v>169</v>
      </c>
      <c r="H12" s="6" t="n">
        <v>16</v>
      </c>
      <c r="I12" s="7" t="n">
        <v>75</v>
      </c>
      <c r="J12" s="7" t="n">
        <v>105</v>
      </c>
      <c r="K12" s="7" t="n">
        <f aca="false">H12*J12</f>
        <v>1680</v>
      </c>
      <c r="L12" s="7" t="n">
        <f aca="false">H12*I12</f>
        <v>1200</v>
      </c>
      <c r="M12" s="7" t="n">
        <f aca="false">K12-L12</f>
        <v>480</v>
      </c>
    </row>
    <row r="13" customFormat="false" ht="15" hidden="false" customHeight="false" outlineLevel="0" collapsed="false">
      <c r="A13" s="3" t="s">
        <v>2058</v>
      </c>
      <c r="B13" s="3" t="s">
        <v>1842</v>
      </c>
      <c r="C13" s="3" t="s">
        <v>1242</v>
      </c>
      <c r="D13" s="3" t="s">
        <v>1243</v>
      </c>
      <c r="E13" s="3" t="s">
        <v>233</v>
      </c>
      <c r="F13" s="3" t="s">
        <v>232</v>
      </c>
      <c r="G13" s="3" t="s">
        <v>169</v>
      </c>
      <c r="H13" s="3" t="n">
        <v>6</v>
      </c>
      <c r="I13" s="4" t="n">
        <v>65</v>
      </c>
      <c r="J13" s="4" t="n">
        <v>90</v>
      </c>
      <c r="K13" s="4" t="n">
        <f aca="false">H13*J13</f>
        <v>540</v>
      </c>
      <c r="L13" s="4" t="n">
        <f aca="false">H13*I13</f>
        <v>390</v>
      </c>
      <c r="M13" s="4" t="n">
        <f aca="false">K13-L13</f>
        <v>150</v>
      </c>
    </row>
    <row r="14" customFormat="false" ht="15" hidden="false" customHeight="false" outlineLevel="0" collapsed="false">
      <c r="A14" s="6" t="s">
        <v>2059</v>
      </c>
      <c r="B14" s="6" t="s">
        <v>1939</v>
      </c>
      <c r="C14" s="6" t="s">
        <v>1611</v>
      </c>
      <c r="D14" s="6" t="s">
        <v>1612</v>
      </c>
      <c r="E14" s="6" t="s">
        <v>287</v>
      </c>
      <c r="F14" s="6" t="s">
        <v>286</v>
      </c>
      <c r="G14" s="6" t="s">
        <v>169</v>
      </c>
      <c r="H14" s="6" t="n">
        <v>49</v>
      </c>
      <c r="I14" s="7" t="n">
        <v>180</v>
      </c>
      <c r="J14" s="7" t="n">
        <v>240</v>
      </c>
      <c r="K14" s="7" t="n">
        <f aca="false">H14*J14</f>
        <v>11760</v>
      </c>
      <c r="L14" s="7" t="n">
        <f aca="false">H14*I14</f>
        <v>8820</v>
      </c>
      <c r="M14" s="7" t="n">
        <f aca="false">K14-L14</f>
        <v>2940</v>
      </c>
    </row>
    <row r="15" customFormat="false" ht="15" hidden="false" customHeight="false" outlineLevel="0" collapsed="false">
      <c r="A15" s="3" t="s">
        <v>2060</v>
      </c>
      <c r="B15" s="3" t="s">
        <v>1900</v>
      </c>
      <c r="C15" s="3" t="s">
        <v>1611</v>
      </c>
      <c r="D15" s="3" t="s">
        <v>1612</v>
      </c>
      <c r="E15" s="3" t="s">
        <v>350</v>
      </c>
      <c r="F15" s="3" t="s">
        <v>349</v>
      </c>
      <c r="G15" s="3" t="s">
        <v>330</v>
      </c>
      <c r="H15" s="3" t="n">
        <v>17</v>
      </c>
      <c r="I15" s="4" t="n">
        <v>2200</v>
      </c>
      <c r="J15" s="4" t="n">
        <v>3200</v>
      </c>
      <c r="K15" s="4" t="n">
        <f aca="false">H15*J15</f>
        <v>54400</v>
      </c>
      <c r="L15" s="4" t="n">
        <f aca="false">H15*I15</f>
        <v>37400</v>
      </c>
      <c r="M15" s="4" t="n">
        <f aca="false">K15-L15</f>
        <v>17000</v>
      </c>
    </row>
    <row r="16" customFormat="false" ht="15" hidden="false" customHeight="false" outlineLevel="0" collapsed="false">
      <c r="A16" s="6" t="s">
        <v>2061</v>
      </c>
      <c r="B16" s="6" t="s">
        <v>2062</v>
      </c>
      <c r="C16" s="6" t="s">
        <v>1257</v>
      </c>
      <c r="D16" s="6" t="s">
        <v>1258</v>
      </c>
      <c r="E16" s="6" t="s">
        <v>681</v>
      </c>
      <c r="F16" s="6" t="s">
        <v>680</v>
      </c>
      <c r="G16" s="6" t="s">
        <v>609</v>
      </c>
      <c r="H16" s="6" t="n">
        <v>2</v>
      </c>
      <c r="I16" s="7" t="n">
        <v>650</v>
      </c>
      <c r="J16" s="7" t="n">
        <v>1000</v>
      </c>
      <c r="K16" s="7" t="n">
        <f aca="false">H16*J16</f>
        <v>2000</v>
      </c>
      <c r="L16" s="7" t="n">
        <f aca="false">H16*I16</f>
        <v>1300</v>
      </c>
      <c r="M16" s="7" t="n">
        <f aca="false">K16-L16</f>
        <v>700</v>
      </c>
    </row>
    <row r="17" customFormat="false" ht="15" hidden="false" customHeight="false" outlineLevel="0" collapsed="false">
      <c r="A17" s="3" t="s">
        <v>2063</v>
      </c>
      <c r="B17" s="3" t="s">
        <v>1713</v>
      </c>
      <c r="C17" s="3" t="s">
        <v>1329</v>
      </c>
      <c r="D17" s="3" t="s">
        <v>1330</v>
      </c>
      <c r="E17" s="3" t="s">
        <v>768</v>
      </c>
      <c r="F17" s="3" t="s">
        <v>767</v>
      </c>
      <c r="G17" s="3" t="s">
        <v>731</v>
      </c>
      <c r="H17" s="3" t="n">
        <v>15</v>
      </c>
      <c r="I17" s="4" t="n">
        <v>1500</v>
      </c>
      <c r="J17" s="4" t="n">
        <v>2400</v>
      </c>
      <c r="K17" s="4" t="n">
        <f aca="false">H17*J17</f>
        <v>36000</v>
      </c>
      <c r="L17" s="4" t="n">
        <f aca="false">H17*I17</f>
        <v>22500</v>
      </c>
      <c r="M17" s="4" t="n">
        <f aca="false">K17-L17</f>
        <v>13500</v>
      </c>
    </row>
    <row r="18" customFormat="false" ht="15" hidden="false" customHeight="false" outlineLevel="0" collapsed="false">
      <c r="A18" s="6" t="s">
        <v>2064</v>
      </c>
      <c r="B18" s="6" t="s">
        <v>2011</v>
      </c>
      <c r="C18" s="6" t="s">
        <v>1215</v>
      </c>
      <c r="D18" s="6" t="s">
        <v>1216</v>
      </c>
      <c r="E18" s="6" t="s">
        <v>269</v>
      </c>
      <c r="F18" s="6" t="s">
        <v>268</v>
      </c>
      <c r="G18" s="6" t="s">
        <v>169</v>
      </c>
      <c r="H18" s="6" t="n">
        <v>1</v>
      </c>
      <c r="I18" s="7" t="n">
        <v>480</v>
      </c>
      <c r="J18" s="7" t="n">
        <v>630</v>
      </c>
      <c r="K18" s="7" t="n">
        <f aca="false">H18*J18</f>
        <v>630</v>
      </c>
      <c r="L18" s="7" t="n">
        <f aca="false">H18*I18</f>
        <v>480</v>
      </c>
      <c r="M18" s="7" t="n">
        <f aca="false">K18-L18</f>
        <v>150</v>
      </c>
    </row>
    <row r="19" customFormat="false" ht="15" hidden="false" customHeight="false" outlineLevel="0" collapsed="false">
      <c r="A19" s="3" t="s">
        <v>2065</v>
      </c>
      <c r="B19" s="3" t="s">
        <v>2066</v>
      </c>
      <c r="C19" s="3" t="s">
        <v>1374</v>
      </c>
      <c r="D19" s="3" t="s">
        <v>1375</v>
      </c>
      <c r="E19" s="3" t="s">
        <v>677</v>
      </c>
      <c r="F19" s="3" t="s">
        <v>676</v>
      </c>
      <c r="G19" s="3" t="s">
        <v>609</v>
      </c>
      <c r="H19" s="3" t="n">
        <v>18</v>
      </c>
      <c r="I19" s="4" t="n">
        <v>2800</v>
      </c>
      <c r="J19" s="4" t="n">
        <v>4200</v>
      </c>
      <c r="K19" s="4" t="n">
        <f aca="false">H19*J19</f>
        <v>75600</v>
      </c>
      <c r="L19" s="4" t="n">
        <f aca="false">H19*I19</f>
        <v>50400</v>
      </c>
      <c r="M19" s="4" t="n">
        <f aca="false">K19-L19</f>
        <v>25200</v>
      </c>
    </row>
    <row r="20" customFormat="false" ht="15" hidden="false" customHeight="false" outlineLevel="0" collapsed="false">
      <c r="A20" s="6" t="s">
        <v>2067</v>
      </c>
      <c r="B20" s="6" t="s">
        <v>2068</v>
      </c>
      <c r="C20" s="6" t="s">
        <v>1582</v>
      </c>
      <c r="D20" s="6" t="s">
        <v>1583</v>
      </c>
      <c r="E20" s="6" t="s">
        <v>756</v>
      </c>
      <c r="F20" s="6" t="s">
        <v>755</v>
      </c>
      <c r="G20" s="6" t="s">
        <v>731</v>
      </c>
      <c r="H20" s="6" t="n">
        <v>22</v>
      </c>
      <c r="I20" s="7" t="n">
        <v>320</v>
      </c>
      <c r="J20" s="7" t="n">
        <v>480</v>
      </c>
      <c r="K20" s="7" t="n">
        <f aca="false">H20*J20</f>
        <v>10560</v>
      </c>
      <c r="L20" s="7" t="n">
        <f aca="false">H20*I20</f>
        <v>7040</v>
      </c>
      <c r="M20" s="7" t="n">
        <f aca="false">K20-L20</f>
        <v>3520</v>
      </c>
    </row>
    <row r="21" customFormat="false" ht="15" hidden="false" customHeight="false" outlineLevel="0" collapsed="false">
      <c r="A21" s="3" t="s">
        <v>2069</v>
      </c>
      <c r="B21" s="3" t="s">
        <v>2070</v>
      </c>
      <c r="C21" s="3" t="s">
        <v>1463</v>
      </c>
      <c r="D21" s="3" t="s">
        <v>1464</v>
      </c>
      <c r="E21" s="3" t="s">
        <v>783</v>
      </c>
      <c r="F21" s="3" t="s">
        <v>782</v>
      </c>
      <c r="G21" s="3" t="s">
        <v>731</v>
      </c>
      <c r="H21" s="3" t="n">
        <v>10</v>
      </c>
      <c r="I21" s="4" t="n">
        <v>50</v>
      </c>
      <c r="J21" s="4" t="n">
        <v>80</v>
      </c>
      <c r="K21" s="4" t="n">
        <f aca="false">H21*J21</f>
        <v>800</v>
      </c>
      <c r="L21" s="4" t="n">
        <f aca="false">H21*I21</f>
        <v>500</v>
      </c>
      <c r="M21" s="4" t="n">
        <f aca="false">K21-L21</f>
        <v>300</v>
      </c>
    </row>
    <row r="22" customFormat="false" ht="15" hidden="false" customHeight="false" outlineLevel="0" collapsed="false">
      <c r="A22" s="6" t="s">
        <v>2071</v>
      </c>
      <c r="B22" s="6" t="s">
        <v>2072</v>
      </c>
      <c r="C22" s="6" t="s">
        <v>1531</v>
      </c>
      <c r="D22" s="6" t="s">
        <v>1532</v>
      </c>
      <c r="E22" s="6" t="s">
        <v>314</v>
      </c>
      <c r="F22" s="6" t="s">
        <v>313</v>
      </c>
      <c r="G22" s="6" t="s">
        <v>169</v>
      </c>
      <c r="H22" s="6" t="n">
        <v>28</v>
      </c>
      <c r="I22" s="7" t="n">
        <v>350</v>
      </c>
      <c r="J22" s="7" t="n">
        <v>480</v>
      </c>
      <c r="K22" s="7" t="n">
        <f aca="false">H22*J22</f>
        <v>13440</v>
      </c>
      <c r="L22" s="7" t="n">
        <f aca="false">H22*I22</f>
        <v>9800</v>
      </c>
      <c r="M22" s="7" t="n">
        <f aca="false">K22-L22</f>
        <v>3640</v>
      </c>
    </row>
    <row r="23" customFormat="false" ht="15" hidden="false" customHeight="false" outlineLevel="0" collapsed="false">
      <c r="A23" s="3" t="s">
        <v>2073</v>
      </c>
      <c r="B23" s="3" t="s">
        <v>1701</v>
      </c>
      <c r="C23" s="3" t="s">
        <v>1434</v>
      </c>
      <c r="D23" s="3" t="s">
        <v>1435</v>
      </c>
      <c r="E23" s="3" t="s">
        <v>195</v>
      </c>
      <c r="F23" s="3" t="s">
        <v>194</v>
      </c>
      <c r="G23" s="3" t="s">
        <v>169</v>
      </c>
      <c r="H23" s="3" t="n">
        <v>46</v>
      </c>
      <c r="I23" s="4" t="n">
        <v>2000</v>
      </c>
      <c r="J23" s="4" t="n">
        <v>2550</v>
      </c>
      <c r="K23" s="4" t="n">
        <f aca="false">H23*J23</f>
        <v>117300</v>
      </c>
      <c r="L23" s="4" t="n">
        <f aca="false">H23*I23</f>
        <v>92000</v>
      </c>
      <c r="M23" s="4" t="n">
        <f aca="false">K23-L23</f>
        <v>25300</v>
      </c>
    </row>
    <row r="24" customFormat="false" ht="15" hidden="false" customHeight="false" outlineLevel="0" collapsed="false">
      <c r="A24" s="6" t="s">
        <v>2074</v>
      </c>
      <c r="B24" s="6" t="s">
        <v>1850</v>
      </c>
      <c r="C24" s="6" t="s">
        <v>1263</v>
      </c>
      <c r="D24" s="6" t="s">
        <v>1264</v>
      </c>
      <c r="E24" s="6" t="s">
        <v>753</v>
      </c>
      <c r="F24" s="6" t="s">
        <v>752</v>
      </c>
      <c r="G24" s="6" t="s">
        <v>731</v>
      </c>
      <c r="H24" s="6" t="n">
        <v>50</v>
      </c>
      <c r="I24" s="7" t="n">
        <v>120</v>
      </c>
      <c r="J24" s="7" t="n">
        <v>185</v>
      </c>
      <c r="K24" s="7" t="n">
        <f aca="false">H24*J24</f>
        <v>9250</v>
      </c>
      <c r="L24" s="7" t="n">
        <f aca="false">H24*I24</f>
        <v>6000</v>
      </c>
      <c r="M24" s="7" t="n">
        <f aca="false">K24-L24</f>
        <v>3250</v>
      </c>
    </row>
    <row r="25" customFormat="false" ht="15" hidden="false" customHeight="false" outlineLevel="0" collapsed="false">
      <c r="A25" s="3" t="s">
        <v>2075</v>
      </c>
      <c r="B25" s="3" t="s">
        <v>2076</v>
      </c>
      <c r="C25" s="3" t="s">
        <v>1403</v>
      </c>
      <c r="D25" s="3" t="s">
        <v>1404</v>
      </c>
      <c r="E25" s="3" t="s">
        <v>467</v>
      </c>
      <c r="F25" s="3" t="s">
        <v>466</v>
      </c>
      <c r="G25" s="3" t="s">
        <v>330</v>
      </c>
      <c r="H25" s="3" t="n">
        <v>15</v>
      </c>
      <c r="I25" s="4" t="n">
        <v>550</v>
      </c>
      <c r="J25" s="4" t="n">
        <v>900</v>
      </c>
      <c r="K25" s="4" t="n">
        <f aca="false">H25*J25</f>
        <v>13500</v>
      </c>
      <c r="L25" s="4" t="n">
        <f aca="false">H25*I25</f>
        <v>8250</v>
      </c>
      <c r="M25" s="4" t="n">
        <f aca="false">K25-L25</f>
        <v>5250</v>
      </c>
    </row>
    <row r="26" customFormat="false" ht="15" hidden="false" customHeight="false" outlineLevel="0" collapsed="false">
      <c r="A26" s="6" t="s">
        <v>2077</v>
      </c>
      <c r="B26" s="6" t="s">
        <v>1741</v>
      </c>
      <c r="C26" s="6" t="s">
        <v>1209</v>
      </c>
      <c r="D26" s="6" t="s">
        <v>1210</v>
      </c>
      <c r="E26" s="6" t="s">
        <v>665</v>
      </c>
      <c r="F26" s="6" t="s">
        <v>664</v>
      </c>
      <c r="G26" s="6" t="s">
        <v>609</v>
      </c>
      <c r="H26" s="6" t="n">
        <v>34</v>
      </c>
      <c r="I26" s="7" t="n">
        <v>85</v>
      </c>
      <c r="J26" s="7" t="n">
        <v>130</v>
      </c>
      <c r="K26" s="7" t="n">
        <f aca="false">H26*J26</f>
        <v>4420</v>
      </c>
      <c r="L26" s="7" t="n">
        <f aca="false">H26*I26</f>
        <v>2890</v>
      </c>
      <c r="M26" s="7" t="n">
        <f aca="false">K26-L26</f>
        <v>1530</v>
      </c>
    </row>
    <row r="27" customFormat="false" ht="15" hidden="false" customHeight="false" outlineLevel="0" collapsed="false">
      <c r="A27" s="3" t="s">
        <v>2078</v>
      </c>
      <c r="B27" s="3" t="s">
        <v>1795</v>
      </c>
      <c r="C27" s="3" t="s">
        <v>1294</v>
      </c>
      <c r="D27" s="3" t="s">
        <v>1295</v>
      </c>
      <c r="E27" s="3" t="s">
        <v>477</v>
      </c>
      <c r="F27" s="3" t="s">
        <v>476</v>
      </c>
      <c r="G27" s="3" t="s">
        <v>469</v>
      </c>
      <c r="H27" s="3" t="n">
        <v>12</v>
      </c>
      <c r="I27" s="4" t="n">
        <v>840</v>
      </c>
      <c r="J27" s="4" t="n">
        <v>1040</v>
      </c>
      <c r="K27" s="4" t="n">
        <f aca="false">H27*J27</f>
        <v>12480</v>
      </c>
      <c r="L27" s="4" t="n">
        <f aca="false">H27*I27</f>
        <v>10080</v>
      </c>
      <c r="M27" s="4" t="n">
        <f aca="false">K27-L27</f>
        <v>2400</v>
      </c>
    </row>
    <row r="28" customFormat="false" ht="15" hidden="false" customHeight="false" outlineLevel="0" collapsed="false">
      <c r="A28" s="6" t="s">
        <v>2079</v>
      </c>
      <c r="B28" s="6" t="s">
        <v>1705</v>
      </c>
      <c r="C28" s="6" t="s">
        <v>1369</v>
      </c>
      <c r="D28" s="6" t="s">
        <v>1370</v>
      </c>
      <c r="E28" s="6" t="s">
        <v>144</v>
      </c>
      <c r="F28" s="6" t="s">
        <v>143</v>
      </c>
      <c r="G28" s="6" t="s">
        <v>17</v>
      </c>
      <c r="H28" s="6" t="n">
        <v>1</v>
      </c>
      <c r="I28" s="7" t="n">
        <v>65000</v>
      </c>
      <c r="J28" s="7" t="n">
        <v>80000</v>
      </c>
      <c r="K28" s="7" t="n">
        <f aca="false">H28*J28</f>
        <v>80000</v>
      </c>
      <c r="L28" s="7" t="n">
        <f aca="false">H28*I28</f>
        <v>65000</v>
      </c>
      <c r="M28" s="7" t="n">
        <f aca="false">K28-L28</f>
        <v>15000</v>
      </c>
    </row>
    <row r="29" customFormat="false" ht="15" hidden="false" customHeight="false" outlineLevel="0" collapsed="false">
      <c r="A29" s="3" t="s">
        <v>2080</v>
      </c>
      <c r="B29" s="3" t="s">
        <v>2081</v>
      </c>
      <c r="C29" s="3" t="s">
        <v>1384</v>
      </c>
      <c r="D29" s="3" t="s">
        <v>1385</v>
      </c>
      <c r="E29" s="3" t="s">
        <v>862</v>
      </c>
      <c r="F29" s="3" t="s">
        <v>861</v>
      </c>
      <c r="G29" s="3" t="s">
        <v>816</v>
      </c>
      <c r="H29" s="3" t="n">
        <v>44</v>
      </c>
      <c r="I29" s="4" t="n">
        <v>14000</v>
      </c>
      <c r="J29" s="4" t="n">
        <v>18500</v>
      </c>
      <c r="K29" s="4" t="n">
        <f aca="false">H29*J29</f>
        <v>814000</v>
      </c>
      <c r="L29" s="4" t="n">
        <f aca="false">H29*I29</f>
        <v>616000</v>
      </c>
      <c r="M29" s="4" t="n">
        <f aca="false">K29-L29</f>
        <v>198000</v>
      </c>
    </row>
    <row r="30" customFormat="false" ht="15" hidden="false" customHeight="false" outlineLevel="0" collapsed="false">
      <c r="A30" s="6" t="s">
        <v>2082</v>
      </c>
      <c r="B30" s="6" t="s">
        <v>2083</v>
      </c>
      <c r="C30" s="6" t="s">
        <v>1512</v>
      </c>
      <c r="D30" s="6" t="s">
        <v>1513</v>
      </c>
      <c r="E30" s="6" t="s">
        <v>502</v>
      </c>
      <c r="F30" s="6" t="s">
        <v>501</v>
      </c>
      <c r="G30" s="6" t="s">
        <v>469</v>
      </c>
      <c r="H30" s="6" t="n">
        <v>49</v>
      </c>
      <c r="I30" s="7" t="n">
        <v>260</v>
      </c>
      <c r="J30" s="7" t="n">
        <v>320</v>
      </c>
      <c r="K30" s="7" t="n">
        <f aca="false">H30*J30</f>
        <v>15680</v>
      </c>
      <c r="L30" s="7" t="n">
        <f aca="false">H30*I30</f>
        <v>12740</v>
      </c>
      <c r="M30" s="7" t="n">
        <f aca="false">K30-L30</f>
        <v>2940</v>
      </c>
    </row>
    <row r="31" customFormat="false" ht="15" hidden="false" customHeight="false" outlineLevel="0" collapsed="false">
      <c r="A31" s="3" t="s">
        <v>2084</v>
      </c>
      <c r="B31" s="3" t="s">
        <v>1978</v>
      </c>
      <c r="C31" s="3" t="s">
        <v>1596</v>
      </c>
      <c r="D31" s="3" t="s">
        <v>1597</v>
      </c>
      <c r="E31" s="3" t="s">
        <v>897</v>
      </c>
      <c r="F31" s="3" t="s">
        <v>896</v>
      </c>
      <c r="G31" s="3" t="s">
        <v>816</v>
      </c>
      <c r="H31" s="3" t="n">
        <v>11</v>
      </c>
      <c r="I31" s="4" t="n">
        <v>5500</v>
      </c>
      <c r="J31" s="4" t="n">
        <v>8000</v>
      </c>
      <c r="K31" s="4" t="n">
        <f aca="false">H31*J31</f>
        <v>88000</v>
      </c>
      <c r="L31" s="4" t="n">
        <f aca="false">H31*I31</f>
        <v>60500</v>
      </c>
      <c r="M31" s="4" t="n">
        <f aca="false">K31-L31</f>
        <v>27500</v>
      </c>
    </row>
    <row r="32" customFormat="false" ht="15" hidden="false" customHeight="false" outlineLevel="0" collapsed="false">
      <c r="A32" s="6" t="s">
        <v>2085</v>
      </c>
      <c r="B32" s="6" t="s">
        <v>1813</v>
      </c>
      <c r="C32" s="6" t="s">
        <v>1531</v>
      </c>
      <c r="D32" s="6" t="s">
        <v>1532</v>
      </c>
      <c r="E32" s="6" t="s">
        <v>499</v>
      </c>
      <c r="F32" s="6" t="s">
        <v>498</v>
      </c>
      <c r="G32" s="6" t="s">
        <v>469</v>
      </c>
      <c r="H32" s="6" t="n">
        <v>22</v>
      </c>
      <c r="I32" s="7" t="n">
        <v>200</v>
      </c>
      <c r="J32" s="7" t="n">
        <v>280</v>
      </c>
      <c r="K32" s="7" t="n">
        <f aca="false">H32*J32</f>
        <v>6160</v>
      </c>
      <c r="L32" s="7" t="n">
        <f aca="false">H32*I32</f>
        <v>4400</v>
      </c>
      <c r="M32" s="7" t="n">
        <f aca="false">K32-L32</f>
        <v>1760</v>
      </c>
    </row>
    <row r="33" customFormat="false" ht="15" hidden="false" customHeight="false" outlineLevel="0" collapsed="false">
      <c r="A33" s="3" t="s">
        <v>2086</v>
      </c>
      <c r="B33" s="3" t="s">
        <v>2087</v>
      </c>
      <c r="C33" s="3" t="s">
        <v>1541</v>
      </c>
      <c r="D33" s="3" t="s">
        <v>1542</v>
      </c>
      <c r="E33" s="3" t="s">
        <v>99</v>
      </c>
      <c r="F33" s="3" t="s">
        <v>98</v>
      </c>
      <c r="G33" s="3" t="s">
        <v>17</v>
      </c>
      <c r="H33" s="3" t="n">
        <v>48</v>
      </c>
      <c r="I33" s="4" t="n">
        <v>78000</v>
      </c>
      <c r="J33" s="4" t="n">
        <v>98000</v>
      </c>
      <c r="K33" s="4" t="n">
        <f aca="false">H33*J33</f>
        <v>4704000</v>
      </c>
      <c r="L33" s="4" t="n">
        <f aca="false">H33*I33</f>
        <v>3744000</v>
      </c>
      <c r="M33" s="4" t="n">
        <f aca="false">K33-L33</f>
        <v>960000</v>
      </c>
    </row>
    <row r="34" customFormat="false" ht="15" hidden="false" customHeight="false" outlineLevel="0" collapsed="false">
      <c r="A34" s="6" t="s">
        <v>2088</v>
      </c>
      <c r="B34" s="6" t="s">
        <v>1964</v>
      </c>
      <c r="C34" s="6" t="s">
        <v>1394</v>
      </c>
      <c r="D34" s="6" t="s">
        <v>1395</v>
      </c>
      <c r="E34" s="6" t="s">
        <v>118</v>
      </c>
      <c r="F34" s="6" t="s">
        <v>117</v>
      </c>
      <c r="G34" s="6" t="s">
        <v>17</v>
      </c>
      <c r="H34" s="6" t="n">
        <v>17</v>
      </c>
      <c r="I34" s="7" t="n">
        <v>55000</v>
      </c>
      <c r="J34" s="7" t="n">
        <v>68000</v>
      </c>
      <c r="K34" s="7" t="n">
        <f aca="false">H34*J34</f>
        <v>1156000</v>
      </c>
      <c r="L34" s="7" t="n">
        <f aca="false">H34*I34</f>
        <v>935000</v>
      </c>
      <c r="M34" s="7" t="n">
        <f aca="false">K34-L34</f>
        <v>221000</v>
      </c>
    </row>
    <row r="35" customFormat="false" ht="15" hidden="false" customHeight="false" outlineLevel="0" collapsed="false">
      <c r="A35" s="3" t="s">
        <v>2089</v>
      </c>
      <c r="B35" s="3" t="s">
        <v>2090</v>
      </c>
      <c r="C35" s="3" t="s">
        <v>1592</v>
      </c>
      <c r="D35" s="3" t="s">
        <v>1593</v>
      </c>
      <c r="E35" s="3" t="s">
        <v>110</v>
      </c>
      <c r="F35" s="3" t="s">
        <v>109</v>
      </c>
      <c r="G35" s="3" t="s">
        <v>17</v>
      </c>
      <c r="H35" s="3" t="n">
        <v>50</v>
      </c>
      <c r="I35" s="4" t="n">
        <v>68000</v>
      </c>
      <c r="J35" s="4" t="n">
        <v>85000</v>
      </c>
      <c r="K35" s="4" t="n">
        <f aca="false">H35*J35</f>
        <v>4250000</v>
      </c>
      <c r="L35" s="4" t="n">
        <f aca="false">H35*I35</f>
        <v>3400000</v>
      </c>
      <c r="M35" s="4" t="n">
        <f aca="false">K35-L35</f>
        <v>850000</v>
      </c>
    </row>
    <row r="36" customFormat="false" ht="15" hidden="false" customHeight="false" outlineLevel="0" collapsed="false">
      <c r="A36" s="6" t="s">
        <v>2091</v>
      </c>
      <c r="B36" s="6" t="s">
        <v>2092</v>
      </c>
      <c r="C36" s="6" t="s">
        <v>1204</v>
      </c>
      <c r="D36" s="6" t="s">
        <v>1205</v>
      </c>
      <c r="E36" s="6" t="s">
        <v>724</v>
      </c>
      <c r="F36" s="6" t="s">
        <v>723</v>
      </c>
      <c r="G36" s="6" t="s">
        <v>609</v>
      </c>
      <c r="H36" s="6" t="n">
        <v>2</v>
      </c>
      <c r="I36" s="7" t="n">
        <v>320</v>
      </c>
      <c r="J36" s="7" t="n">
        <v>470</v>
      </c>
      <c r="K36" s="7" t="n">
        <f aca="false">H36*J36</f>
        <v>940</v>
      </c>
      <c r="L36" s="7" t="n">
        <f aca="false">H36*I36</f>
        <v>640</v>
      </c>
      <c r="M36" s="7" t="n">
        <f aca="false">K36-L36</f>
        <v>300</v>
      </c>
    </row>
    <row r="37" customFormat="false" ht="15" hidden="false" customHeight="false" outlineLevel="0" collapsed="false">
      <c r="A37" s="3" t="s">
        <v>2093</v>
      </c>
      <c r="B37" s="3" t="s">
        <v>1795</v>
      </c>
      <c r="C37" s="3" t="s">
        <v>1502</v>
      </c>
      <c r="D37" s="3" t="s">
        <v>1503</v>
      </c>
      <c r="E37" s="3" t="s">
        <v>249</v>
      </c>
      <c r="F37" s="3" t="s">
        <v>248</v>
      </c>
      <c r="G37" s="3" t="s">
        <v>169</v>
      </c>
      <c r="H37" s="3" t="n">
        <v>33</v>
      </c>
      <c r="I37" s="4" t="n">
        <v>1350</v>
      </c>
      <c r="J37" s="4" t="n">
        <v>1750</v>
      </c>
      <c r="K37" s="4" t="n">
        <f aca="false">H37*J37</f>
        <v>57750</v>
      </c>
      <c r="L37" s="4" t="n">
        <f aca="false">H37*I37</f>
        <v>44550</v>
      </c>
      <c r="M37" s="4" t="n">
        <f aca="false">K37-L37</f>
        <v>13200</v>
      </c>
    </row>
    <row r="38" customFormat="false" ht="15" hidden="false" customHeight="false" outlineLevel="0" collapsed="false">
      <c r="A38" s="6" t="s">
        <v>2094</v>
      </c>
      <c r="B38" s="6" t="s">
        <v>1966</v>
      </c>
      <c r="C38" s="6" t="s">
        <v>1284</v>
      </c>
      <c r="D38" s="6" t="s">
        <v>1285</v>
      </c>
      <c r="E38" s="6" t="s">
        <v>34</v>
      </c>
      <c r="F38" s="6" t="s">
        <v>33</v>
      </c>
      <c r="G38" s="6" t="s">
        <v>17</v>
      </c>
      <c r="H38" s="6" t="n">
        <v>2</v>
      </c>
      <c r="I38" s="7" t="n">
        <v>185000</v>
      </c>
      <c r="J38" s="7" t="n">
        <v>215000</v>
      </c>
      <c r="K38" s="7" t="n">
        <f aca="false">H38*J38</f>
        <v>430000</v>
      </c>
      <c r="L38" s="7" t="n">
        <f aca="false">H38*I38</f>
        <v>370000</v>
      </c>
      <c r="M38" s="7" t="n">
        <f aca="false">K38-L38</f>
        <v>60000</v>
      </c>
    </row>
    <row r="39" customFormat="false" ht="15" hidden="false" customHeight="false" outlineLevel="0" collapsed="false">
      <c r="A39" s="3" t="s">
        <v>2095</v>
      </c>
      <c r="B39" s="3" t="s">
        <v>2096</v>
      </c>
      <c r="C39" s="3" t="s">
        <v>1512</v>
      </c>
      <c r="D39" s="3" t="s">
        <v>1513</v>
      </c>
      <c r="E39" s="3" t="s">
        <v>804</v>
      </c>
      <c r="F39" s="3" t="s">
        <v>803</v>
      </c>
      <c r="G39" s="3" t="s">
        <v>731</v>
      </c>
      <c r="H39" s="3" t="n">
        <v>9</v>
      </c>
      <c r="I39" s="4" t="n">
        <v>85</v>
      </c>
      <c r="J39" s="4" t="n">
        <v>135</v>
      </c>
      <c r="K39" s="4" t="n">
        <f aca="false">H39*J39</f>
        <v>1215</v>
      </c>
      <c r="L39" s="4" t="n">
        <f aca="false">H39*I39</f>
        <v>765</v>
      </c>
      <c r="M39" s="4" t="n">
        <f aca="false">K39-L39</f>
        <v>450</v>
      </c>
    </row>
    <row r="40" customFormat="false" ht="15" hidden="false" customHeight="false" outlineLevel="0" collapsed="false">
      <c r="A40" s="6" t="s">
        <v>2097</v>
      </c>
      <c r="B40" s="6" t="s">
        <v>1801</v>
      </c>
      <c r="C40" s="6" t="s">
        <v>1444</v>
      </c>
      <c r="D40" s="6" t="s">
        <v>1445</v>
      </c>
      <c r="E40" s="6" t="s">
        <v>155</v>
      </c>
      <c r="F40" s="6" t="s">
        <v>154</v>
      </c>
      <c r="G40" s="6" t="s">
        <v>17</v>
      </c>
      <c r="H40" s="6" t="n">
        <v>18</v>
      </c>
      <c r="I40" s="7" t="n">
        <v>45000</v>
      </c>
      <c r="J40" s="7" t="n">
        <v>56000</v>
      </c>
      <c r="K40" s="7" t="n">
        <f aca="false">H40*J40</f>
        <v>1008000</v>
      </c>
      <c r="L40" s="7" t="n">
        <f aca="false">H40*I40</f>
        <v>810000</v>
      </c>
      <c r="M40" s="7" t="n">
        <f aca="false">K40-L40</f>
        <v>198000</v>
      </c>
    </row>
    <row r="41" customFormat="false" ht="15" hidden="false" customHeight="false" outlineLevel="0" collapsed="false">
      <c r="A41" s="3" t="s">
        <v>2098</v>
      </c>
      <c r="B41" s="3" t="s">
        <v>1964</v>
      </c>
      <c r="C41" s="3" t="s">
        <v>1242</v>
      </c>
      <c r="D41" s="3" t="s">
        <v>1243</v>
      </c>
      <c r="E41" s="3" t="s">
        <v>431</v>
      </c>
      <c r="F41" s="3" t="s">
        <v>430</v>
      </c>
      <c r="G41" s="3" t="s">
        <v>330</v>
      </c>
      <c r="H41" s="3" t="n">
        <v>14</v>
      </c>
      <c r="I41" s="4" t="n">
        <v>2200</v>
      </c>
      <c r="J41" s="4" t="n">
        <v>3400</v>
      </c>
      <c r="K41" s="4" t="n">
        <f aca="false">H41*J41</f>
        <v>47600</v>
      </c>
      <c r="L41" s="4" t="n">
        <f aca="false">H41*I41</f>
        <v>30800</v>
      </c>
      <c r="M41" s="4" t="n">
        <f aca="false">K41-L41</f>
        <v>16800</v>
      </c>
    </row>
    <row r="42" customFormat="false" ht="15" hidden="false" customHeight="false" outlineLevel="0" collapsed="false">
      <c r="A42" s="6" t="s">
        <v>2099</v>
      </c>
      <c r="B42" s="6" t="s">
        <v>1693</v>
      </c>
      <c r="C42" s="6" t="s">
        <v>1324</v>
      </c>
      <c r="D42" s="6" t="s">
        <v>1325</v>
      </c>
      <c r="E42" s="6" t="s">
        <v>230</v>
      </c>
      <c r="F42" s="6" t="s">
        <v>229</v>
      </c>
      <c r="G42" s="6" t="s">
        <v>169</v>
      </c>
      <c r="H42" s="6" t="n">
        <v>7</v>
      </c>
      <c r="I42" s="7" t="n">
        <v>55</v>
      </c>
      <c r="J42" s="7" t="n">
        <v>80</v>
      </c>
      <c r="K42" s="7" t="n">
        <f aca="false">H42*J42</f>
        <v>560</v>
      </c>
      <c r="L42" s="7" t="n">
        <f aca="false">H42*I42</f>
        <v>385</v>
      </c>
      <c r="M42" s="7" t="n">
        <f aca="false">K42-L42</f>
        <v>175</v>
      </c>
    </row>
    <row r="43" customFormat="false" ht="15" hidden="false" customHeight="false" outlineLevel="0" collapsed="false">
      <c r="A43" s="3" t="s">
        <v>2100</v>
      </c>
      <c r="B43" s="3" t="s">
        <v>2092</v>
      </c>
      <c r="C43" s="3" t="s">
        <v>1531</v>
      </c>
      <c r="D43" s="3" t="s">
        <v>1532</v>
      </c>
      <c r="E43" s="3" t="s">
        <v>155</v>
      </c>
      <c r="F43" s="3" t="s">
        <v>154</v>
      </c>
      <c r="G43" s="3" t="s">
        <v>17</v>
      </c>
      <c r="H43" s="3" t="n">
        <v>25</v>
      </c>
      <c r="I43" s="4" t="n">
        <v>45000</v>
      </c>
      <c r="J43" s="4" t="n">
        <v>56000</v>
      </c>
      <c r="K43" s="4" t="n">
        <f aca="false">H43*J43</f>
        <v>1400000</v>
      </c>
      <c r="L43" s="4" t="n">
        <f aca="false">H43*I43</f>
        <v>1125000</v>
      </c>
      <c r="M43" s="4" t="n">
        <f aca="false">K43-L43</f>
        <v>275000</v>
      </c>
    </row>
    <row r="44" customFormat="false" ht="15" hidden="false" customHeight="false" outlineLevel="0" collapsed="false">
      <c r="A44" s="6" t="s">
        <v>2101</v>
      </c>
      <c r="B44" s="6" t="s">
        <v>1733</v>
      </c>
      <c r="C44" s="6" t="s">
        <v>1232</v>
      </c>
      <c r="D44" s="6" t="s">
        <v>1233</v>
      </c>
      <c r="E44" s="6" t="s">
        <v>707</v>
      </c>
      <c r="F44" s="6" t="s">
        <v>706</v>
      </c>
      <c r="G44" s="6" t="s">
        <v>609</v>
      </c>
      <c r="H44" s="6" t="n">
        <v>29</v>
      </c>
      <c r="I44" s="7" t="n">
        <v>220</v>
      </c>
      <c r="J44" s="7" t="n">
        <v>310</v>
      </c>
      <c r="K44" s="7" t="n">
        <f aca="false">H44*J44</f>
        <v>8990</v>
      </c>
      <c r="L44" s="7" t="n">
        <f aca="false">H44*I44</f>
        <v>6380</v>
      </c>
      <c r="M44" s="7" t="n">
        <f aca="false">K44-L44</f>
        <v>2610</v>
      </c>
    </row>
    <row r="45" customFormat="false" ht="15" hidden="false" customHeight="false" outlineLevel="0" collapsed="false">
      <c r="A45" s="3" t="s">
        <v>2102</v>
      </c>
      <c r="B45" s="3" t="s">
        <v>2103</v>
      </c>
      <c r="C45" s="3" t="s">
        <v>1294</v>
      </c>
      <c r="D45" s="3" t="s">
        <v>1295</v>
      </c>
      <c r="E45" s="3" t="s">
        <v>20</v>
      </c>
      <c r="F45" s="3" t="s">
        <v>19</v>
      </c>
      <c r="G45" s="3" t="s">
        <v>17</v>
      </c>
      <c r="H45" s="3" t="n">
        <v>13</v>
      </c>
      <c r="I45" s="4" t="n">
        <v>75000</v>
      </c>
      <c r="J45" s="4" t="n">
        <v>95000</v>
      </c>
      <c r="K45" s="4" t="n">
        <f aca="false">H45*J45</f>
        <v>1235000</v>
      </c>
      <c r="L45" s="4" t="n">
        <f aca="false">H45*I45</f>
        <v>975000</v>
      </c>
      <c r="M45" s="4" t="n">
        <f aca="false">K45-L45</f>
        <v>260000</v>
      </c>
    </row>
    <row r="46" customFormat="false" ht="15" hidden="false" customHeight="false" outlineLevel="0" collapsed="false">
      <c r="A46" s="6" t="s">
        <v>2104</v>
      </c>
      <c r="B46" s="6" t="s">
        <v>2105</v>
      </c>
      <c r="C46" s="6" t="s">
        <v>1434</v>
      </c>
      <c r="D46" s="6" t="s">
        <v>1435</v>
      </c>
      <c r="E46" s="6" t="s">
        <v>355</v>
      </c>
      <c r="F46" s="6" t="s">
        <v>354</v>
      </c>
      <c r="G46" s="6" t="s">
        <v>330</v>
      </c>
      <c r="H46" s="6" t="n">
        <v>7</v>
      </c>
      <c r="I46" s="7" t="n">
        <v>1400</v>
      </c>
      <c r="J46" s="7" t="n">
        <v>2100</v>
      </c>
      <c r="K46" s="7" t="n">
        <f aca="false">H46*J46</f>
        <v>14700</v>
      </c>
      <c r="L46" s="7" t="n">
        <f aca="false">H46*I46</f>
        <v>9800</v>
      </c>
      <c r="M46" s="7" t="n">
        <f aca="false">K46-L46</f>
        <v>4900</v>
      </c>
    </row>
    <row r="47" customFormat="false" ht="15" hidden="false" customHeight="false" outlineLevel="0" collapsed="false">
      <c r="A47" s="3" t="s">
        <v>2106</v>
      </c>
      <c r="B47" s="3" t="s">
        <v>2107</v>
      </c>
      <c r="C47" s="3" t="s">
        <v>1412</v>
      </c>
      <c r="D47" s="3" t="s">
        <v>1413</v>
      </c>
      <c r="E47" s="3" t="s">
        <v>236</v>
      </c>
      <c r="F47" s="3" t="s">
        <v>235</v>
      </c>
      <c r="G47" s="3" t="s">
        <v>169</v>
      </c>
      <c r="H47" s="3" t="n">
        <v>40</v>
      </c>
      <c r="I47" s="4" t="n">
        <v>75</v>
      </c>
      <c r="J47" s="4" t="n">
        <v>105</v>
      </c>
      <c r="K47" s="4" t="n">
        <f aca="false">H47*J47</f>
        <v>4200</v>
      </c>
      <c r="L47" s="4" t="n">
        <f aca="false">H47*I47</f>
        <v>3000</v>
      </c>
      <c r="M47" s="4" t="n">
        <f aca="false">K47-L47</f>
        <v>1200</v>
      </c>
    </row>
    <row r="48" customFormat="false" ht="15" hidden="false" customHeight="false" outlineLevel="0" collapsed="false">
      <c r="A48" s="6" t="s">
        <v>2108</v>
      </c>
      <c r="B48" s="6" t="s">
        <v>2109</v>
      </c>
      <c r="C48" s="6" t="s">
        <v>1601</v>
      </c>
      <c r="D48" s="6" t="s">
        <v>1602</v>
      </c>
      <c r="E48" s="6" t="s">
        <v>172</v>
      </c>
      <c r="F48" s="6" t="s">
        <v>171</v>
      </c>
      <c r="G48" s="6" t="s">
        <v>169</v>
      </c>
      <c r="H48" s="6" t="n">
        <v>47</v>
      </c>
      <c r="I48" s="7" t="n">
        <v>3800</v>
      </c>
      <c r="J48" s="7" t="n">
        <v>4800</v>
      </c>
      <c r="K48" s="7" t="n">
        <f aca="false">H48*J48</f>
        <v>225600</v>
      </c>
      <c r="L48" s="7" t="n">
        <f aca="false">H48*I48</f>
        <v>178600</v>
      </c>
      <c r="M48" s="7" t="n">
        <f aca="false">K48-L48</f>
        <v>47000</v>
      </c>
    </row>
    <row r="49" customFormat="false" ht="15" hidden="false" customHeight="false" outlineLevel="0" collapsed="false">
      <c r="A49" s="3" t="s">
        <v>2110</v>
      </c>
      <c r="B49" s="3" t="s">
        <v>2111</v>
      </c>
      <c r="C49" s="3" t="s">
        <v>1359</v>
      </c>
      <c r="D49" s="3" t="s">
        <v>1360</v>
      </c>
      <c r="E49" s="3" t="s">
        <v>26</v>
      </c>
      <c r="F49" s="3" t="s">
        <v>25</v>
      </c>
      <c r="G49" s="3" t="s">
        <v>17</v>
      </c>
      <c r="H49" s="3" t="n">
        <v>4</v>
      </c>
      <c r="I49" s="4" t="n">
        <v>55000</v>
      </c>
      <c r="J49" s="4" t="n">
        <v>68000</v>
      </c>
      <c r="K49" s="4" t="n">
        <f aca="false">H49*J49</f>
        <v>272000</v>
      </c>
      <c r="L49" s="4" t="n">
        <f aca="false">H49*I49</f>
        <v>220000</v>
      </c>
      <c r="M49" s="4" t="n">
        <f aca="false">K49-L49</f>
        <v>52000</v>
      </c>
    </row>
    <row r="50" customFormat="false" ht="15" hidden="false" customHeight="false" outlineLevel="0" collapsed="false">
      <c r="A50" s="6" t="s">
        <v>2112</v>
      </c>
      <c r="B50" s="6" t="s">
        <v>2113</v>
      </c>
      <c r="C50" s="6" t="s">
        <v>1639</v>
      </c>
      <c r="D50" s="6" t="s">
        <v>1640</v>
      </c>
      <c r="E50" s="6" t="s">
        <v>416</v>
      </c>
      <c r="F50" s="6" t="s">
        <v>415</v>
      </c>
      <c r="G50" s="6" t="s">
        <v>330</v>
      </c>
      <c r="H50" s="6" t="n">
        <v>19</v>
      </c>
      <c r="I50" s="7" t="n">
        <v>2800</v>
      </c>
      <c r="J50" s="7" t="n">
        <v>4200</v>
      </c>
      <c r="K50" s="7" t="n">
        <f aca="false">H50*J50</f>
        <v>79800</v>
      </c>
      <c r="L50" s="7" t="n">
        <f aca="false">H50*I50</f>
        <v>53200</v>
      </c>
      <c r="M50" s="7" t="n">
        <f aca="false">K50-L50</f>
        <v>26600</v>
      </c>
    </row>
    <row r="51" customFormat="false" ht="15" hidden="false" customHeight="false" outlineLevel="0" collapsed="false">
      <c r="A51" s="3" t="s">
        <v>2114</v>
      </c>
      <c r="B51" s="3" t="s">
        <v>1805</v>
      </c>
      <c r="C51" s="3" t="s">
        <v>1242</v>
      </c>
      <c r="D51" s="3" t="s">
        <v>1243</v>
      </c>
      <c r="E51" s="3" t="s">
        <v>508</v>
      </c>
      <c r="F51" s="3" t="s">
        <v>507</v>
      </c>
      <c r="G51" s="3" t="s">
        <v>469</v>
      </c>
      <c r="H51" s="3" t="n">
        <v>5</v>
      </c>
      <c r="I51" s="4" t="n">
        <v>3800</v>
      </c>
      <c r="J51" s="4" t="n">
        <v>5000</v>
      </c>
      <c r="K51" s="4" t="n">
        <f aca="false">H51*J51</f>
        <v>25000</v>
      </c>
      <c r="L51" s="4" t="n">
        <f aca="false">H51*I51</f>
        <v>19000</v>
      </c>
      <c r="M51" s="4" t="n">
        <f aca="false">K51-L51</f>
        <v>6000</v>
      </c>
    </row>
    <row r="52" customFormat="false" ht="15" hidden="false" customHeight="false" outlineLevel="0" collapsed="false">
      <c r="A52" s="6" t="s">
        <v>2115</v>
      </c>
      <c r="B52" s="6" t="s">
        <v>1789</v>
      </c>
      <c r="C52" s="6" t="s">
        <v>1319</v>
      </c>
      <c r="D52" s="6" t="s">
        <v>1320</v>
      </c>
      <c r="E52" s="6" t="s">
        <v>516</v>
      </c>
      <c r="F52" s="6" t="s">
        <v>515</v>
      </c>
      <c r="G52" s="6" t="s">
        <v>469</v>
      </c>
      <c r="H52" s="6" t="n">
        <v>1</v>
      </c>
      <c r="I52" s="7" t="n">
        <v>3600</v>
      </c>
      <c r="J52" s="7" t="n">
        <v>4800</v>
      </c>
      <c r="K52" s="7" t="n">
        <f aca="false">H52*J52</f>
        <v>4800</v>
      </c>
      <c r="L52" s="7" t="n">
        <f aca="false">H52*I52</f>
        <v>3600</v>
      </c>
      <c r="M52" s="7" t="n">
        <f aca="false">K52-L52</f>
        <v>1200</v>
      </c>
    </row>
    <row r="53" customFormat="false" ht="15" hidden="false" customHeight="false" outlineLevel="0" collapsed="false">
      <c r="A53" s="3" t="s">
        <v>2116</v>
      </c>
      <c r="B53" s="3" t="s">
        <v>1966</v>
      </c>
      <c r="C53" s="3" t="s">
        <v>1512</v>
      </c>
      <c r="D53" s="3" t="s">
        <v>1513</v>
      </c>
      <c r="E53" s="3" t="s">
        <v>794</v>
      </c>
      <c r="F53" s="3" t="s">
        <v>793</v>
      </c>
      <c r="G53" s="3" t="s">
        <v>731</v>
      </c>
      <c r="H53" s="3" t="n">
        <v>5</v>
      </c>
      <c r="I53" s="4" t="n">
        <v>550</v>
      </c>
      <c r="J53" s="4" t="n">
        <v>830</v>
      </c>
      <c r="K53" s="4" t="n">
        <f aca="false">H53*J53</f>
        <v>4150</v>
      </c>
      <c r="L53" s="4" t="n">
        <f aca="false">H53*I53</f>
        <v>2750</v>
      </c>
      <c r="M53" s="4" t="n">
        <f aca="false">K53-L53</f>
        <v>1400</v>
      </c>
    </row>
    <row r="54" customFormat="false" ht="15" hidden="false" customHeight="false" outlineLevel="0" collapsed="false">
      <c r="A54" s="6" t="s">
        <v>2117</v>
      </c>
      <c r="B54" s="6" t="s">
        <v>2118</v>
      </c>
      <c r="C54" s="6" t="s">
        <v>1399</v>
      </c>
      <c r="D54" s="6" t="s">
        <v>1400</v>
      </c>
      <c r="E54" s="6" t="s">
        <v>681</v>
      </c>
      <c r="F54" s="6" t="s">
        <v>680</v>
      </c>
      <c r="G54" s="6" t="s">
        <v>609</v>
      </c>
      <c r="H54" s="6" t="n">
        <v>46</v>
      </c>
      <c r="I54" s="7" t="n">
        <v>650</v>
      </c>
      <c r="J54" s="7" t="n">
        <v>1000</v>
      </c>
      <c r="K54" s="7" t="n">
        <f aca="false">H54*J54</f>
        <v>46000</v>
      </c>
      <c r="L54" s="7" t="n">
        <f aca="false">H54*I54</f>
        <v>29900</v>
      </c>
      <c r="M54" s="7" t="n">
        <f aca="false">K54-L54</f>
        <v>16100</v>
      </c>
    </row>
    <row r="55" customFormat="false" ht="15" hidden="false" customHeight="false" outlineLevel="0" collapsed="false">
      <c r="A55" s="3" t="s">
        <v>2119</v>
      </c>
      <c r="B55" s="3" t="s">
        <v>1837</v>
      </c>
      <c r="C55" s="3" t="s">
        <v>1359</v>
      </c>
      <c r="D55" s="3" t="s">
        <v>1360</v>
      </c>
      <c r="E55" s="3" t="s">
        <v>208</v>
      </c>
      <c r="F55" s="3" t="s">
        <v>207</v>
      </c>
      <c r="G55" s="3" t="s">
        <v>169</v>
      </c>
      <c r="H55" s="3" t="n">
        <v>19</v>
      </c>
      <c r="I55" s="4" t="n">
        <v>1100</v>
      </c>
      <c r="J55" s="4" t="n">
        <v>1450</v>
      </c>
      <c r="K55" s="4" t="n">
        <f aca="false">H55*J55</f>
        <v>27550</v>
      </c>
      <c r="L55" s="4" t="n">
        <f aca="false">H55*I55</f>
        <v>20900</v>
      </c>
      <c r="M55" s="4" t="n">
        <f aca="false">K55-L55</f>
        <v>6650</v>
      </c>
    </row>
    <row r="56" customFormat="false" ht="15" hidden="false" customHeight="false" outlineLevel="0" collapsed="false">
      <c r="A56" s="6" t="s">
        <v>2120</v>
      </c>
      <c r="B56" s="6" t="s">
        <v>2121</v>
      </c>
      <c r="C56" s="6" t="s">
        <v>1176</v>
      </c>
      <c r="D56" s="6" t="s">
        <v>1177</v>
      </c>
      <c r="E56" s="6" t="s">
        <v>126</v>
      </c>
      <c r="F56" s="6" t="s">
        <v>125</v>
      </c>
      <c r="G56" s="6" t="s">
        <v>17</v>
      </c>
      <c r="H56" s="6" t="n">
        <v>3</v>
      </c>
      <c r="I56" s="7" t="n">
        <v>125000</v>
      </c>
      <c r="J56" s="7" t="n">
        <v>155000</v>
      </c>
      <c r="K56" s="7" t="n">
        <f aca="false">H56*J56</f>
        <v>465000</v>
      </c>
      <c r="L56" s="7" t="n">
        <f aca="false">H56*I56</f>
        <v>375000</v>
      </c>
      <c r="M56" s="7" t="n">
        <f aca="false">K56-L56</f>
        <v>90000</v>
      </c>
    </row>
    <row r="57" customFormat="false" ht="15" hidden="false" customHeight="false" outlineLevel="0" collapsed="false">
      <c r="A57" s="3" t="s">
        <v>2122</v>
      </c>
      <c r="B57" s="3" t="s">
        <v>2123</v>
      </c>
      <c r="C57" s="3" t="s">
        <v>1314</v>
      </c>
      <c r="D57" s="3" t="s">
        <v>1315</v>
      </c>
      <c r="E57" s="3" t="s">
        <v>807</v>
      </c>
      <c r="F57" s="3" t="s">
        <v>806</v>
      </c>
      <c r="G57" s="3" t="s">
        <v>731</v>
      </c>
      <c r="H57" s="3" t="n">
        <v>40</v>
      </c>
      <c r="I57" s="4" t="n">
        <v>120</v>
      </c>
      <c r="J57" s="4" t="n">
        <v>185</v>
      </c>
      <c r="K57" s="4" t="n">
        <f aca="false">H57*J57</f>
        <v>7400</v>
      </c>
      <c r="L57" s="4" t="n">
        <f aca="false">H57*I57</f>
        <v>4800</v>
      </c>
      <c r="M57" s="4" t="n">
        <f aca="false">K57-L57</f>
        <v>2600</v>
      </c>
    </row>
    <row r="58" customFormat="false" ht="15" hidden="false" customHeight="false" outlineLevel="0" collapsed="false">
      <c r="A58" s="6" t="s">
        <v>2124</v>
      </c>
      <c r="B58" s="6" t="s">
        <v>2125</v>
      </c>
      <c r="C58" s="6" t="s">
        <v>1555</v>
      </c>
      <c r="D58" s="6" t="s">
        <v>1385</v>
      </c>
      <c r="E58" s="6" t="s">
        <v>753</v>
      </c>
      <c r="F58" s="6" t="s">
        <v>752</v>
      </c>
      <c r="G58" s="6" t="s">
        <v>731</v>
      </c>
      <c r="H58" s="6" t="n">
        <v>6</v>
      </c>
      <c r="I58" s="7" t="n">
        <v>120</v>
      </c>
      <c r="J58" s="7" t="n">
        <v>185</v>
      </c>
      <c r="K58" s="7" t="n">
        <f aca="false">H58*J58</f>
        <v>1110</v>
      </c>
      <c r="L58" s="7" t="n">
        <f aca="false">H58*I58</f>
        <v>720</v>
      </c>
      <c r="M58" s="7" t="n">
        <f aca="false">K58-L58</f>
        <v>390</v>
      </c>
    </row>
    <row r="59" customFormat="false" ht="15" hidden="false" customHeight="false" outlineLevel="0" collapsed="false">
      <c r="A59" s="3" t="s">
        <v>2126</v>
      </c>
      <c r="B59" s="3" t="s">
        <v>2022</v>
      </c>
      <c r="C59" s="3" t="s">
        <v>1364</v>
      </c>
      <c r="D59" s="3" t="s">
        <v>1365</v>
      </c>
      <c r="E59" s="3" t="s">
        <v>403</v>
      </c>
      <c r="F59" s="3" t="s">
        <v>402</v>
      </c>
      <c r="G59" s="3" t="s">
        <v>330</v>
      </c>
      <c r="H59" s="3" t="n">
        <v>29</v>
      </c>
      <c r="I59" s="4" t="n">
        <v>1800</v>
      </c>
      <c r="J59" s="4" t="n">
        <v>2700</v>
      </c>
      <c r="K59" s="4" t="n">
        <f aca="false">H59*J59</f>
        <v>78300</v>
      </c>
      <c r="L59" s="4" t="n">
        <f aca="false">H59*I59</f>
        <v>52200</v>
      </c>
      <c r="M59" s="4" t="n">
        <f aca="false">K59-L59</f>
        <v>26100</v>
      </c>
    </row>
    <row r="60" customFormat="false" ht="15" hidden="false" customHeight="false" outlineLevel="0" collapsed="false">
      <c r="A60" s="6" t="s">
        <v>2127</v>
      </c>
      <c r="B60" s="6" t="s">
        <v>2128</v>
      </c>
      <c r="C60" s="6" t="s">
        <v>1587</v>
      </c>
      <c r="D60" s="6" t="s">
        <v>1588</v>
      </c>
      <c r="E60" s="6" t="s">
        <v>877</v>
      </c>
      <c r="F60" s="6" t="s">
        <v>876</v>
      </c>
      <c r="G60" s="6" t="s">
        <v>816</v>
      </c>
      <c r="H60" s="6" t="n">
        <v>9</v>
      </c>
      <c r="I60" s="7" t="n">
        <v>1800</v>
      </c>
      <c r="J60" s="7" t="n">
        <v>2700</v>
      </c>
      <c r="K60" s="7" t="n">
        <f aca="false">H60*J60</f>
        <v>24300</v>
      </c>
      <c r="L60" s="7" t="n">
        <f aca="false">H60*I60</f>
        <v>16200</v>
      </c>
      <c r="M60" s="7" t="n">
        <f aca="false">K60-L60</f>
        <v>8100</v>
      </c>
    </row>
    <row r="61" customFormat="false" ht="15" hidden="false" customHeight="false" outlineLevel="0" collapsed="false">
      <c r="A61" s="3" t="s">
        <v>2129</v>
      </c>
      <c r="B61" s="3" t="s">
        <v>2130</v>
      </c>
      <c r="C61" s="3" t="s">
        <v>1531</v>
      </c>
      <c r="D61" s="3" t="s">
        <v>1532</v>
      </c>
      <c r="E61" s="3" t="s">
        <v>419</v>
      </c>
      <c r="F61" s="3" t="s">
        <v>418</v>
      </c>
      <c r="G61" s="3" t="s">
        <v>330</v>
      </c>
      <c r="H61" s="3" t="n">
        <v>26</v>
      </c>
      <c r="I61" s="4" t="n">
        <v>1200</v>
      </c>
      <c r="J61" s="4" t="n">
        <v>1900</v>
      </c>
      <c r="K61" s="4" t="n">
        <f aca="false">H61*J61</f>
        <v>49400</v>
      </c>
      <c r="L61" s="4" t="n">
        <f aca="false">H61*I61</f>
        <v>31200</v>
      </c>
      <c r="M61" s="4" t="n">
        <f aca="false">K61-L61</f>
        <v>18200</v>
      </c>
    </row>
    <row r="62" customFormat="false" ht="15" hidden="false" customHeight="false" outlineLevel="0" collapsed="false">
      <c r="A62" s="6" t="s">
        <v>2131</v>
      </c>
      <c r="B62" s="6" t="s">
        <v>1957</v>
      </c>
      <c r="C62" s="6" t="s">
        <v>1176</v>
      </c>
      <c r="D62" s="6" t="s">
        <v>1177</v>
      </c>
      <c r="E62" s="6" t="s">
        <v>292</v>
      </c>
      <c r="F62" s="6" t="s">
        <v>291</v>
      </c>
      <c r="G62" s="6" t="s">
        <v>169</v>
      </c>
      <c r="H62" s="6" t="n">
        <v>50</v>
      </c>
      <c r="I62" s="7" t="n">
        <v>250</v>
      </c>
      <c r="J62" s="7" t="n">
        <v>340</v>
      </c>
      <c r="K62" s="7" t="n">
        <f aca="false">H62*J62</f>
        <v>17000</v>
      </c>
      <c r="L62" s="7" t="n">
        <f aca="false">H62*I62</f>
        <v>12500</v>
      </c>
      <c r="M62" s="7" t="n">
        <f aca="false">K62-L62</f>
        <v>4500</v>
      </c>
    </row>
    <row r="63" customFormat="false" ht="15" hidden="false" customHeight="false" outlineLevel="0" collapsed="false">
      <c r="A63" s="3" t="s">
        <v>2132</v>
      </c>
      <c r="B63" s="3" t="s">
        <v>1874</v>
      </c>
      <c r="C63" s="3" t="s">
        <v>1545</v>
      </c>
      <c r="D63" s="3" t="s">
        <v>1546</v>
      </c>
      <c r="E63" s="3" t="s">
        <v>118</v>
      </c>
      <c r="F63" s="3" t="s">
        <v>117</v>
      </c>
      <c r="G63" s="3" t="s">
        <v>17</v>
      </c>
      <c r="H63" s="3" t="n">
        <v>32</v>
      </c>
      <c r="I63" s="4" t="n">
        <v>55000</v>
      </c>
      <c r="J63" s="4" t="n">
        <v>68000</v>
      </c>
      <c r="K63" s="4" t="n">
        <f aca="false">H63*J63</f>
        <v>2176000</v>
      </c>
      <c r="L63" s="4" t="n">
        <f aca="false">H63*I63</f>
        <v>1760000</v>
      </c>
      <c r="M63" s="4" t="n">
        <f aca="false">K63-L63</f>
        <v>416000</v>
      </c>
    </row>
    <row r="64" customFormat="false" ht="15" hidden="false" customHeight="false" outlineLevel="0" collapsed="false">
      <c r="A64" s="6" t="s">
        <v>2133</v>
      </c>
      <c r="B64" s="6" t="s">
        <v>2134</v>
      </c>
      <c r="C64" s="6" t="s">
        <v>1661</v>
      </c>
      <c r="D64" s="6" t="s">
        <v>1662</v>
      </c>
      <c r="E64" s="6" t="s">
        <v>259</v>
      </c>
      <c r="F64" s="6" t="s">
        <v>258</v>
      </c>
      <c r="G64" s="6" t="s">
        <v>169</v>
      </c>
      <c r="H64" s="6" t="n">
        <v>13</v>
      </c>
      <c r="I64" s="7" t="n">
        <v>650</v>
      </c>
      <c r="J64" s="7" t="n">
        <v>870</v>
      </c>
      <c r="K64" s="7" t="n">
        <f aca="false">H64*J64</f>
        <v>11310</v>
      </c>
      <c r="L64" s="7" t="n">
        <f aca="false">H64*I64</f>
        <v>8450</v>
      </c>
      <c r="M64" s="7" t="n">
        <f aca="false">K64-L64</f>
        <v>2860</v>
      </c>
    </row>
    <row r="65" customFormat="false" ht="15" hidden="false" customHeight="false" outlineLevel="0" collapsed="false">
      <c r="A65" s="3" t="s">
        <v>2135</v>
      </c>
      <c r="B65" s="3" t="s">
        <v>2136</v>
      </c>
      <c r="C65" s="3" t="s">
        <v>1399</v>
      </c>
      <c r="D65" s="3" t="s">
        <v>1400</v>
      </c>
      <c r="E65" s="3" t="s">
        <v>495</v>
      </c>
      <c r="F65" s="3" t="s">
        <v>494</v>
      </c>
      <c r="G65" s="3" t="s">
        <v>469</v>
      </c>
      <c r="H65" s="3" t="n">
        <v>25</v>
      </c>
      <c r="I65" s="4" t="n">
        <v>180</v>
      </c>
      <c r="J65" s="4" t="n">
        <v>250</v>
      </c>
      <c r="K65" s="4" t="n">
        <f aca="false">H65*J65</f>
        <v>6250</v>
      </c>
      <c r="L65" s="4" t="n">
        <f aca="false">H65*I65</f>
        <v>4500</v>
      </c>
      <c r="M65" s="4" t="n">
        <f aca="false">K65-L65</f>
        <v>1750</v>
      </c>
    </row>
    <row r="66" customFormat="false" ht="15" hidden="false" customHeight="false" outlineLevel="0" collapsed="false">
      <c r="A66" s="6" t="s">
        <v>2137</v>
      </c>
      <c r="B66" s="6" t="s">
        <v>2138</v>
      </c>
      <c r="C66" s="6" t="s">
        <v>1209</v>
      </c>
      <c r="D66" s="6" t="s">
        <v>1210</v>
      </c>
      <c r="E66" s="6" t="s">
        <v>681</v>
      </c>
      <c r="F66" s="6" t="s">
        <v>680</v>
      </c>
      <c r="G66" s="6" t="s">
        <v>609</v>
      </c>
      <c r="H66" s="6" t="n">
        <v>23</v>
      </c>
      <c r="I66" s="7" t="n">
        <v>650</v>
      </c>
      <c r="J66" s="7" t="n">
        <v>1000</v>
      </c>
      <c r="K66" s="7" t="n">
        <f aca="false">H66*J66</f>
        <v>23000</v>
      </c>
      <c r="L66" s="7" t="n">
        <f aca="false">H66*I66</f>
        <v>14950</v>
      </c>
      <c r="M66" s="7" t="n">
        <f aca="false">K66-L66</f>
        <v>8050</v>
      </c>
    </row>
    <row r="67" customFormat="false" ht="15" hidden="false" customHeight="false" outlineLevel="0" collapsed="false">
      <c r="A67" s="3" t="s">
        <v>2139</v>
      </c>
      <c r="B67" s="3" t="s">
        <v>2140</v>
      </c>
      <c r="C67" s="3" t="s">
        <v>1644</v>
      </c>
      <c r="D67" s="3" t="s">
        <v>1645</v>
      </c>
      <c r="E67" s="3" t="s">
        <v>118</v>
      </c>
      <c r="F67" s="3" t="s">
        <v>117</v>
      </c>
      <c r="G67" s="3" t="s">
        <v>17</v>
      </c>
      <c r="H67" s="3" t="n">
        <v>24</v>
      </c>
      <c r="I67" s="4" t="n">
        <v>55000</v>
      </c>
      <c r="J67" s="4" t="n">
        <v>68000</v>
      </c>
      <c r="K67" s="4" t="n">
        <f aca="false">H67*J67</f>
        <v>1632000</v>
      </c>
      <c r="L67" s="4" t="n">
        <f aca="false">H67*I67</f>
        <v>1320000</v>
      </c>
      <c r="M67" s="4" t="n">
        <f aca="false">K67-L67</f>
        <v>312000</v>
      </c>
    </row>
    <row r="68" customFormat="false" ht="15" hidden="false" customHeight="false" outlineLevel="0" collapsed="false">
      <c r="A68" s="6" t="s">
        <v>2141</v>
      </c>
      <c r="B68" s="6" t="s">
        <v>2142</v>
      </c>
      <c r="C68" s="6" t="s">
        <v>1257</v>
      </c>
      <c r="D68" s="6" t="s">
        <v>1258</v>
      </c>
      <c r="E68" s="6" t="s">
        <v>819</v>
      </c>
      <c r="F68" s="6" t="s">
        <v>818</v>
      </c>
      <c r="G68" s="6" t="s">
        <v>816</v>
      </c>
      <c r="H68" s="6" t="n">
        <v>31</v>
      </c>
      <c r="I68" s="7" t="n">
        <v>3500</v>
      </c>
      <c r="J68" s="7" t="n">
        <v>4800</v>
      </c>
      <c r="K68" s="7" t="n">
        <f aca="false">H68*J68</f>
        <v>148800</v>
      </c>
      <c r="L68" s="7" t="n">
        <f aca="false">H68*I68</f>
        <v>108500</v>
      </c>
      <c r="M68" s="7" t="n">
        <f aca="false">K68-L68</f>
        <v>40300</v>
      </c>
    </row>
    <row r="69" customFormat="false" ht="15" hidden="false" customHeight="false" outlineLevel="0" collapsed="false">
      <c r="A69" s="3" t="s">
        <v>2143</v>
      </c>
      <c r="B69" s="3" t="s">
        <v>1693</v>
      </c>
      <c r="C69" s="3" t="s">
        <v>1273</v>
      </c>
      <c r="D69" s="3" t="s">
        <v>1274</v>
      </c>
      <c r="E69" s="3" t="s">
        <v>593</v>
      </c>
      <c r="F69" s="3" t="s">
        <v>592</v>
      </c>
      <c r="G69" s="3" t="s">
        <v>469</v>
      </c>
      <c r="H69" s="3" t="n">
        <v>19</v>
      </c>
      <c r="I69" s="4" t="n">
        <v>450</v>
      </c>
      <c r="J69" s="4" t="n">
        <v>680</v>
      </c>
      <c r="K69" s="4" t="n">
        <f aca="false">H69*J69</f>
        <v>12920</v>
      </c>
      <c r="L69" s="4" t="n">
        <f aca="false">H69*I69</f>
        <v>8550</v>
      </c>
      <c r="M69" s="4" t="n">
        <f aca="false">K69-L69</f>
        <v>4370</v>
      </c>
    </row>
    <row r="70" customFormat="false" ht="15" hidden="false" customHeight="false" outlineLevel="0" collapsed="false">
      <c r="A70" s="6" t="s">
        <v>2144</v>
      </c>
      <c r="B70" s="6" t="s">
        <v>2145</v>
      </c>
      <c r="C70" s="6" t="s">
        <v>1606</v>
      </c>
      <c r="D70" s="6" t="s">
        <v>1607</v>
      </c>
      <c r="E70" s="6" t="s">
        <v>165</v>
      </c>
      <c r="F70" s="6" t="s">
        <v>164</v>
      </c>
      <c r="G70" s="6" t="s">
        <v>17</v>
      </c>
      <c r="H70" s="6" t="n">
        <v>24</v>
      </c>
      <c r="I70" s="7" t="n">
        <v>3500</v>
      </c>
      <c r="J70" s="7" t="n">
        <v>5000</v>
      </c>
      <c r="K70" s="7" t="n">
        <f aca="false">H70*J70</f>
        <v>120000</v>
      </c>
      <c r="L70" s="7" t="n">
        <f aca="false">H70*I70</f>
        <v>84000</v>
      </c>
      <c r="M70" s="7" t="n">
        <f aca="false">K70-L70</f>
        <v>36000</v>
      </c>
    </row>
    <row r="71" customFormat="false" ht="15" hidden="false" customHeight="false" outlineLevel="0" collapsed="false">
      <c r="A71" s="3" t="s">
        <v>2146</v>
      </c>
      <c r="B71" s="3" t="s">
        <v>1731</v>
      </c>
      <c r="C71" s="3" t="s">
        <v>1273</v>
      </c>
      <c r="D71" s="3" t="s">
        <v>1274</v>
      </c>
      <c r="E71" s="3" t="s">
        <v>580</v>
      </c>
      <c r="F71" s="3" t="s">
        <v>579</v>
      </c>
      <c r="G71" s="3" t="s">
        <v>469</v>
      </c>
      <c r="H71" s="3" t="n">
        <v>2</v>
      </c>
      <c r="I71" s="4" t="n">
        <v>850</v>
      </c>
      <c r="J71" s="4" t="n">
        <v>1200</v>
      </c>
      <c r="K71" s="4" t="n">
        <f aca="false">H71*J71</f>
        <v>2400</v>
      </c>
      <c r="L71" s="4" t="n">
        <f aca="false">H71*I71</f>
        <v>1700</v>
      </c>
      <c r="M71" s="4" t="n">
        <f aca="false">K71-L71</f>
        <v>700</v>
      </c>
    </row>
    <row r="72" customFormat="false" ht="15" hidden="false" customHeight="false" outlineLevel="0" collapsed="false">
      <c r="A72" s="6" t="s">
        <v>2147</v>
      </c>
      <c r="B72" s="6" t="s">
        <v>2004</v>
      </c>
      <c r="C72" s="6" t="s">
        <v>1512</v>
      </c>
      <c r="D72" s="6" t="s">
        <v>1513</v>
      </c>
      <c r="E72" s="6" t="s">
        <v>472</v>
      </c>
      <c r="F72" s="6" t="s">
        <v>471</v>
      </c>
      <c r="G72" s="6" t="s">
        <v>469</v>
      </c>
      <c r="H72" s="6" t="n">
        <v>29</v>
      </c>
      <c r="I72" s="7" t="n">
        <v>850</v>
      </c>
      <c r="J72" s="7" t="n">
        <v>1050</v>
      </c>
      <c r="K72" s="7" t="n">
        <f aca="false">H72*J72</f>
        <v>30450</v>
      </c>
      <c r="L72" s="7" t="n">
        <f aca="false">H72*I72</f>
        <v>24650</v>
      </c>
      <c r="M72" s="7" t="n">
        <f aca="false">K72-L72</f>
        <v>5800</v>
      </c>
    </row>
    <row r="73" customFormat="false" ht="15" hidden="false" customHeight="false" outlineLevel="0" collapsed="false">
      <c r="A73" s="3" t="s">
        <v>2148</v>
      </c>
      <c r="B73" s="3" t="s">
        <v>1832</v>
      </c>
      <c r="C73" s="3" t="s">
        <v>1424</v>
      </c>
      <c r="D73" s="3" t="s">
        <v>1425</v>
      </c>
      <c r="E73" s="3" t="s">
        <v>435</v>
      </c>
      <c r="F73" s="3" t="s">
        <v>434</v>
      </c>
      <c r="G73" s="3" t="s">
        <v>330</v>
      </c>
      <c r="H73" s="3" t="n">
        <v>45</v>
      </c>
      <c r="I73" s="4" t="n">
        <v>1800</v>
      </c>
      <c r="J73" s="4" t="n">
        <v>2800</v>
      </c>
      <c r="K73" s="4" t="n">
        <f aca="false">H73*J73</f>
        <v>126000</v>
      </c>
      <c r="L73" s="4" t="n">
        <f aca="false">H73*I73</f>
        <v>81000</v>
      </c>
      <c r="M73" s="4" t="n">
        <f aca="false">K73-L73</f>
        <v>45000</v>
      </c>
    </row>
    <row r="74" customFormat="false" ht="15" hidden="false" customHeight="false" outlineLevel="0" collapsed="false">
      <c r="A74" s="6" t="s">
        <v>2149</v>
      </c>
      <c r="B74" s="6" t="s">
        <v>1787</v>
      </c>
      <c r="C74" s="6" t="s">
        <v>1369</v>
      </c>
      <c r="D74" s="6" t="s">
        <v>1370</v>
      </c>
      <c r="E74" s="6" t="s">
        <v>764</v>
      </c>
      <c r="F74" s="6" t="s">
        <v>763</v>
      </c>
      <c r="G74" s="6" t="s">
        <v>731</v>
      </c>
      <c r="H74" s="6" t="n">
        <v>33</v>
      </c>
      <c r="I74" s="7" t="n">
        <v>45</v>
      </c>
      <c r="J74" s="7" t="n">
        <v>72</v>
      </c>
      <c r="K74" s="7" t="n">
        <f aca="false">H74*J74</f>
        <v>2376</v>
      </c>
      <c r="L74" s="7" t="n">
        <f aca="false">H74*I74</f>
        <v>1485</v>
      </c>
      <c r="M74" s="7" t="n">
        <f aca="false">K74-L74</f>
        <v>891</v>
      </c>
    </row>
    <row r="75" customFormat="false" ht="15" hidden="false" customHeight="false" outlineLevel="0" collapsed="false">
      <c r="A75" s="3" t="s">
        <v>2150</v>
      </c>
      <c r="B75" s="3" t="s">
        <v>2121</v>
      </c>
      <c r="C75" s="3" t="s">
        <v>1626</v>
      </c>
      <c r="D75" s="3" t="s">
        <v>1627</v>
      </c>
      <c r="E75" s="3" t="s">
        <v>712</v>
      </c>
      <c r="F75" s="3" t="s">
        <v>711</v>
      </c>
      <c r="G75" s="3" t="s">
        <v>609</v>
      </c>
      <c r="H75" s="3" t="n">
        <v>19</v>
      </c>
      <c r="I75" s="4" t="n">
        <v>200</v>
      </c>
      <c r="J75" s="4" t="n">
        <v>290</v>
      </c>
      <c r="K75" s="4" t="n">
        <f aca="false">H75*J75</f>
        <v>5510</v>
      </c>
      <c r="L75" s="4" t="n">
        <f aca="false">H75*I75</f>
        <v>3800</v>
      </c>
      <c r="M75" s="4" t="n">
        <f aca="false">K75-L75</f>
        <v>1710</v>
      </c>
    </row>
    <row r="76" customFormat="false" ht="15" hidden="false" customHeight="false" outlineLevel="0" collapsed="false">
      <c r="A76" s="6" t="s">
        <v>2151</v>
      </c>
      <c r="B76" s="6" t="s">
        <v>1817</v>
      </c>
      <c r="C76" s="6" t="s">
        <v>1657</v>
      </c>
      <c r="D76" s="6" t="s">
        <v>1658</v>
      </c>
      <c r="E76" s="6" t="s">
        <v>824</v>
      </c>
      <c r="F76" s="6" t="s">
        <v>823</v>
      </c>
      <c r="G76" s="6" t="s">
        <v>816</v>
      </c>
      <c r="H76" s="6" t="n">
        <v>6</v>
      </c>
      <c r="I76" s="7" t="n">
        <v>3200</v>
      </c>
      <c r="J76" s="7" t="n">
        <v>4500</v>
      </c>
      <c r="K76" s="7" t="n">
        <f aca="false">H76*J76</f>
        <v>27000</v>
      </c>
      <c r="L76" s="7" t="n">
        <f aca="false">H76*I76</f>
        <v>19200</v>
      </c>
      <c r="M76" s="7" t="n">
        <f aca="false">K76-L76</f>
        <v>7800</v>
      </c>
    </row>
    <row r="77" customFormat="false" ht="15" hidden="false" customHeight="false" outlineLevel="0" collapsed="false">
      <c r="A77" s="3" t="s">
        <v>2152</v>
      </c>
      <c r="B77" s="3" t="s">
        <v>2153</v>
      </c>
      <c r="C77" s="3" t="s">
        <v>1353</v>
      </c>
      <c r="D77" s="3" t="s">
        <v>1354</v>
      </c>
      <c r="E77" s="3" t="s">
        <v>544</v>
      </c>
      <c r="F77" s="3" t="s">
        <v>543</v>
      </c>
      <c r="G77" s="3" t="s">
        <v>469</v>
      </c>
      <c r="H77" s="3" t="n">
        <v>23</v>
      </c>
      <c r="I77" s="4" t="n">
        <v>250</v>
      </c>
      <c r="J77" s="4" t="n">
        <v>340</v>
      </c>
      <c r="K77" s="4" t="n">
        <f aca="false">H77*J77</f>
        <v>7820</v>
      </c>
      <c r="L77" s="4" t="n">
        <f aca="false">H77*I77</f>
        <v>5750</v>
      </c>
      <c r="M77" s="4" t="n">
        <f aca="false">K77-L77</f>
        <v>2070</v>
      </c>
    </row>
    <row r="78" customFormat="false" ht="15" hidden="false" customHeight="false" outlineLevel="0" collapsed="false">
      <c r="A78" s="6" t="s">
        <v>2154</v>
      </c>
      <c r="B78" s="6" t="s">
        <v>1882</v>
      </c>
      <c r="C78" s="6" t="s">
        <v>1592</v>
      </c>
      <c r="D78" s="6" t="s">
        <v>1593</v>
      </c>
      <c r="E78" s="6" t="s">
        <v>513</v>
      </c>
      <c r="F78" s="6" t="s">
        <v>512</v>
      </c>
      <c r="G78" s="6" t="s">
        <v>469</v>
      </c>
      <c r="H78" s="6" t="n">
        <v>48</v>
      </c>
      <c r="I78" s="7" t="n">
        <v>2800</v>
      </c>
      <c r="J78" s="7" t="n">
        <v>3800</v>
      </c>
      <c r="K78" s="7" t="n">
        <f aca="false">H78*J78</f>
        <v>182400</v>
      </c>
      <c r="L78" s="7" t="n">
        <f aca="false">H78*I78</f>
        <v>134400</v>
      </c>
      <c r="M78" s="7" t="n">
        <f aca="false">K78-L78</f>
        <v>48000</v>
      </c>
    </row>
    <row r="79" customFormat="false" ht="15" hidden="false" customHeight="false" outlineLevel="0" collapsed="false">
      <c r="A79" s="3" t="s">
        <v>2155</v>
      </c>
      <c r="B79" s="3" t="s">
        <v>2008</v>
      </c>
      <c r="C79" s="3" t="s">
        <v>1263</v>
      </c>
      <c r="D79" s="3" t="s">
        <v>1264</v>
      </c>
      <c r="E79" s="3" t="s">
        <v>535</v>
      </c>
      <c r="F79" s="3" t="s">
        <v>534</v>
      </c>
      <c r="G79" s="3" t="s">
        <v>469</v>
      </c>
      <c r="H79" s="3" t="n">
        <v>23</v>
      </c>
      <c r="I79" s="4" t="n">
        <v>750</v>
      </c>
      <c r="J79" s="4" t="n">
        <v>1050</v>
      </c>
      <c r="K79" s="4" t="n">
        <f aca="false">H79*J79</f>
        <v>24150</v>
      </c>
      <c r="L79" s="4" t="n">
        <f aca="false">H79*I79</f>
        <v>17250</v>
      </c>
      <c r="M79" s="4" t="n">
        <f aca="false">K79-L79</f>
        <v>6900</v>
      </c>
    </row>
    <row r="80" customFormat="false" ht="15" hidden="false" customHeight="false" outlineLevel="0" collapsed="false">
      <c r="A80" s="6" t="s">
        <v>2156</v>
      </c>
      <c r="B80" s="6" t="s">
        <v>2045</v>
      </c>
      <c r="C80" s="6" t="s">
        <v>1531</v>
      </c>
      <c r="D80" s="6" t="s">
        <v>1532</v>
      </c>
      <c r="E80" s="6" t="s">
        <v>684</v>
      </c>
      <c r="F80" s="6" t="s">
        <v>683</v>
      </c>
      <c r="G80" s="6" t="s">
        <v>609</v>
      </c>
      <c r="H80" s="6" t="n">
        <v>10</v>
      </c>
      <c r="I80" s="7" t="n">
        <v>3500</v>
      </c>
      <c r="J80" s="7" t="n">
        <v>5200</v>
      </c>
      <c r="K80" s="7" t="n">
        <f aca="false">H80*J80</f>
        <v>52000</v>
      </c>
      <c r="L80" s="7" t="n">
        <f aca="false">H80*I80</f>
        <v>35000</v>
      </c>
      <c r="M80" s="7" t="n">
        <f aca="false">K80-L80</f>
        <v>17000</v>
      </c>
    </row>
    <row r="81" customFormat="false" ht="15" hidden="false" customHeight="false" outlineLevel="0" collapsed="false">
      <c r="A81" s="3" t="s">
        <v>2157</v>
      </c>
      <c r="B81" s="3" t="s">
        <v>2158</v>
      </c>
      <c r="C81" s="3" t="s">
        <v>1616</v>
      </c>
      <c r="D81" s="3" t="s">
        <v>1617</v>
      </c>
      <c r="E81" s="3" t="s">
        <v>804</v>
      </c>
      <c r="F81" s="3" t="s">
        <v>803</v>
      </c>
      <c r="G81" s="3" t="s">
        <v>731</v>
      </c>
      <c r="H81" s="3" t="n">
        <v>47</v>
      </c>
      <c r="I81" s="4" t="n">
        <v>85</v>
      </c>
      <c r="J81" s="4" t="n">
        <v>135</v>
      </c>
      <c r="K81" s="4" t="n">
        <f aca="false">H81*J81</f>
        <v>6345</v>
      </c>
      <c r="L81" s="4" t="n">
        <f aca="false">H81*I81</f>
        <v>3995</v>
      </c>
      <c r="M81" s="4" t="n">
        <f aca="false">K81-L81</f>
        <v>2350</v>
      </c>
    </row>
    <row r="82" customFormat="false" ht="15" hidden="false" customHeight="false" outlineLevel="0" collapsed="false">
      <c r="A82" s="6" t="s">
        <v>2159</v>
      </c>
      <c r="B82" s="6" t="s">
        <v>2160</v>
      </c>
      <c r="C82" s="6" t="s">
        <v>1517</v>
      </c>
      <c r="D82" s="6" t="s">
        <v>1518</v>
      </c>
      <c r="E82" s="6" t="s">
        <v>750</v>
      </c>
      <c r="F82" s="6" t="s">
        <v>749</v>
      </c>
      <c r="G82" s="6" t="s">
        <v>731</v>
      </c>
      <c r="H82" s="6" t="n">
        <v>49</v>
      </c>
      <c r="I82" s="7" t="n">
        <v>380</v>
      </c>
      <c r="J82" s="7" t="n">
        <v>550</v>
      </c>
      <c r="K82" s="7" t="n">
        <f aca="false">H82*J82</f>
        <v>26950</v>
      </c>
      <c r="L82" s="7" t="n">
        <f aca="false">H82*I82</f>
        <v>18620</v>
      </c>
      <c r="M82" s="7" t="n">
        <f aca="false">K82-L82</f>
        <v>8330</v>
      </c>
    </row>
    <row r="83" customFormat="false" ht="15" hidden="false" customHeight="false" outlineLevel="0" collapsed="false">
      <c r="A83" s="3" t="s">
        <v>2161</v>
      </c>
      <c r="B83" s="3" t="s">
        <v>2162</v>
      </c>
      <c r="C83" s="3" t="s">
        <v>1353</v>
      </c>
      <c r="D83" s="3" t="s">
        <v>1354</v>
      </c>
      <c r="E83" s="3" t="s">
        <v>807</v>
      </c>
      <c r="F83" s="3" t="s">
        <v>806</v>
      </c>
      <c r="G83" s="3" t="s">
        <v>731</v>
      </c>
      <c r="H83" s="3" t="n">
        <v>42</v>
      </c>
      <c r="I83" s="4" t="n">
        <v>120</v>
      </c>
      <c r="J83" s="4" t="n">
        <v>185</v>
      </c>
      <c r="K83" s="4" t="n">
        <f aca="false">H83*J83</f>
        <v>7770</v>
      </c>
      <c r="L83" s="4" t="n">
        <f aca="false">H83*I83</f>
        <v>5040</v>
      </c>
      <c r="M83" s="4" t="n">
        <f aca="false">K83-L83</f>
        <v>2730</v>
      </c>
    </row>
    <row r="84" customFormat="false" ht="15" hidden="false" customHeight="false" outlineLevel="0" collapsed="false">
      <c r="A84" s="6" t="s">
        <v>2163</v>
      </c>
      <c r="B84" s="6" t="s">
        <v>1809</v>
      </c>
      <c r="C84" s="6" t="s">
        <v>1304</v>
      </c>
      <c r="D84" s="6" t="s">
        <v>1305</v>
      </c>
      <c r="E84" s="6" t="s">
        <v>580</v>
      </c>
      <c r="F84" s="6" t="s">
        <v>579</v>
      </c>
      <c r="G84" s="6" t="s">
        <v>469</v>
      </c>
      <c r="H84" s="6" t="n">
        <v>24</v>
      </c>
      <c r="I84" s="7" t="n">
        <v>850</v>
      </c>
      <c r="J84" s="7" t="n">
        <v>1200</v>
      </c>
      <c r="K84" s="7" t="n">
        <f aca="false">H84*J84</f>
        <v>28800</v>
      </c>
      <c r="L84" s="7" t="n">
        <f aca="false">H84*I84</f>
        <v>20400</v>
      </c>
      <c r="M84" s="7" t="n">
        <f aca="false">K84-L84</f>
        <v>8400</v>
      </c>
    </row>
    <row r="85" customFormat="false" ht="15" hidden="false" customHeight="false" outlineLevel="0" collapsed="false">
      <c r="A85" s="3" t="s">
        <v>2164</v>
      </c>
      <c r="B85" s="3" t="s">
        <v>2165</v>
      </c>
      <c r="C85" s="3" t="s">
        <v>1521</v>
      </c>
      <c r="D85" s="3" t="s">
        <v>1522</v>
      </c>
      <c r="E85" s="3" t="s">
        <v>242</v>
      </c>
      <c r="F85" s="3" t="s">
        <v>241</v>
      </c>
      <c r="G85" s="3" t="s">
        <v>169</v>
      </c>
      <c r="H85" s="3" t="n">
        <v>33</v>
      </c>
      <c r="I85" s="4" t="n">
        <v>70</v>
      </c>
      <c r="J85" s="4" t="n">
        <v>100</v>
      </c>
      <c r="K85" s="4" t="n">
        <f aca="false">H85*J85</f>
        <v>3300</v>
      </c>
      <c r="L85" s="4" t="n">
        <f aca="false">H85*I85</f>
        <v>2310</v>
      </c>
      <c r="M85" s="4" t="n">
        <f aca="false">K85-L85</f>
        <v>990</v>
      </c>
    </row>
    <row r="86" customFormat="false" ht="15" hidden="false" customHeight="false" outlineLevel="0" collapsed="false">
      <c r="A86" s="6" t="s">
        <v>2166</v>
      </c>
      <c r="B86" s="6" t="s">
        <v>1917</v>
      </c>
      <c r="C86" s="6" t="s">
        <v>1478</v>
      </c>
      <c r="D86" s="6" t="s">
        <v>1479</v>
      </c>
      <c r="E86" s="6" t="s">
        <v>350</v>
      </c>
      <c r="F86" s="6" t="s">
        <v>349</v>
      </c>
      <c r="G86" s="6" t="s">
        <v>330</v>
      </c>
      <c r="H86" s="6" t="n">
        <v>41</v>
      </c>
      <c r="I86" s="7" t="n">
        <v>2200</v>
      </c>
      <c r="J86" s="7" t="n">
        <v>3200</v>
      </c>
      <c r="K86" s="7" t="n">
        <f aca="false">H86*J86</f>
        <v>131200</v>
      </c>
      <c r="L86" s="7" t="n">
        <f aca="false">H86*I86</f>
        <v>90200</v>
      </c>
      <c r="M86" s="7" t="n">
        <f aca="false">K86-L86</f>
        <v>41000</v>
      </c>
    </row>
    <row r="87" customFormat="false" ht="15" hidden="false" customHeight="false" outlineLevel="0" collapsed="false">
      <c r="A87" s="3" t="s">
        <v>2167</v>
      </c>
      <c r="B87" s="3" t="s">
        <v>2168</v>
      </c>
      <c r="C87" s="3" t="s">
        <v>1263</v>
      </c>
      <c r="D87" s="3" t="s">
        <v>1264</v>
      </c>
      <c r="E87" s="3" t="s">
        <v>161</v>
      </c>
      <c r="F87" s="3" t="s">
        <v>160</v>
      </c>
      <c r="G87" s="3" t="s">
        <v>17</v>
      </c>
      <c r="H87" s="3" t="n">
        <v>18</v>
      </c>
      <c r="I87" s="4" t="n">
        <v>22000</v>
      </c>
      <c r="J87" s="4" t="n">
        <v>28000</v>
      </c>
      <c r="K87" s="4" t="n">
        <f aca="false">H87*J87</f>
        <v>504000</v>
      </c>
      <c r="L87" s="4" t="n">
        <f aca="false">H87*I87</f>
        <v>396000</v>
      </c>
      <c r="M87" s="4" t="n">
        <f aca="false">K87-L87</f>
        <v>108000</v>
      </c>
    </row>
    <row r="88" customFormat="false" ht="15" hidden="false" customHeight="false" outlineLevel="0" collapsed="false">
      <c r="A88" s="6" t="s">
        <v>2169</v>
      </c>
      <c r="B88" s="6" t="s">
        <v>2170</v>
      </c>
      <c r="C88" s="6" t="s">
        <v>1596</v>
      </c>
      <c r="D88" s="6" t="s">
        <v>1597</v>
      </c>
      <c r="E88" s="6" t="s">
        <v>620</v>
      </c>
      <c r="F88" s="6" t="s">
        <v>619</v>
      </c>
      <c r="G88" s="6" t="s">
        <v>609</v>
      </c>
      <c r="H88" s="6" t="n">
        <v>5</v>
      </c>
      <c r="I88" s="7" t="n">
        <v>95</v>
      </c>
      <c r="J88" s="7" t="n">
        <v>135</v>
      </c>
      <c r="K88" s="7" t="n">
        <f aca="false">H88*J88</f>
        <v>675</v>
      </c>
      <c r="L88" s="7" t="n">
        <f aca="false">H88*I88</f>
        <v>475</v>
      </c>
      <c r="M88" s="7" t="n">
        <f aca="false">K88-L88</f>
        <v>200</v>
      </c>
    </row>
    <row r="89" customFormat="false" ht="15" hidden="false" customHeight="false" outlineLevel="0" collapsed="false">
      <c r="A89" s="3" t="s">
        <v>2171</v>
      </c>
      <c r="B89" s="3" t="s">
        <v>1892</v>
      </c>
      <c r="C89" s="3" t="s">
        <v>1359</v>
      </c>
      <c r="D89" s="3" t="s">
        <v>1360</v>
      </c>
      <c r="E89" s="3" t="s">
        <v>380</v>
      </c>
      <c r="F89" s="3" t="s">
        <v>379</v>
      </c>
      <c r="G89" s="3" t="s">
        <v>330</v>
      </c>
      <c r="H89" s="3" t="n">
        <v>16</v>
      </c>
      <c r="I89" s="4" t="n">
        <v>2200</v>
      </c>
      <c r="J89" s="4" t="n">
        <v>3400</v>
      </c>
      <c r="K89" s="4" t="n">
        <f aca="false">H89*J89</f>
        <v>54400</v>
      </c>
      <c r="L89" s="4" t="n">
        <f aca="false">H89*I89</f>
        <v>35200</v>
      </c>
      <c r="M89" s="4" t="n">
        <f aca="false">K89-L89</f>
        <v>19200</v>
      </c>
    </row>
    <row r="90" customFormat="false" ht="15" hidden="false" customHeight="false" outlineLevel="0" collapsed="false">
      <c r="A90" s="6" t="s">
        <v>2172</v>
      </c>
      <c r="B90" s="6" t="s">
        <v>2173</v>
      </c>
      <c r="C90" s="6" t="s">
        <v>1232</v>
      </c>
      <c r="D90" s="6" t="s">
        <v>1233</v>
      </c>
      <c r="E90" s="6" t="s">
        <v>362</v>
      </c>
      <c r="F90" s="6" t="s">
        <v>361</v>
      </c>
      <c r="G90" s="6" t="s">
        <v>330</v>
      </c>
      <c r="H90" s="6" t="n">
        <v>10</v>
      </c>
      <c r="I90" s="7" t="n">
        <v>1600</v>
      </c>
      <c r="J90" s="7" t="n">
        <v>2400</v>
      </c>
      <c r="K90" s="7" t="n">
        <f aca="false">H90*J90</f>
        <v>24000</v>
      </c>
      <c r="L90" s="7" t="n">
        <f aca="false">H90*I90</f>
        <v>16000</v>
      </c>
      <c r="M90" s="7" t="n">
        <f aca="false">K90-L90</f>
        <v>8000</v>
      </c>
    </row>
    <row r="91" customFormat="false" ht="15" hidden="false" customHeight="false" outlineLevel="0" collapsed="false">
      <c r="A91" s="3" t="s">
        <v>2174</v>
      </c>
      <c r="B91" s="3" t="s">
        <v>2175</v>
      </c>
      <c r="C91" s="3" t="s">
        <v>1242</v>
      </c>
      <c r="D91" s="3" t="s">
        <v>1243</v>
      </c>
      <c r="E91" s="3" t="s">
        <v>298</v>
      </c>
      <c r="F91" s="3" t="s">
        <v>297</v>
      </c>
      <c r="G91" s="3" t="s">
        <v>169</v>
      </c>
      <c r="H91" s="3" t="n">
        <v>9</v>
      </c>
      <c r="I91" s="4" t="n">
        <v>185</v>
      </c>
      <c r="J91" s="4" t="n">
        <v>245</v>
      </c>
      <c r="K91" s="4" t="n">
        <f aca="false">H91*J91</f>
        <v>2205</v>
      </c>
      <c r="L91" s="4" t="n">
        <f aca="false">H91*I91</f>
        <v>1665</v>
      </c>
      <c r="M91" s="4" t="n">
        <f aca="false">K91-L91</f>
        <v>540</v>
      </c>
    </row>
    <row r="92" customFormat="false" ht="15" hidden="false" customHeight="false" outlineLevel="0" collapsed="false">
      <c r="A92" s="6" t="s">
        <v>2176</v>
      </c>
      <c r="B92" s="6" t="s">
        <v>2177</v>
      </c>
      <c r="C92" s="6" t="s">
        <v>1493</v>
      </c>
      <c r="D92" s="6" t="s">
        <v>1494</v>
      </c>
      <c r="E92" s="6" t="s">
        <v>102</v>
      </c>
      <c r="F92" s="6" t="s">
        <v>101</v>
      </c>
      <c r="G92" s="6" t="s">
        <v>17</v>
      </c>
      <c r="H92" s="6" t="n">
        <v>3</v>
      </c>
      <c r="I92" s="7" t="n">
        <v>150000</v>
      </c>
      <c r="J92" s="7" t="n">
        <v>185000</v>
      </c>
      <c r="K92" s="7" t="n">
        <f aca="false">H92*J92</f>
        <v>555000</v>
      </c>
      <c r="L92" s="7" t="n">
        <f aca="false">H92*I92</f>
        <v>450000</v>
      </c>
      <c r="M92" s="7" t="n">
        <f aca="false">K92-L92</f>
        <v>105000</v>
      </c>
    </row>
    <row r="93" customFormat="false" ht="15" hidden="false" customHeight="false" outlineLevel="0" collapsed="false">
      <c r="A93" s="3" t="s">
        <v>2178</v>
      </c>
      <c r="B93" s="3" t="s">
        <v>2179</v>
      </c>
      <c r="C93" s="3" t="s">
        <v>1478</v>
      </c>
      <c r="D93" s="3" t="s">
        <v>1479</v>
      </c>
      <c r="E93" s="3" t="s">
        <v>69</v>
      </c>
      <c r="F93" s="3" t="s">
        <v>68</v>
      </c>
      <c r="G93" s="3" t="s">
        <v>17</v>
      </c>
      <c r="H93" s="3" t="n">
        <v>31</v>
      </c>
      <c r="I93" s="4" t="n">
        <v>108000</v>
      </c>
      <c r="J93" s="4" t="n">
        <v>130000</v>
      </c>
      <c r="K93" s="4" t="n">
        <f aca="false">H93*J93</f>
        <v>4030000</v>
      </c>
      <c r="L93" s="4" t="n">
        <f aca="false">H93*I93</f>
        <v>3348000</v>
      </c>
      <c r="M93" s="4" t="n">
        <f aca="false">K93-L93</f>
        <v>682000</v>
      </c>
    </row>
    <row r="94" customFormat="false" ht="15" hidden="false" customHeight="false" outlineLevel="0" collapsed="false">
      <c r="A94" s="6" t="s">
        <v>2180</v>
      </c>
      <c r="B94" s="6" t="s">
        <v>2165</v>
      </c>
      <c r="C94" s="6" t="s">
        <v>1502</v>
      </c>
      <c r="D94" s="6" t="s">
        <v>1503</v>
      </c>
      <c r="E94" s="6" t="s">
        <v>775</v>
      </c>
      <c r="F94" s="6" t="s">
        <v>774</v>
      </c>
      <c r="G94" s="6" t="s">
        <v>731</v>
      </c>
      <c r="H94" s="6" t="n">
        <v>48</v>
      </c>
      <c r="I94" s="7" t="n">
        <v>280</v>
      </c>
      <c r="J94" s="7" t="n">
        <v>430</v>
      </c>
      <c r="K94" s="7" t="n">
        <f aca="false">H94*J94</f>
        <v>20640</v>
      </c>
      <c r="L94" s="7" t="n">
        <f aca="false">H94*I94</f>
        <v>13440</v>
      </c>
      <c r="M94" s="7" t="n">
        <f aca="false">K94-L94</f>
        <v>7200</v>
      </c>
    </row>
    <row r="95" customFormat="false" ht="15" hidden="false" customHeight="false" outlineLevel="0" collapsed="false">
      <c r="A95" s="3" t="s">
        <v>2181</v>
      </c>
      <c r="B95" s="3" t="s">
        <v>1745</v>
      </c>
      <c r="C95" s="3" t="s">
        <v>1587</v>
      </c>
      <c r="D95" s="3" t="s">
        <v>1588</v>
      </c>
      <c r="E95" s="3" t="s">
        <v>121</v>
      </c>
      <c r="F95" s="3" t="s">
        <v>120</v>
      </c>
      <c r="G95" s="3" t="s">
        <v>17</v>
      </c>
      <c r="H95" s="3" t="n">
        <v>9</v>
      </c>
      <c r="I95" s="4" t="n">
        <v>195000</v>
      </c>
      <c r="J95" s="4" t="n">
        <v>239000</v>
      </c>
      <c r="K95" s="4" t="n">
        <f aca="false">H95*J95</f>
        <v>2151000</v>
      </c>
      <c r="L95" s="4" t="n">
        <f aca="false">H95*I95</f>
        <v>1755000</v>
      </c>
      <c r="M95" s="4" t="n">
        <f aca="false">K95-L95</f>
        <v>396000</v>
      </c>
    </row>
    <row r="96" customFormat="false" ht="15" hidden="false" customHeight="false" outlineLevel="0" collapsed="false">
      <c r="A96" s="6" t="s">
        <v>2182</v>
      </c>
      <c r="B96" s="6" t="s">
        <v>1917</v>
      </c>
      <c r="C96" s="6" t="s">
        <v>1498</v>
      </c>
      <c r="D96" s="6" t="s">
        <v>1499</v>
      </c>
      <c r="E96" s="6" t="s">
        <v>355</v>
      </c>
      <c r="F96" s="6" t="s">
        <v>354</v>
      </c>
      <c r="G96" s="6" t="s">
        <v>330</v>
      </c>
      <c r="H96" s="6" t="n">
        <v>36</v>
      </c>
      <c r="I96" s="7" t="n">
        <v>1400</v>
      </c>
      <c r="J96" s="7" t="n">
        <v>2100</v>
      </c>
      <c r="K96" s="7" t="n">
        <f aca="false">H96*J96</f>
        <v>75600</v>
      </c>
      <c r="L96" s="7" t="n">
        <f aca="false">H96*I96</f>
        <v>50400</v>
      </c>
      <c r="M96" s="7" t="n">
        <f aca="false">K96-L96</f>
        <v>25200</v>
      </c>
    </row>
    <row r="97" customFormat="false" ht="15" hidden="false" customHeight="false" outlineLevel="0" collapsed="false">
      <c r="A97" s="3" t="s">
        <v>2183</v>
      </c>
      <c r="B97" s="3" t="s">
        <v>2184</v>
      </c>
      <c r="C97" s="3" t="s">
        <v>1468</v>
      </c>
      <c r="D97" s="3" t="s">
        <v>1469</v>
      </c>
      <c r="E97" s="3" t="s">
        <v>200</v>
      </c>
      <c r="F97" s="3" t="s">
        <v>199</v>
      </c>
      <c r="G97" s="3" t="s">
        <v>169</v>
      </c>
      <c r="H97" s="3" t="n">
        <v>29</v>
      </c>
      <c r="I97" s="4" t="n">
        <v>430</v>
      </c>
      <c r="J97" s="4" t="n">
        <v>560</v>
      </c>
      <c r="K97" s="4" t="n">
        <f aca="false">H97*J97</f>
        <v>16240</v>
      </c>
      <c r="L97" s="4" t="n">
        <f aca="false">H97*I97</f>
        <v>12470</v>
      </c>
      <c r="M97" s="4" t="n">
        <f aca="false">K97-L97</f>
        <v>3770</v>
      </c>
    </row>
    <row r="98" customFormat="false" ht="15" hidden="false" customHeight="false" outlineLevel="0" collapsed="false">
      <c r="A98" s="6" t="s">
        <v>2185</v>
      </c>
      <c r="B98" s="6" t="s">
        <v>1955</v>
      </c>
      <c r="C98" s="6" t="s">
        <v>1507</v>
      </c>
      <c r="D98" s="6" t="s">
        <v>1508</v>
      </c>
      <c r="E98" s="6" t="s">
        <v>842</v>
      </c>
      <c r="F98" s="6" t="s">
        <v>841</v>
      </c>
      <c r="G98" s="6" t="s">
        <v>816</v>
      </c>
      <c r="H98" s="6" t="n">
        <v>31</v>
      </c>
      <c r="I98" s="7" t="n">
        <v>650</v>
      </c>
      <c r="J98" s="7" t="n">
        <v>950</v>
      </c>
      <c r="K98" s="7" t="n">
        <f aca="false">H98*J98</f>
        <v>29450</v>
      </c>
      <c r="L98" s="7" t="n">
        <f aca="false">H98*I98</f>
        <v>20150</v>
      </c>
      <c r="M98" s="7" t="n">
        <f aca="false">K98-L98</f>
        <v>9300</v>
      </c>
    </row>
    <row r="99" customFormat="false" ht="15" hidden="false" customHeight="false" outlineLevel="0" collapsed="false">
      <c r="A99" s="3" t="s">
        <v>2186</v>
      </c>
      <c r="B99" s="3" t="s">
        <v>2187</v>
      </c>
      <c r="C99" s="3" t="s">
        <v>1304</v>
      </c>
      <c r="D99" s="3" t="s">
        <v>1305</v>
      </c>
      <c r="E99" s="3" t="s">
        <v>208</v>
      </c>
      <c r="F99" s="3" t="s">
        <v>207</v>
      </c>
      <c r="G99" s="3" t="s">
        <v>169</v>
      </c>
      <c r="H99" s="3" t="n">
        <v>13</v>
      </c>
      <c r="I99" s="4" t="n">
        <v>1100</v>
      </c>
      <c r="J99" s="4" t="n">
        <v>1450</v>
      </c>
      <c r="K99" s="4" t="n">
        <f aca="false">H99*J99</f>
        <v>18850</v>
      </c>
      <c r="L99" s="4" t="n">
        <f aca="false">H99*I99</f>
        <v>14300</v>
      </c>
      <c r="M99" s="4" t="n">
        <f aca="false">K99-L99</f>
        <v>4550</v>
      </c>
    </row>
    <row r="100" customFormat="false" ht="15" hidden="false" customHeight="false" outlineLevel="0" collapsed="false">
      <c r="A100" s="6" t="s">
        <v>2188</v>
      </c>
      <c r="B100" s="6" t="s">
        <v>1815</v>
      </c>
      <c r="C100" s="6" t="s">
        <v>1304</v>
      </c>
      <c r="D100" s="6" t="s">
        <v>1305</v>
      </c>
      <c r="E100" s="6" t="s">
        <v>147</v>
      </c>
      <c r="F100" s="6" t="s">
        <v>146</v>
      </c>
      <c r="G100" s="6" t="s">
        <v>17</v>
      </c>
      <c r="H100" s="6" t="n">
        <v>29</v>
      </c>
      <c r="I100" s="7" t="n">
        <v>72000</v>
      </c>
      <c r="J100" s="7" t="n">
        <v>90000</v>
      </c>
      <c r="K100" s="7" t="n">
        <f aca="false">H100*J100</f>
        <v>2610000</v>
      </c>
      <c r="L100" s="7" t="n">
        <f aca="false">H100*I100</f>
        <v>2088000</v>
      </c>
      <c r="M100" s="7" t="n">
        <f aca="false">K100-L100</f>
        <v>522000</v>
      </c>
    </row>
    <row r="101" customFormat="false" ht="15" hidden="false" customHeight="false" outlineLevel="0" collapsed="false">
      <c r="A101" s="3" t="s">
        <v>2189</v>
      </c>
      <c r="B101" s="3" t="s">
        <v>2083</v>
      </c>
      <c r="C101" s="3" t="s">
        <v>1220</v>
      </c>
      <c r="D101" s="3" t="s">
        <v>1221</v>
      </c>
      <c r="E101" s="3" t="s">
        <v>513</v>
      </c>
      <c r="F101" s="3" t="s">
        <v>512</v>
      </c>
      <c r="G101" s="3" t="s">
        <v>469</v>
      </c>
      <c r="H101" s="3" t="n">
        <v>50</v>
      </c>
      <c r="I101" s="4" t="n">
        <v>2800</v>
      </c>
      <c r="J101" s="4" t="n">
        <v>3800</v>
      </c>
      <c r="K101" s="4" t="n">
        <f aca="false">H101*J101</f>
        <v>190000</v>
      </c>
      <c r="L101" s="4" t="n">
        <f aca="false">H101*I101</f>
        <v>140000</v>
      </c>
      <c r="M101" s="4" t="n">
        <f aca="false">K101-L101</f>
        <v>50000</v>
      </c>
    </row>
    <row r="102" customFormat="false" ht="15" hidden="false" customHeight="false" outlineLevel="0" collapsed="false">
      <c r="A102" s="6" t="s">
        <v>2190</v>
      </c>
      <c r="B102" s="6" t="s">
        <v>1770</v>
      </c>
      <c r="C102" s="6" t="s">
        <v>1517</v>
      </c>
      <c r="D102" s="6" t="s">
        <v>1518</v>
      </c>
      <c r="E102" s="6" t="s">
        <v>695</v>
      </c>
      <c r="F102" s="6" t="s">
        <v>694</v>
      </c>
      <c r="G102" s="6" t="s">
        <v>609</v>
      </c>
      <c r="H102" s="6" t="n">
        <v>8</v>
      </c>
      <c r="I102" s="7" t="n">
        <v>680</v>
      </c>
      <c r="J102" s="7" t="n">
        <v>950</v>
      </c>
      <c r="K102" s="7" t="n">
        <f aca="false">H102*J102</f>
        <v>7600</v>
      </c>
      <c r="L102" s="7" t="n">
        <f aca="false">H102*I102</f>
        <v>5440</v>
      </c>
      <c r="M102" s="7" t="n">
        <f aca="false">K102-L102</f>
        <v>2160</v>
      </c>
    </row>
    <row r="103" customFormat="false" ht="15" hidden="false" customHeight="false" outlineLevel="0" collapsed="false">
      <c r="A103" s="3" t="s">
        <v>2191</v>
      </c>
      <c r="B103" s="3" t="s">
        <v>1822</v>
      </c>
      <c r="C103" s="3" t="s">
        <v>1314</v>
      </c>
      <c r="D103" s="3" t="s">
        <v>1315</v>
      </c>
      <c r="E103" s="3" t="s">
        <v>783</v>
      </c>
      <c r="F103" s="3" t="s">
        <v>782</v>
      </c>
      <c r="G103" s="3" t="s">
        <v>731</v>
      </c>
      <c r="H103" s="3" t="n">
        <v>47</v>
      </c>
      <c r="I103" s="4" t="n">
        <v>50</v>
      </c>
      <c r="J103" s="4" t="n">
        <v>80</v>
      </c>
      <c r="K103" s="4" t="n">
        <f aca="false">H103*J103</f>
        <v>3760</v>
      </c>
      <c r="L103" s="4" t="n">
        <f aca="false">H103*I103</f>
        <v>2350</v>
      </c>
      <c r="M103" s="4" t="n">
        <f aca="false">K103-L103</f>
        <v>1410</v>
      </c>
    </row>
    <row r="104" customFormat="false" ht="15" hidden="false" customHeight="false" outlineLevel="0" collapsed="false">
      <c r="A104" s="6" t="s">
        <v>2192</v>
      </c>
      <c r="B104" s="6" t="s">
        <v>1770</v>
      </c>
      <c r="C104" s="6" t="s">
        <v>1498</v>
      </c>
      <c r="D104" s="6" t="s">
        <v>1499</v>
      </c>
      <c r="E104" s="6" t="s">
        <v>239</v>
      </c>
      <c r="F104" s="6" t="s">
        <v>238</v>
      </c>
      <c r="G104" s="6" t="s">
        <v>169</v>
      </c>
      <c r="H104" s="6" t="n">
        <v>19</v>
      </c>
      <c r="I104" s="7" t="n">
        <v>50</v>
      </c>
      <c r="J104" s="7" t="n">
        <v>72</v>
      </c>
      <c r="K104" s="7" t="n">
        <f aca="false">H104*J104</f>
        <v>1368</v>
      </c>
      <c r="L104" s="7" t="n">
        <f aca="false">H104*I104</f>
        <v>950</v>
      </c>
      <c r="M104" s="7" t="n">
        <f aca="false">K104-L104</f>
        <v>418</v>
      </c>
    </row>
    <row r="105" customFormat="false" ht="15" hidden="false" customHeight="false" outlineLevel="0" collapsed="false">
      <c r="A105" s="3" t="s">
        <v>2193</v>
      </c>
      <c r="B105" s="3" t="s">
        <v>1937</v>
      </c>
      <c r="C105" s="3" t="s">
        <v>1242</v>
      </c>
      <c r="D105" s="3" t="s">
        <v>1243</v>
      </c>
      <c r="E105" s="3" t="s">
        <v>521</v>
      </c>
      <c r="F105" s="3" t="s">
        <v>520</v>
      </c>
      <c r="G105" s="3" t="s">
        <v>469</v>
      </c>
      <c r="H105" s="3" t="n">
        <v>24</v>
      </c>
      <c r="I105" s="4" t="n">
        <v>3200</v>
      </c>
      <c r="J105" s="4" t="n">
        <v>4400</v>
      </c>
      <c r="K105" s="4" t="n">
        <f aca="false">H105*J105</f>
        <v>105600</v>
      </c>
      <c r="L105" s="4" t="n">
        <f aca="false">H105*I105</f>
        <v>76800</v>
      </c>
      <c r="M105" s="4" t="n">
        <f aca="false">K105-L105</f>
        <v>28800</v>
      </c>
    </row>
    <row r="106" customFormat="false" ht="15" hidden="false" customHeight="false" outlineLevel="0" collapsed="false">
      <c r="A106" s="6" t="s">
        <v>2194</v>
      </c>
      <c r="B106" s="6" t="s">
        <v>2056</v>
      </c>
      <c r="C106" s="6" t="s">
        <v>1644</v>
      </c>
      <c r="D106" s="6" t="s">
        <v>1645</v>
      </c>
      <c r="E106" s="6" t="s">
        <v>278</v>
      </c>
      <c r="F106" s="6" t="s">
        <v>277</v>
      </c>
      <c r="G106" s="6" t="s">
        <v>169</v>
      </c>
      <c r="H106" s="6" t="n">
        <v>12</v>
      </c>
      <c r="I106" s="7" t="n">
        <v>120</v>
      </c>
      <c r="J106" s="7" t="n">
        <v>165</v>
      </c>
      <c r="K106" s="7" t="n">
        <f aca="false">H106*J106</f>
        <v>1980</v>
      </c>
      <c r="L106" s="7" t="n">
        <f aca="false">H106*I106</f>
        <v>1440</v>
      </c>
      <c r="M106" s="7" t="n">
        <f aca="false">K106-L106</f>
        <v>540</v>
      </c>
    </row>
    <row r="107" customFormat="false" ht="15" hidden="false" customHeight="false" outlineLevel="0" collapsed="false">
      <c r="A107" s="3" t="s">
        <v>2195</v>
      </c>
      <c r="B107" s="3" t="s">
        <v>1799</v>
      </c>
      <c r="C107" s="3" t="s">
        <v>1415</v>
      </c>
      <c r="D107" s="3" t="s">
        <v>1416</v>
      </c>
      <c r="E107" s="3" t="s">
        <v>625</v>
      </c>
      <c r="F107" s="3" t="s">
        <v>624</v>
      </c>
      <c r="G107" s="3" t="s">
        <v>609</v>
      </c>
      <c r="H107" s="3" t="n">
        <v>19</v>
      </c>
      <c r="I107" s="4" t="n">
        <v>45</v>
      </c>
      <c r="J107" s="4" t="n">
        <v>70</v>
      </c>
      <c r="K107" s="4" t="n">
        <f aca="false">H107*J107</f>
        <v>1330</v>
      </c>
      <c r="L107" s="4" t="n">
        <f aca="false">H107*I107</f>
        <v>855</v>
      </c>
      <c r="M107" s="4" t="n">
        <f aca="false">K107-L107</f>
        <v>475</v>
      </c>
    </row>
    <row r="108" customFormat="false" ht="15" hidden="false" customHeight="false" outlineLevel="0" collapsed="false">
      <c r="A108" s="6" t="s">
        <v>2196</v>
      </c>
      <c r="B108" s="6" t="s">
        <v>2197</v>
      </c>
      <c r="C108" s="6" t="s">
        <v>1394</v>
      </c>
      <c r="D108" s="6" t="s">
        <v>1395</v>
      </c>
      <c r="E108" s="6" t="s">
        <v>29</v>
      </c>
      <c r="F108" s="6" t="s">
        <v>28</v>
      </c>
      <c r="G108" s="6" t="s">
        <v>17</v>
      </c>
      <c r="H108" s="6" t="n">
        <v>25</v>
      </c>
      <c r="I108" s="7" t="n">
        <v>240000</v>
      </c>
      <c r="J108" s="7" t="n">
        <v>279000</v>
      </c>
      <c r="K108" s="7" t="n">
        <f aca="false">H108*J108</f>
        <v>6975000</v>
      </c>
      <c r="L108" s="7" t="n">
        <f aca="false">H108*I108</f>
        <v>6000000</v>
      </c>
      <c r="M108" s="7" t="n">
        <f aca="false">K108-L108</f>
        <v>975000</v>
      </c>
    </row>
    <row r="109" customFormat="false" ht="15" hidden="false" customHeight="false" outlineLevel="0" collapsed="false">
      <c r="A109" s="3" t="s">
        <v>2198</v>
      </c>
      <c r="B109" s="3" t="s">
        <v>1858</v>
      </c>
      <c r="C109" s="3" t="s">
        <v>1502</v>
      </c>
      <c r="D109" s="3" t="s">
        <v>1503</v>
      </c>
      <c r="E109" s="3" t="s">
        <v>324</v>
      </c>
      <c r="F109" s="3" t="s">
        <v>323</v>
      </c>
      <c r="G109" s="3" t="s">
        <v>169</v>
      </c>
      <c r="H109" s="3" t="n">
        <v>47</v>
      </c>
      <c r="I109" s="4" t="n">
        <v>750</v>
      </c>
      <c r="J109" s="4" t="n">
        <v>980</v>
      </c>
      <c r="K109" s="4" t="n">
        <f aca="false">H109*J109</f>
        <v>46060</v>
      </c>
      <c r="L109" s="4" t="n">
        <f aca="false">H109*I109</f>
        <v>35250</v>
      </c>
      <c r="M109" s="4" t="n">
        <f aca="false">K109-L109</f>
        <v>10810</v>
      </c>
    </row>
    <row r="110" customFormat="false" ht="15" hidden="false" customHeight="false" outlineLevel="0" collapsed="false">
      <c r="A110" s="6" t="s">
        <v>2199</v>
      </c>
      <c r="B110" s="6" t="s">
        <v>2200</v>
      </c>
      <c r="C110" s="6" t="s">
        <v>1220</v>
      </c>
      <c r="D110" s="6" t="s">
        <v>1221</v>
      </c>
      <c r="E110" s="6" t="s">
        <v>560</v>
      </c>
      <c r="F110" s="6" t="s">
        <v>559</v>
      </c>
      <c r="G110" s="6" t="s">
        <v>469</v>
      </c>
      <c r="H110" s="6" t="n">
        <v>12</v>
      </c>
      <c r="I110" s="7" t="n">
        <v>65</v>
      </c>
      <c r="J110" s="7" t="n">
        <v>95</v>
      </c>
      <c r="K110" s="7" t="n">
        <f aca="false">H110*J110</f>
        <v>1140</v>
      </c>
      <c r="L110" s="7" t="n">
        <f aca="false">H110*I110</f>
        <v>780</v>
      </c>
      <c r="M110" s="7" t="n">
        <f aca="false">K110-L110</f>
        <v>360</v>
      </c>
    </row>
    <row r="111" customFormat="false" ht="15" hidden="false" customHeight="false" outlineLevel="0" collapsed="false">
      <c r="A111" s="3" t="s">
        <v>2201</v>
      </c>
      <c r="B111" s="3" t="s">
        <v>2202</v>
      </c>
      <c r="C111" s="3" t="s">
        <v>1498</v>
      </c>
      <c r="D111" s="3" t="s">
        <v>1499</v>
      </c>
      <c r="E111" s="3" t="s">
        <v>887</v>
      </c>
      <c r="F111" s="3" t="s">
        <v>886</v>
      </c>
      <c r="G111" s="3" t="s">
        <v>816</v>
      </c>
      <c r="H111" s="3" t="n">
        <v>34</v>
      </c>
      <c r="I111" s="4" t="n">
        <v>180</v>
      </c>
      <c r="J111" s="4" t="n">
        <v>290</v>
      </c>
      <c r="K111" s="4" t="n">
        <f aca="false">H111*J111</f>
        <v>9860</v>
      </c>
      <c r="L111" s="4" t="n">
        <f aca="false">H111*I111</f>
        <v>6120</v>
      </c>
      <c r="M111" s="4" t="n">
        <f aca="false">K111-L111</f>
        <v>3740</v>
      </c>
    </row>
    <row r="112" customFormat="false" ht="15" hidden="false" customHeight="false" outlineLevel="0" collapsed="false">
      <c r="A112" s="6" t="s">
        <v>2203</v>
      </c>
      <c r="B112" s="6" t="s">
        <v>1729</v>
      </c>
      <c r="C112" s="6" t="s">
        <v>1359</v>
      </c>
      <c r="D112" s="6" t="s">
        <v>1360</v>
      </c>
      <c r="E112" s="6" t="s">
        <v>144</v>
      </c>
      <c r="F112" s="6" t="s">
        <v>143</v>
      </c>
      <c r="G112" s="6" t="s">
        <v>17</v>
      </c>
      <c r="H112" s="6" t="n">
        <v>27</v>
      </c>
      <c r="I112" s="7" t="n">
        <v>65000</v>
      </c>
      <c r="J112" s="7" t="n">
        <v>80000</v>
      </c>
      <c r="K112" s="7" t="n">
        <f aca="false">H112*J112</f>
        <v>2160000</v>
      </c>
      <c r="L112" s="7" t="n">
        <f aca="false">H112*I112</f>
        <v>1755000</v>
      </c>
      <c r="M112" s="7" t="n">
        <f aca="false">K112-L112</f>
        <v>405000</v>
      </c>
    </row>
    <row r="113" customFormat="false" ht="15" hidden="false" customHeight="false" outlineLevel="0" collapsed="false">
      <c r="A113" s="3" t="s">
        <v>2204</v>
      </c>
      <c r="B113" s="3" t="s">
        <v>2205</v>
      </c>
      <c r="C113" s="3" t="s">
        <v>1517</v>
      </c>
      <c r="D113" s="3" t="s">
        <v>1518</v>
      </c>
      <c r="E113" s="3" t="s">
        <v>113</v>
      </c>
      <c r="F113" s="3" t="s">
        <v>112</v>
      </c>
      <c r="G113" s="3" t="s">
        <v>17</v>
      </c>
      <c r="H113" s="3" t="n">
        <v>13</v>
      </c>
      <c r="I113" s="4" t="n">
        <v>28000</v>
      </c>
      <c r="J113" s="4" t="n">
        <v>36000</v>
      </c>
      <c r="K113" s="4" t="n">
        <f aca="false">H113*J113</f>
        <v>468000</v>
      </c>
      <c r="L113" s="4" t="n">
        <f aca="false">H113*I113</f>
        <v>364000</v>
      </c>
      <c r="M113" s="4" t="n">
        <f aca="false">K113-L113</f>
        <v>104000</v>
      </c>
    </row>
    <row r="114" customFormat="false" ht="15" hidden="false" customHeight="false" outlineLevel="0" collapsed="false">
      <c r="A114" s="6" t="s">
        <v>2206</v>
      </c>
      <c r="B114" s="6" t="s">
        <v>1768</v>
      </c>
      <c r="C114" s="6" t="s">
        <v>1458</v>
      </c>
      <c r="D114" s="6" t="s">
        <v>1459</v>
      </c>
      <c r="E114" s="6" t="s">
        <v>750</v>
      </c>
      <c r="F114" s="6" t="s">
        <v>749</v>
      </c>
      <c r="G114" s="6" t="s">
        <v>731</v>
      </c>
      <c r="H114" s="6" t="n">
        <v>29</v>
      </c>
      <c r="I114" s="7" t="n">
        <v>380</v>
      </c>
      <c r="J114" s="7" t="n">
        <v>550</v>
      </c>
      <c r="K114" s="7" t="n">
        <f aca="false">H114*J114</f>
        <v>15950</v>
      </c>
      <c r="L114" s="7" t="n">
        <f aca="false">H114*I114</f>
        <v>11020</v>
      </c>
      <c r="M114" s="7" t="n">
        <f aca="false">K114-L114</f>
        <v>4930</v>
      </c>
    </row>
    <row r="115" customFormat="false" ht="15" hidden="false" customHeight="false" outlineLevel="0" collapsed="false">
      <c r="A115" s="3" t="s">
        <v>2207</v>
      </c>
      <c r="B115" s="3" t="s">
        <v>2208</v>
      </c>
      <c r="C115" s="3" t="s">
        <v>1204</v>
      </c>
      <c r="D115" s="3" t="s">
        <v>1205</v>
      </c>
      <c r="E115" s="3" t="s">
        <v>779</v>
      </c>
      <c r="F115" s="3" t="s">
        <v>778</v>
      </c>
      <c r="G115" s="3" t="s">
        <v>731</v>
      </c>
      <c r="H115" s="3" t="n">
        <v>46</v>
      </c>
      <c r="I115" s="4" t="n">
        <v>180</v>
      </c>
      <c r="J115" s="4" t="n">
        <v>280</v>
      </c>
      <c r="K115" s="4" t="n">
        <f aca="false">H115*J115</f>
        <v>12880</v>
      </c>
      <c r="L115" s="4" t="n">
        <f aca="false">H115*I115</f>
        <v>8280</v>
      </c>
      <c r="M115" s="4" t="n">
        <f aca="false">K115-L115</f>
        <v>4600</v>
      </c>
    </row>
    <row r="116" customFormat="false" ht="15" hidden="false" customHeight="false" outlineLevel="0" collapsed="false">
      <c r="A116" s="6" t="s">
        <v>2209</v>
      </c>
      <c r="B116" s="6" t="s">
        <v>1955</v>
      </c>
      <c r="C116" s="6" t="s">
        <v>1294</v>
      </c>
      <c r="D116" s="6" t="s">
        <v>1295</v>
      </c>
      <c r="E116" s="6" t="s">
        <v>203</v>
      </c>
      <c r="F116" s="6" t="s">
        <v>202</v>
      </c>
      <c r="G116" s="6" t="s">
        <v>169</v>
      </c>
      <c r="H116" s="6" t="n">
        <v>7</v>
      </c>
      <c r="I116" s="7" t="n">
        <v>1900</v>
      </c>
      <c r="J116" s="7" t="n">
        <v>2450</v>
      </c>
      <c r="K116" s="7" t="n">
        <f aca="false">H116*J116</f>
        <v>17150</v>
      </c>
      <c r="L116" s="7" t="n">
        <f aca="false">H116*I116</f>
        <v>13300</v>
      </c>
      <c r="M116" s="7" t="n">
        <f aca="false">K116-L116</f>
        <v>3850</v>
      </c>
    </row>
    <row r="117" customFormat="false" ht="15" hidden="false" customHeight="false" outlineLevel="0" collapsed="false">
      <c r="A117" s="3" t="s">
        <v>2210</v>
      </c>
      <c r="B117" s="3" t="s">
        <v>1703</v>
      </c>
      <c r="C117" s="3" t="s">
        <v>1555</v>
      </c>
      <c r="D117" s="3" t="s">
        <v>1385</v>
      </c>
      <c r="E117" s="3" t="s">
        <v>768</v>
      </c>
      <c r="F117" s="3" t="s">
        <v>767</v>
      </c>
      <c r="G117" s="3" t="s">
        <v>731</v>
      </c>
      <c r="H117" s="3" t="n">
        <v>37</v>
      </c>
      <c r="I117" s="4" t="n">
        <v>1500</v>
      </c>
      <c r="J117" s="4" t="n">
        <v>2400</v>
      </c>
      <c r="K117" s="4" t="n">
        <f aca="false">H117*J117</f>
        <v>88800</v>
      </c>
      <c r="L117" s="4" t="n">
        <f aca="false">H117*I117</f>
        <v>55500</v>
      </c>
      <c r="M117" s="4" t="n">
        <f aca="false">K117-L117</f>
        <v>33300</v>
      </c>
    </row>
    <row r="118" customFormat="false" ht="15" hidden="false" customHeight="false" outlineLevel="0" collapsed="false">
      <c r="A118" s="6" t="s">
        <v>2211</v>
      </c>
      <c r="B118" s="6" t="s">
        <v>1754</v>
      </c>
      <c r="C118" s="6" t="s">
        <v>1284</v>
      </c>
      <c r="D118" s="6" t="s">
        <v>1285</v>
      </c>
      <c r="E118" s="6" t="s">
        <v>341</v>
      </c>
      <c r="F118" s="6" t="s">
        <v>340</v>
      </c>
      <c r="G118" s="6" t="s">
        <v>330</v>
      </c>
      <c r="H118" s="6" t="n">
        <v>16</v>
      </c>
      <c r="I118" s="7" t="n">
        <v>2500</v>
      </c>
      <c r="J118" s="7" t="n">
        <v>3800</v>
      </c>
      <c r="K118" s="7" t="n">
        <f aca="false">H118*J118</f>
        <v>60800</v>
      </c>
      <c r="L118" s="7" t="n">
        <f aca="false">H118*I118</f>
        <v>40000</v>
      </c>
      <c r="M118" s="7" t="n">
        <f aca="false">K118-L118</f>
        <v>20800</v>
      </c>
    </row>
    <row r="119" customFormat="false" ht="15" hidden="false" customHeight="false" outlineLevel="0" collapsed="false">
      <c r="A119" s="3" t="s">
        <v>2212</v>
      </c>
      <c r="B119" s="3" t="s">
        <v>1711</v>
      </c>
      <c r="C119" s="3" t="s">
        <v>1257</v>
      </c>
      <c r="D119" s="3" t="s">
        <v>1258</v>
      </c>
      <c r="E119" s="3" t="s">
        <v>264</v>
      </c>
      <c r="F119" s="3" t="s">
        <v>263</v>
      </c>
      <c r="G119" s="3" t="s">
        <v>169</v>
      </c>
      <c r="H119" s="3" t="n">
        <v>7</v>
      </c>
      <c r="I119" s="4" t="n">
        <v>350</v>
      </c>
      <c r="J119" s="4" t="n">
        <v>480</v>
      </c>
      <c r="K119" s="4" t="n">
        <f aca="false">H119*J119</f>
        <v>3360</v>
      </c>
      <c r="L119" s="4" t="n">
        <f aca="false">H119*I119</f>
        <v>2450</v>
      </c>
      <c r="M119" s="4" t="n">
        <f aca="false">K119-L119</f>
        <v>910</v>
      </c>
    </row>
    <row r="120" customFormat="false" ht="15" hidden="false" customHeight="false" outlineLevel="0" collapsed="false">
      <c r="A120" s="6" t="s">
        <v>2213</v>
      </c>
      <c r="B120" s="6" t="s">
        <v>2214</v>
      </c>
      <c r="C120" s="6" t="s">
        <v>1517</v>
      </c>
      <c r="D120" s="6" t="s">
        <v>1518</v>
      </c>
      <c r="E120" s="6" t="s">
        <v>756</v>
      </c>
      <c r="F120" s="6" t="s">
        <v>755</v>
      </c>
      <c r="G120" s="6" t="s">
        <v>731</v>
      </c>
      <c r="H120" s="6" t="n">
        <v>38</v>
      </c>
      <c r="I120" s="7" t="n">
        <v>320</v>
      </c>
      <c r="J120" s="7" t="n">
        <v>480</v>
      </c>
      <c r="K120" s="7" t="n">
        <f aca="false">H120*J120</f>
        <v>18240</v>
      </c>
      <c r="L120" s="7" t="n">
        <f aca="false">H120*I120</f>
        <v>12160</v>
      </c>
      <c r="M120" s="7" t="n">
        <f aca="false">K120-L120</f>
        <v>6080</v>
      </c>
    </row>
    <row r="121" customFormat="false" ht="15" hidden="false" customHeight="false" outlineLevel="0" collapsed="false">
      <c r="A121" s="3" t="s">
        <v>2215</v>
      </c>
      <c r="B121" s="3" t="s">
        <v>1764</v>
      </c>
      <c r="C121" s="3" t="s">
        <v>1394</v>
      </c>
      <c r="D121" s="3" t="s">
        <v>1395</v>
      </c>
      <c r="E121" s="3" t="s">
        <v>472</v>
      </c>
      <c r="F121" s="3" t="s">
        <v>471</v>
      </c>
      <c r="G121" s="3" t="s">
        <v>469</v>
      </c>
      <c r="H121" s="3" t="n">
        <v>16</v>
      </c>
      <c r="I121" s="4" t="n">
        <v>850</v>
      </c>
      <c r="J121" s="4" t="n">
        <v>1050</v>
      </c>
      <c r="K121" s="4" t="n">
        <f aca="false">H121*J121</f>
        <v>16800</v>
      </c>
      <c r="L121" s="4" t="n">
        <f aca="false">H121*I121</f>
        <v>13600</v>
      </c>
      <c r="M121" s="4" t="n">
        <f aca="false">K121-L121</f>
        <v>3200</v>
      </c>
    </row>
    <row r="122" customFormat="false" ht="15" hidden="false" customHeight="false" outlineLevel="0" collapsed="false">
      <c r="A122" s="6" t="s">
        <v>2216</v>
      </c>
      <c r="B122" s="6" t="s">
        <v>1996</v>
      </c>
      <c r="C122" s="6" t="s">
        <v>1289</v>
      </c>
      <c r="D122" s="6" t="s">
        <v>1290</v>
      </c>
      <c r="E122" s="6" t="s">
        <v>791</v>
      </c>
      <c r="F122" s="6" t="s">
        <v>790</v>
      </c>
      <c r="G122" s="6" t="s">
        <v>731</v>
      </c>
      <c r="H122" s="6" t="n">
        <v>33</v>
      </c>
      <c r="I122" s="7" t="n">
        <v>120</v>
      </c>
      <c r="J122" s="7" t="n">
        <v>190</v>
      </c>
      <c r="K122" s="7" t="n">
        <f aca="false">H122*J122</f>
        <v>6270</v>
      </c>
      <c r="L122" s="7" t="n">
        <f aca="false">H122*I122</f>
        <v>3960</v>
      </c>
      <c r="M122" s="7" t="n">
        <f aca="false">K122-L122</f>
        <v>2310</v>
      </c>
    </row>
    <row r="123" customFormat="false" ht="15" hidden="false" customHeight="false" outlineLevel="0" collapsed="false">
      <c r="A123" s="3" t="s">
        <v>2217</v>
      </c>
      <c r="B123" s="3" t="s">
        <v>1935</v>
      </c>
      <c r="C123" s="3" t="s">
        <v>1237</v>
      </c>
      <c r="D123" s="3" t="s">
        <v>1238</v>
      </c>
      <c r="E123" s="3" t="s">
        <v>495</v>
      </c>
      <c r="F123" s="3" t="s">
        <v>494</v>
      </c>
      <c r="G123" s="3" t="s">
        <v>469</v>
      </c>
      <c r="H123" s="3" t="n">
        <v>33</v>
      </c>
      <c r="I123" s="4" t="n">
        <v>180</v>
      </c>
      <c r="J123" s="4" t="n">
        <v>250</v>
      </c>
      <c r="K123" s="4" t="n">
        <f aca="false">H123*J123</f>
        <v>8250</v>
      </c>
      <c r="L123" s="4" t="n">
        <f aca="false">H123*I123</f>
        <v>5940</v>
      </c>
      <c r="M123" s="4" t="n">
        <f aca="false">K123-L123</f>
        <v>2310</v>
      </c>
    </row>
    <row r="124" customFormat="false" ht="15" hidden="false" customHeight="false" outlineLevel="0" collapsed="false">
      <c r="A124" s="6" t="s">
        <v>2218</v>
      </c>
      <c r="B124" s="6" t="s">
        <v>2170</v>
      </c>
      <c r="C124" s="6" t="s">
        <v>1193</v>
      </c>
      <c r="D124" s="6" t="s">
        <v>1194</v>
      </c>
      <c r="E124" s="6" t="s">
        <v>327</v>
      </c>
      <c r="F124" s="6" t="s">
        <v>326</v>
      </c>
      <c r="G124" s="6" t="s">
        <v>169</v>
      </c>
      <c r="H124" s="6" t="n">
        <v>17</v>
      </c>
      <c r="I124" s="7" t="n">
        <v>280</v>
      </c>
      <c r="J124" s="7" t="n">
        <v>380</v>
      </c>
      <c r="K124" s="7" t="n">
        <f aca="false">H124*J124</f>
        <v>6460</v>
      </c>
      <c r="L124" s="7" t="n">
        <f aca="false">H124*I124</f>
        <v>4760</v>
      </c>
      <c r="M124" s="7" t="n">
        <f aca="false">K124-L124</f>
        <v>1700</v>
      </c>
    </row>
    <row r="125" customFormat="false" ht="15" hidden="false" customHeight="false" outlineLevel="0" collapsed="false">
      <c r="A125" s="3" t="s">
        <v>2219</v>
      </c>
      <c r="B125" s="3" t="s">
        <v>2220</v>
      </c>
      <c r="C125" s="3" t="s">
        <v>1379</v>
      </c>
      <c r="D125" s="3" t="s">
        <v>1380</v>
      </c>
      <c r="E125" s="3" t="s">
        <v>301</v>
      </c>
      <c r="F125" s="3" t="s">
        <v>300</v>
      </c>
      <c r="G125" s="3" t="s">
        <v>169</v>
      </c>
      <c r="H125" s="3" t="n">
        <v>35</v>
      </c>
      <c r="I125" s="4" t="n">
        <v>1200</v>
      </c>
      <c r="J125" s="4" t="n">
        <v>1550</v>
      </c>
      <c r="K125" s="4" t="n">
        <f aca="false">H125*J125</f>
        <v>54250</v>
      </c>
      <c r="L125" s="4" t="n">
        <f aca="false">H125*I125</f>
        <v>42000</v>
      </c>
      <c r="M125" s="4" t="n">
        <f aca="false">K125-L125</f>
        <v>12250</v>
      </c>
    </row>
    <row r="126" customFormat="false" ht="15" hidden="false" customHeight="false" outlineLevel="0" collapsed="false">
      <c r="A126" s="6" t="s">
        <v>2221</v>
      </c>
      <c r="B126" s="6" t="s">
        <v>2083</v>
      </c>
      <c r="C126" s="6" t="s">
        <v>1601</v>
      </c>
      <c r="D126" s="6" t="s">
        <v>1602</v>
      </c>
      <c r="E126" s="6" t="s">
        <v>695</v>
      </c>
      <c r="F126" s="6" t="s">
        <v>694</v>
      </c>
      <c r="G126" s="6" t="s">
        <v>609</v>
      </c>
      <c r="H126" s="6" t="n">
        <v>5</v>
      </c>
      <c r="I126" s="7" t="n">
        <v>680</v>
      </c>
      <c r="J126" s="7" t="n">
        <v>950</v>
      </c>
      <c r="K126" s="7" t="n">
        <f aca="false">H126*J126</f>
        <v>4750</v>
      </c>
      <c r="L126" s="7" t="n">
        <f aca="false">H126*I126</f>
        <v>3400</v>
      </c>
      <c r="M126" s="7" t="n">
        <f aca="false">K126-L126</f>
        <v>1350</v>
      </c>
    </row>
    <row r="127" customFormat="false" ht="15" hidden="false" customHeight="false" outlineLevel="0" collapsed="false">
      <c r="A127" s="3" t="s">
        <v>2222</v>
      </c>
      <c r="B127" s="3" t="s">
        <v>2223</v>
      </c>
      <c r="C127" s="3" t="s">
        <v>1182</v>
      </c>
      <c r="D127" s="3" t="s">
        <v>1183</v>
      </c>
      <c r="E127" s="3" t="s">
        <v>407</v>
      </c>
      <c r="F127" s="3" t="s">
        <v>406</v>
      </c>
      <c r="G127" s="3" t="s">
        <v>330</v>
      </c>
      <c r="H127" s="3" t="n">
        <v>4</v>
      </c>
      <c r="I127" s="4" t="n">
        <v>500</v>
      </c>
      <c r="J127" s="4" t="n">
        <v>800</v>
      </c>
      <c r="K127" s="4" t="n">
        <f aca="false">H127*J127</f>
        <v>3200</v>
      </c>
      <c r="L127" s="4" t="n">
        <f aca="false">H127*I127</f>
        <v>2000</v>
      </c>
      <c r="M127" s="4" t="n">
        <f aca="false">K127-L127</f>
        <v>1200</v>
      </c>
    </row>
    <row r="128" customFormat="false" ht="15" hidden="false" customHeight="false" outlineLevel="0" collapsed="false">
      <c r="A128" s="6" t="s">
        <v>2224</v>
      </c>
      <c r="B128" s="6" t="s">
        <v>1789</v>
      </c>
      <c r="C128" s="6" t="s">
        <v>1657</v>
      </c>
      <c r="D128" s="6" t="s">
        <v>1658</v>
      </c>
      <c r="E128" s="6" t="s">
        <v>801</v>
      </c>
      <c r="F128" s="6" t="s">
        <v>800</v>
      </c>
      <c r="G128" s="6" t="s">
        <v>731</v>
      </c>
      <c r="H128" s="6" t="n">
        <v>12</v>
      </c>
      <c r="I128" s="7" t="n">
        <v>380</v>
      </c>
      <c r="J128" s="7" t="n">
        <v>580</v>
      </c>
      <c r="K128" s="7" t="n">
        <f aca="false">H128*J128</f>
        <v>6960</v>
      </c>
      <c r="L128" s="7" t="n">
        <f aca="false">H128*I128</f>
        <v>4560</v>
      </c>
      <c r="M128" s="7" t="n">
        <f aca="false">K128-L128</f>
        <v>2400</v>
      </c>
    </row>
    <row r="129" customFormat="false" ht="15" hidden="false" customHeight="false" outlineLevel="0" collapsed="false">
      <c r="A129" s="3" t="s">
        <v>2225</v>
      </c>
      <c r="B129" s="3" t="s">
        <v>1701</v>
      </c>
      <c r="C129" s="3" t="s">
        <v>1577</v>
      </c>
      <c r="D129" s="3" t="s">
        <v>1578</v>
      </c>
      <c r="E129" s="3" t="s">
        <v>259</v>
      </c>
      <c r="F129" s="3" t="s">
        <v>258</v>
      </c>
      <c r="G129" s="3" t="s">
        <v>169</v>
      </c>
      <c r="H129" s="3" t="n">
        <v>5</v>
      </c>
      <c r="I129" s="4" t="n">
        <v>650</v>
      </c>
      <c r="J129" s="4" t="n">
        <v>870</v>
      </c>
      <c r="K129" s="4" t="n">
        <f aca="false">H129*J129</f>
        <v>4350</v>
      </c>
      <c r="L129" s="4" t="n">
        <f aca="false">H129*I129</f>
        <v>3250</v>
      </c>
      <c r="M129" s="4" t="n">
        <f aca="false">K129-L129</f>
        <v>1100</v>
      </c>
    </row>
    <row r="130" customFormat="false" ht="15" hidden="false" customHeight="false" outlineLevel="0" collapsed="false">
      <c r="A130" s="6" t="s">
        <v>2226</v>
      </c>
      <c r="B130" s="6" t="s">
        <v>2227</v>
      </c>
      <c r="C130" s="6" t="s">
        <v>1204</v>
      </c>
      <c r="D130" s="6" t="s">
        <v>1205</v>
      </c>
      <c r="E130" s="6" t="s">
        <v>461</v>
      </c>
      <c r="F130" s="6" t="s">
        <v>460</v>
      </c>
      <c r="G130" s="6" t="s">
        <v>330</v>
      </c>
      <c r="H130" s="6" t="n">
        <v>1</v>
      </c>
      <c r="I130" s="7" t="n">
        <v>600</v>
      </c>
      <c r="J130" s="7" t="n">
        <v>950</v>
      </c>
      <c r="K130" s="7" t="n">
        <f aca="false">H130*J130</f>
        <v>950</v>
      </c>
      <c r="L130" s="7" t="n">
        <f aca="false">H130*I130</f>
        <v>600</v>
      </c>
      <c r="M130" s="7" t="n">
        <f aca="false">K130-L130</f>
        <v>350</v>
      </c>
    </row>
    <row r="131" customFormat="false" ht="15" hidden="false" customHeight="false" outlineLevel="0" collapsed="false">
      <c r="A131" s="3" t="s">
        <v>2228</v>
      </c>
      <c r="B131" s="3" t="s">
        <v>1768</v>
      </c>
      <c r="C131" s="3" t="s">
        <v>1319</v>
      </c>
      <c r="D131" s="3" t="s">
        <v>1320</v>
      </c>
      <c r="E131" s="3" t="s">
        <v>813</v>
      </c>
      <c r="F131" s="3" t="s">
        <v>812</v>
      </c>
      <c r="G131" s="3" t="s">
        <v>731</v>
      </c>
      <c r="H131" s="3" t="n">
        <v>25</v>
      </c>
      <c r="I131" s="4" t="n">
        <v>1800</v>
      </c>
      <c r="J131" s="4" t="n">
        <v>2700</v>
      </c>
      <c r="K131" s="4" t="n">
        <f aca="false">H131*J131</f>
        <v>67500</v>
      </c>
      <c r="L131" s="4" t="n">
        <f aca="false">H131*I131</f>
        <v>45000</v>
      </c>
      <c r="M131" s="4" t="n">
        <f aca="false">K131-L131</f>
        <v>22500</v>
      </c>
    </row>
    <row r="132" customFormat="false" ht="15" hidden="false" customHeight="false" outlineLevel="0" collapsed="false">
      <c r="A132" s="6" t="s">
        <v>2229</v>
      </c>
      <c r="B132" s="6" t="s">
        <v>1766</v>
      </c>
      <c r="C132" s="6" t="s">
        <v>1473</v>
      </c>
      <c r="D132" s="6" t="s">
        <v>1474</v>
      </c>
      <c r="E132" s="6" t="s">
        <v>612</v>
      </c>
      <c r="F132" s="6" t="s">
        <v>611</v>
      </c>
      <c r="G132" s="6" t="s">
        <v>609</v>
      </c>
      <c r="H132" s="6" t="n">
        <v>6</v>
      </c>
      <c r="I132" s="7" t="n">
        <v>85</v>
      </c>
      <c r="J132" s="7" t="n">
        <v>120</v>
      </c>
      <c r="K132" s="7" t="n">
        <f aca="false">H132*J132</f>
        <v>720</v>
      </c>
      <c r="L132" s="7" t="n">
        <f aca="false">H132*I132</f>
        <v>510</v>
      </c>
      <c r="M132" s="7" t="n">
        <f aca="false">K132-L132</f>
        <v>210</v>
      </c>
    </row>
    <row r="133" customFormat="false" ht="15" hidden="false" customHeight="false" outlineLevel="0" collapsed="false">
      <c r="A133" s="3" t="s">
        <v>2230</v>
      </c>
      <c r="B133" s="3" t="s">
        <v>2231</v>
      </c>
      <c r="C133" s="3" t="s">
        <v>1473</v>
      </c>
      <c r="D133" s="3" t="s">
        <v>1474</v>
      </c>
      <c r="E133" s="3" t="s">
        <v>824</v>
      </c>
      <c r="F133" s="3" t="s">
        <v>823</v>
      </c>
      <c r="G133" s="3" t="s">
        <v>816</v>
      </c>
      <c r="H133" s="3" t="n">
        <v>45</v>
      </c>
      <c r="I133" s="4" t="n">
        <v>3200</v>
      </c>
      <c r="J133" s="4" t="n">
        <v>4500</v>
      </c>
      <c r="K133" s="4" t="n">
        <f aca="false">H133*J133</f>
        <v>202500</v>
      </c>
      <c r="L133" s="4" t="n">
        <f aca="false">H133*I133</f>
        <v>144000</v>
      </c>
      <c r="M133" s="4" t="n">
        <f aca="false">K133-L133</f>
        <v>58500</v>
      </c>
    </row>
    <row r="134" customFormat="false" ht="15" hidden="false" customHeight="false" outlineLevel="0" collapsed="false">
      <c r="A134" s="6" t="s">
        <v>2232</v>
      </c>
      <c r="B134" s="6" t="s">
        <v>2173</v>
      </c>
      <c r="C134" s="6" t="s">
        <v>1512</v>
      </c>
      <c r="D134" s="6" t="s">
        <v>1513</v>
      </c>
      <c r="E134" s="6" t="s">
        <v>842</v>
      </c>
      <c r="F134" s="6" t="s">
        <v>841</v>
      </c>
      <c r="G134" s="6" t="s">
        <v>816</v>
      </c>
      <c r="H134" s="6" t="n">
        <v>19</v>
      </c>
      <c r="I134" s="7" t="n">
        <v>650</v>
      </c>
      <c r="J134" s="7" t="n">
        <v>950</v>
      </c>
      <c r="K134" s="7" t="n">
        <f aca="false">H134*J134</f>
        <v>18050</v>
      </c>
      <c r="L134" s="7" t="n">
        <f aca="false">H134*I134</f>
        <v>12350</v>
      </c>
      <c r="M134" s="7" t="n">
        <f aca="false">K134-L134</f>
        <v>5700</v>
      </c>
    </row>
    <row r="135" customFormat="false" ht="15" hidden="false" customHeight="false" outlineLevel="0" collapsed="false">
      <c r="A135" s="3" t="s">
        <v>2233</v>
      </c>
      <c r="B135" s="3" t="s">
        <v>2054</v>
      </c>
      <c r="C135" s="3" t="s">
        <v>1463</v>
      </c>
      <c r="D135" s="3" t="s">
        <v>1464</v>
      </c>
      <c r="E135" s="3" t="s">
        <v>132</v>
      </c>
      <c r="F135" s="3" t="s">
        <v>131</v>
      </c>
      <c r="G135" s="3" t="s">
        <v>17</v>
      </c>
      <c r="H135" s="3" t="n">
        <v>13</v>
      </c>
      <c r="I135" s="4" t="n">
        <v>95000</v>
      </c>
      <c r="J135" s="4" t="n">
        <v>118000</v>
      </c>
      <c r="K135" s="4" t="n">
        <f aca="false">H135*J135</f>
        <v>1534000</v>
      </c>
      <c r="L135" s="4" t="n">
        <f aca="false">H135*I135</f>
        <v>1235000</v>
      </c>
      <c r="M135" s="4" t="n">
        <f aca="false">K135-L135</f>
        <v>299000</v>
      </c>
    </row>
    <row r="136" customFormat="false" ht="15" hidden="false" customHeight="false" outlineLevel="0" collapsed="false">
      <c r="A136" s="6" t="s">
        <v>2234</v>
      </c>
      <c r="B136" s="6" t="s">
        <v>1707</v>
      </c>
      <c r="C136" s="6" t="s">
        <v>1577</v>
      </c>
      <c r="D136" s="6" t="s">
        <v>1578</v>
      </c>
      <c r="E136" s="6" t="s">
        <v>681</v>
      </c>
      <c r="F136" s="6" t="s">
        <v>680</v>
      </c>
      <c r="G136" s="6" t="s">
        <v>609</v>
      </c>
      <c r="H136" s="6" t="n">
        <v>8</v>
      </c>
      <c r="I136" s="7" t="n">
        <v>650</v>
      </c>
      <c r="J136" s="7" t="n">
        <v>1000</v>
      </c>
      <c r="K136" s="7" t="n">
        <f aca="false">H136*J136</f>
        <v>8000</v>
      </c>
      <c r="L136" s="7" t="n">
        <f aca="false">H136*I136</f>
        <v>5200</v>
      </c>
      <c r="M136" s="7" t="n">
        <f aca="false">K136-L136</f>
        <v>2800</v>
      </c>
    </row>
    <row r="137" customFormat="false" ht="15" hidden="false" customHeight="false" outlineLevel="0" collapsed="false">
      <c r="A137" s="3" t="s">
        <v>2235</v>
      </c>
      <c r="B137" s="3" t="s">
        <v>1842</v>
      </c>
      <c r="C137" s="3" t="s">
        <v>1300</v>
      </c>
      <c r="D137" s="3" t="s">
        <v>1301</v>
      </c>
      <c r="E137" s="3" t="s">
        <v>396</v>
      </c>
      <c r="F137" s="3" t="s">
        <v>395</v>
      </c>
      <c r="G137" s="3" t="s">
        <v>330</v>
      </c>
      <c r="H137" s="3" t="n">
        <v>43</v>
      </c>
      <c r="I137" s="4" t="n">
        <v>800</v>
      </c>
      <c r="J137" s="4" t="n">
        <v>1250</v>
      </c>
      <c r="K137" s="4" t="n">
        <f aca="false">H137*J137</f>
        <v>53750</v>
      </c>
      <c r="L137" s="4" t="n">
        <f aca="false">H137*I137</f>
        <v>34400</v>
      </c>
      <c r="M137" s="4" t="n">
        <f aca="false">K137-L137</f>
        <v>19350</v>
      </c>
    </row>
    <row r="138" customFormat="false" ht="15" hidden="false" customHeight="false" outlineLevel="0" collapsed="false">
      <c r="A138" s="6" t="s">
        <v>2236</v>
      </c>
      <c r="B138" s="6" t="s">
        <v>1944</v>
      </c>
      <c r="C138" s="6" t="s">
        <v>1324</v>
      </c>
      <c r="D138" s="6" t="s">
        <v>1325</v>
      </c>
      <c r="E138" s="6" t="s">
        <v>214</v>
      </c>
      <c r="F138" s="6" t="s">
        <v>213</v>
      </c>
      <c r="G138" s="6" t="s">
        <v>169</v>
      </c>
      <c r="H138" s="6" t="n">
        <v>19</v>
      </c>
      <c r="I138" s="7" t="n">
        <v>65</v>
      </c>
      <c r="J138" s="7" t="n">
        <v>95</v>
      </c>
      <c r="K138" s="7" t="n">
        <f aca="false">H138*J138</f>
        <v>1805</v>
      </c>
      <c r="L138" s="7" t="n">
        <f aca="false">H138*I138</f>
        <v>1235</v>
      </c>
      <c r="M138" s="7" t="n">
        <f aca="false">K138-L138</f>
        <v>570</v>
      </c>
    </row>
    <row r="139" customFormat="false" ht="15" hidden="false" customHeight="false" outlineLevel="0" collapsed="false">
      <c r="A139" s="3" t="s">
        <v>2237</v>
      </c>
      <c r="B139" s="3" t="s">
        <v>2238</v>
      </c>
      <c r="C139" s="3" t="s">
        <v>1209</v>
      </c>
      <c r="D139" s="3" t="s">
        <v>1210</v>
      </c>
      <c r="E139" s="3" t="s">
        <v>150</v>
      </c>
      <c r="F139" s="3" t="s">
        <v>149</v>
      </c>
      <c r="G139" s="3" t="s">
        <v>17</v>
      </c>
      <c r="H139" s="3" t="n">
        <v>15</v>
      </c>
      <c r="I139" s="4" t="n">
        <v>82000</v>
      </c>
      <c r="J139" s="4" t="n">
        <v>102000</v>
      </c>
      <c r="K139" s="4" t="n">
        <f aca="false">H139*J139</f>
        <v>1530000</v>
      </c>
      <c r="L139" s="4" t="n">
        <f aca="false">H139*I139</f>
        <v>1230000</v>
      </c>
      <c r="M139" s="4" t="n">
        <f aca="false">K139-L139</f>
        <v>300000</v>
      </c>
    </row>
    <row r="140" customFormat="false" ht="15" hidden="false" customHeight="false" outlineLevel="0" collapsed="false">
      <c r="A140" s="6" t="s">
        <v>2239</v>
      </c>
      <c r="B140" s="6" t="s">
        <v>2240</v>
      </c>
      <c r="C140" s="6" t="s">
        <v>1577</v>
      </c>
      <c r="D140" s="6" t="s">
        <v>1578</v>
      </c>
      <c r="E140" s="6" t="s">
        <v>555</v>
      </c>
      <c r="F140" s="6" t="s">
        <v>554</v>
      </c>
      <c r="G140" s="6" t="s">
        <v>469</v>
      </c>
      <c r="H140" s="6" t="n">
        <v>39</v>
      </c>
      <c r="I140" s="7" t="n">
        <v>45</v>
      </c>
      <c r="J140" s="7" t="n">
        <v>65</v>
      </c>
      <c r="K140" s="7" t="n">
        <f aca="false">H140*J140</f>
        <v>2535</v>
      </c>
      <c r="L140" s="7" t="n">
        <f aca="false">H140*I140</f>
        <v>1755</v>
      </c>
      <c r="M140" s="7" t="n">
        <f aca="false">K140-L140</f>
        <v>780</v>
      </c>
    </row>
    <row r="141" customFormat="false" ht="15" hidden="false" customHeight="false" outlineLevel="0" collapsed="false">
      <c r="A141" s="3" t="s">
        <v>2241</v>
      </c>
      <c r="B141" s="3" t="s">
        <v>2242</v>
      </c>
      <c r="C141" s="3" t="s">
        <v>1359</v>
      </c>
      <c r="D141" s="3" t="s">
        <v>1360</v>
      </c>
      <c r="E141" s="3" t="s">
        <v>734</v>
      </c>
      <c r="F141" s="3" t="s">
        <v>733</v>
      </c>
      <c r="G141" s="3" t="s">
        <v>731</v>
      </c>
      <c r="H141" s="3" t="n">
        <v>40</v>
      </c>
      <c r="I141" s="4" t="n">
        <v>1100</v>
      </c>
      <c r="J141" s="4" t="n">
        <v>1550</v>
      </c>
      <c r="K141" s="4" t="n">
        <f aca="false">H141*J141</f>
        <v>62000</v>
      </c>
      <c r="L141" s="4" t="n">
        <f aca="false">H141*I141</f>
        <v>44000</v>
      </c>
      <c r="M141" s="4" t="n">
        <f aca="false">K141-L141</f>
        <v>18000</v>
      </c>
    </row>
    <row r="142" customFormat="false" ht="15" hidden="false" customHeight="false" outlineLevel="0" collapsed="false">
      <c r="A142" s="6" t="s">
        <v>2243</v>
      </c>
      <c r="B142" s="6" t="s">
        <v>2006</v>
      </c>
      <c r="C142" s="6" t="s">
        <v>1661</v>
      </c>
      <c r="D142" s="6" t="s">
        <v>1662</v>
      </c>
      <c r="E142" s="6" t="s">
        <v>703</v>
      </c>
      <c r="F142" s="6" t="s">
        <v>702</v>
      </c>
      <c r="G142" s="6" t="s">
        <v>609</v>
      </c>
      <c r="H142" s="6" t="n">
        <v>39</v>
      </c>
      <c r="I142" s="7" t="n">
        <v>680</v>
      </c>
      <c r="J142" s="7" t="n">
        <v>980</v>
      </c>
      <c r="K142" s="7" t="n">
        <f aca="false">H142*J142</f>
        <v>38220</v>
      </c>
      <c r="L142" s="7" t="n">
        <f aca="false">H142*I142</f>
        <v>26520</v>
      </c>
      <c r="M142" s="7" t="n">
        <f aca="false">K142-L142</f>
        <v>11700</v>
      </c>
    </row>
    <row r="143" customFormat="false" ht="15" hidden="false" customHeight="false" outlineLevel="0" collapsed="false">
      <c r="A143" s="3" t="s">
        <v>2244</v>
      </c>
      <c r="B143" s="3" t="s">
        <v>2245</v>
      </c>
      <c r="C143" s="3" t="s">
        <v>1384</v>
      </c>
      <c r="D143" s="3" t="s">
        <v>1385</v>
      </c>
      <c r="E143" s="3" t="s">
        <v>158</v>
      </c>
      <c r="F143" s="3" t="s">
        <v>157</v>
      </c>
      <c r="G143" s="3" t="s">
        <v>17</v>
      </c>
      <c r="H143" s="3" t="n">
        <v>4</v>
      </c>
      <c r="I143" s="4" t="n">
        <v>75000</v>
      </c>
      <c r="J143" s="4" t="n">
        <v>95000</v>
      </c>
      <c r="K143" s="4" t="n">
        <f aca="false">H143*J143</f>
        <v>380000</v>
      </c>
      <c r="L143" s="4" t="n">
        <f aca="false">H143*I143</f>
        <v>300000</v>
      </c>
      <c r="M143" s="4" t="n">
        <f aca="false">K143-L143</f>
        <v>80000</v>
      </c>
    </row>
    <row r="144" customFormat="false" ht="15" hidden="false" customHeight="false" outlineLevel="0" collapsed="false">
      <c r="A144" s="6" t="s">
        <v>2246</v>
      </c>
      <c r="B144" s="6" t="s">
        <v>2247</v>
      </c>
      <c r="C144" s="6" t="s">
        <v>1502</v>
      </c>
      <c r="D144" s="6" t="s">
        <v>1503</v>
      </c>
      <c r="E144" s="6" t="s">
        <v>118</v>
      </c>
      <c r="F144" s="6" t="s">
        <v>117</v>
      </c>
      <c r="G144" s="6" t="s">
        <v>17</v>
      </c>
      <c r="H144" s="6" t="n">
        <v>33</v>
      </c>
      <c r="I144" s="7" t="n">
        <v>55000</v>
      </c>
      <c r="J144" s="7" t="n">
        <v>68000</v>
      </c>
      <c r="K144" s="7" t="n">
        <f aca="false">H144*J144</f>
        <v>2244000</v>
      </c>
      <c r="L144" s="7" t="n">
        <f aca="false">H144*I144</f>
        <v>1815000</v>
      </c>
      <c r="M144" s="7" t="n">
        <f aca="false">K144-L144</f>
        <v>429000</v>
      </c>
    </row>
    <row r="145" customFormat="false" ht="15" hidden="false" customHeight="false" outlineLevel="0" collapsed="false">
      <c r="A145" s="3" t="s">
        <v>2248</v>
      </c>
      <c r="B145" s="3" t="s">
        <v>2249</v>
      </c>
      <c r="C145" s="3" t="s">
        <v>1294</v>
      </c>
      <c r="D145" s="3" t="s">
        <v>1295</v>
      </c>
      <c r="E145" s="3" t="s">
        <v>521</v>
      </c>
      <c r="F145" s="3" t="s">
        <v>520</v>
      </c>
      <c r="G145" s="3" t="s">
        <v>469</v>
      </c>
      <c r="H145" s="3" t="n">
        <v>10</v>
      </c>
      <c r="I145" s="4" t="n">
        <v>3200</v>
      </c>
      <c r="J145" s="4" t="n">
        <v>4400</v>
      </c>
      <c r="K145" s="4" t="n">
        <f aca="false">H145*J145</f>
        <v>44000</v>
      </c>
      <c r="L145" s="4" t="n">
        <f aca="false">H145*I145</f>
        <v>32000</v>
      </c>
      <c r="M145" s="4" t="n">
        <f aca="false">K145-L145</f>
        <v>12000</v>
      </c>
    </row>
    <row r="146" customFormat="false" ht="15" hidden="false" customHeight="false" outlineLevel="0" collapsed="false">
      <c r="A146" s="6" t="s">
        <v>2250</v>
      </c>
      <c r="B146" s="6" t="s">
        <v>2251</v>
      </c>
      <c r="C146" s="6" t="s">
        <v>1403</v>
      </c>
      <c r="D146" s="6" t="s">
        <v>1404</v>
      </c>
      <c r="E146" s="6" t="s">
        <v>599</v>
      </c>
      <c r="F146" s="6" t="s">
        <v>598</v>
      </c>
      <c r="G146" s="6" t="s">
        <v>469</v>
      </c>
      <c r="H146" s="6" t="n">
        <v>9</v>
      </c>
      <c r="I146" s="7" t="n">
        <v>600</v>
      </c>
      <c r="J146" s="7" t="n">
        <v>900</v>
      </c>
      <c r="K146" s="7" t="n">
        <f aca="false">H146*J146</f>
        <v>8100</v>
      </c>
      <c r="L146" s="7" t="n">
        <f aca="false">H146*I146</f>
        <v>5400</v>
      </c>
      <c r="M146" s="7" t="n">
        <f aca="false">K146-L146</f>
        <v>2700</v>
      </c>
    </row>
    <row r="147" customFormat="false" ht="15" hidden="false" customHeight="false" outlineLevel="0" collapsed="false">
      <c r="A147" s="3" t="s">
        <v>2252</v>
      </c>
      <c r="B147" s="3" t="s">
        <v>1858</v>
      </c>
      <c r="C147" s="3" t="s">
        <v>1369</v>
      </c>
      <c r="D147" s="3" t="s">
        <v>1370</v>
      </c>
      <c r="E147" s="3" t="s">
        <v>824</v>
      </c>
      <c r="F147" s="3" t="s">
        <v>823</v>
      </c>
      <c r="G147" s="3" t="s">
        <v>816</v>
      </c>
      <c r="H147" s="3" t="n">
        <v>7</v>
      </c>
      <c r="I147" s="4" t="n">
        <v>3200</v>
      </c>
      <c r="J147" s="4" t="n">
        <v>4500</v>
      </c>
      <c r="K147" s="4" t="n">
        <f aca="false">H147*J147</f>
        <v>31500</v>
      </c>
      <c r="L147" s="4" t="n">
        <f aca="false">H147*I147</f>
        <v>22400</v>
      </c>
      <c r="M147" s="4" t="n">
        <f aca="false">K147-L147</f>
        <v>9100</v>
      </c>
    </row>
    <row r="148" customFormat="false" ht="15" hidden="false" customHeight="false" outlineLevel="0" collapsed="false">
      <c r="A148" s="6" t="s">
        <v>2253</v>
      </c>
      <c r="B148" s="6" t="s">
        <v>1892</v>
      </c>
      <c r="C148" s="6" t="s">
        <v>1374</v>
      </c>
      <c r="D148" s="6" t="s">
        <v>1375</v>
      </c>
      <c r="E148" s="6" t="s">
        <v>602</v>
      </c>
      <c r="F148" s="6" t="s">
        <v>601</v>
      </c>
      <c r="G148" s="6" t="s">
        <v>469</v>
      </c>
      <c r="H148" s="6" t="n">
        <v>30</v>
      </c>
      <c r="I148" s="7" t="n">
        <v>280</v>
      </c>
      <c r="J148" s="7" t="n">
        <v>420</v>
      </c>
      <c r="K148" s="7" t="n">
        <f aca="false">H148*J148</f>
        <v>12600</v>
      </c>
      <c r="L148" s="7" t="n">
        <f aca="false">H148*I148</f>
        <v>8400</v>
      </c>
      <c r="M148" s="7" t="n">
        <f aca="false">K148-L148</f>
        <v>4200</v>
      </c>
    </row>
    <row r="149" customFormat="false" ht="15" hidden="false" customHeight="false" outlineLevel="0" collapsed="false">
      <c r="A149" s="3" t="s">
        <v>2254</v>
      </c>
      <c r="B149" s="3" t="s">
        <v>2255</v>
      </c>
      <c r="C149" s="3" t="s">
        <v>1257</v>
      </c>
      <c r="D149" s="3" t="s">
        <v>1258</v>
      </c>
      <c r="E149" s="3" t="s">
        <v>110</v>
      </c>
      <c r="F149" s="3" t="s">
        <v>109</v>
      </c>
      <c r="G149" s="3" t="s">
        <v>17</v>
      </c>
      <c r="H149" s="3" t="n">
        <v>10</v>
      </c>
      <c r="I149" s="4" t="n">
        <v>68000</v>
      </c>
      <c r="J149" s="4" t="n">
        <v>85000</v>
      </c>
      <c r="K149" s="4" t="n">
        <f aca="false">H149*J149</f>
        <v>850000</v>
      </c>
      <c r="L149" s="4" t="n">
        <f aca="false">H149*I149</f>
        <v>680000</v>
      </c>
      <c r="M149" s="4" t="n">
        <f aca="false">K149-L149</f>
        <v>170000</v>
      </c>
    </row>
    <row r="150" customFormat="false" ht="15" hidden="false" customHeight="false" outlineLevel="0" collapsed="false">
      <c r="A150" s="6" t="s">
        <v>2256</v>
      </c>
      <c r="B150" s="6" t="s">
        <v>2257</v>
      </c>
      <c r="C150" s="6" t="s">
        <v>1279</v>
      </c>
      <c r="D150" s="6" t="s">
        <v>1280</v>
      </c>
      <c r="E150" s="6" t="s">
        <v>677</v>
      </c>
      <c r="F150" s="6" t="s">
        <v>676</v>
      </c>
      <c r="G150" s="6" t="s">
        <v>609</v>
      </c>
      <c r="H150" s="6" t="n">
        <v>33</v>
      </c>
      <c r="I150" s="7" t="n">
        <v>2800</v>
      </c>
      <c r="J150" s="7" t="n">
        <v>4200</v>
      </c>
      <c r="K150" s="7" t="n">
        <f aca="false">H150*J150</f>
        <v>138600</v>
      </c>
      <c r="L150" s="7" t="n">
        <f aca="false">H150*I150</f>
        <v>92400</v>
      </c>
      <c r="M150" s="7" t="n">
        <f aca="false">K150-L150</f>
        <v>46200</v>
      </c>
    </row>
    <row r="151" customFormat="false" ht="15" hidden="false" customHeight="false" outlineLevel="0" collapsed="false">
      <c r="A151" s="3" t="s">
        <v>2258</v>
      </c>
      <c r="B151" s="3" t="s">
        <v>2259</v>
      </c>
      <c r="C151" s="3" t="s">
        <v>1412</v>
      </c>
      <c r="D151" s="3" t="s">
        <v>1413</v>
      </c>
      <c r="E151" s="3" t="s">
        <v>350</v>
      </c>
      <c r="F151" s="3" t="s">
        <v>349</v>
      </c>
      <c r="G151" s="3" t="s">
        <v>330</v>
      </c>
      <c r="H151" s="3" t="n">
        <v>48</v>
      </c>
      <c r="I151" s="4" t="n">
        <v>2200</v>
      </c>
      <c r="J151" s="4" t="n">
        <v>3200</v>
      </c>
      <c r="K151" s="4" t="n">
        <f aca="false">H151*J151</f>
        <v>153600</v>
      </c>
      <c r="L151" s="4" t="n">
        <f aca="false">H151*I151</f>
        <v>105600</v>
      </c>
      <c r="M151" s="4" t="n">
        <f aca="false">K151-L151</f>
        <v>48000</v>
      </c>
    </row>
    <row r="152" customFormat="false" ht="15" hidden="false" customHeight="false" outlineLevel="0" collapsed="false">
      <c r="A152" s="6" t="s">
        <v>2260</v>
      </c>
      <c r="B152" s="6" t="s">
        <v>2261</v>
      </c>
      <c r="C152" s="6" t="s">
        <v>1626</v>
      </c>
      <c r="D152" s="6" t="s">
        <v>1627</v>
      </c>
      <c r="E152" s="6" t="s">
        <v>298</v>
      </c>
      <c r="F152" s="6" t="s">
        <v>297</v>
      </c>
      <c r="G152" s="6" t="s">
        <v>169</v>
      </c>
      <c r="H152" s="6" t="n">
        <v>2</v>
      </c>
      <c r="I152" s="7" t="n">
        <v>185</v>
      </c>
      <c r="J152" s="7" t="n">
        <v>245</v>
      </c>
      <c r="K152" s="7" t="n">
        <f aca="false">H152*J152</f>
        <v>490</v>
      </c>
      <c r="L152" s="7" t="n">
        <f aca="false">H152*I152</f>
        <v>370</v>
      </c>
      <c r="M152" s="7" t="n">
        <f aca="false">K152-L152</f>
        <v>120</v>
      </c>
    </row>
    <row r="153" customFormat="false" ht="15" hidden="false" customHeight="false" outlineLevel="0" collapsed="false">
      <c r="A153" s="3" t="s">
        <v>2262</v>
      </c>
      <c r="B153" s="3" t="s">
        <v>1764</v>
      </c>
      <c r="C153" s="3" t="s">
        <v>1384</v>
      </c>
      <c r="D153" s="3" t="s">
        <v>1385</v>
      </c>
      <c r="E153" s="3" t="s">
        <v>20</v>
      </c>
      <c r="F153" s="3" t="s">
        <v>19</v>
      </c>
      <c r="G153" s="3" t="s">
        <v>17</v>
      </c>
      <c r="H153" s="3" t="n">
        <v>19</v>
      </c>
      <c r="I153" s="4" t="n">
        <v>75000</v>
      </c>
      <c r="J153" s="4" t="n">
        <v>95000</v>
      </c>
      <c r="K153" s="4" t="n">
        <f aca="false">H153*J153</f>
        <v>1805000</v>
      </c>
      <c r="L153" s="4" t="n">
        <f aca="false">H153*I153</f>
        <v>1425000</v>
      </c>
      <c r="M153" s="4" t="n">
        <f aca="false">K153-L153</f>
        <v>380000</v>
      </c>
    </row>
    <row r="154" customFormat="false" ht="15" hidden="false" customHeight="false" outlineLevel="0" collapsed="false">
      <c r="A154" s="6" t="s">
        <v>2263</v>
      </c>
      <c r="B154" s="6" t="s">
        <v>1727</v>
      </c>
      <c r="C154" s="6" t="s">
        <v>1468</v>
      </c>
      <c r="D154" s="6" t="s">
        <v>1469</v>
      </c>
      <c r="E154" s="6" t="s">
        <v>516</v>
      </c>
      <c r="F154" s="6" t="s">
        <v>515</v>
      </c>
      <c r="G154" s="6" t="s">
        <v>469</v>
      </c>
      <c r="H154" s="6" t="n">
        <v>20</v>
      </c>
      <c r="I154" s="7" t="n">
        <v>3600</v>
      </c>
      <c r="J154" s="7" t="n">
        <v>4800</v>
      </c>
      <c r="K154" s="7" t="n">
        <f aca="false">H154*J154</f>
        <v>96000</v>
      </c>
      <c r="L154" s="7" t="n">
        <f aca="false">H154*I154</f>
        <v>72000</v>
      </c>
      <c r="M154" s="7" t="n">
        <f aca="false">K154-L154</f>
        <v>24000</v>
      </c>
    </row>
    <row r="155" customFormat="false" ht="15" hidden="false" customHeight="false" outlineLevel="0" collapsed="false">
      <c r="A155" s="3" t="s">
        <v>2264</v>
      </c>
      <c r="B155" s="3" t="s">
        <v>2265</v>
      </c>
      <c r="C155" s="3" t="s">
        <v>1198</v>
      </c>
      <c r="D155" s="3" t="s">
        <v>1199</v>
      </c>
      <c r="E155" s="3" t="s">
        <v>45</v>
      </c>
      <c r="F155" s="3" t="s">
        <v>44</v>
      </c>
      <c r="G155" s="3" t="s">
        <v>17</v>
      </c>
      <c r="H155" s="3" t="n">
        <v>6</v>
      </c>
      <c r="I155" s="4" t="n">
        <v>38000</v>
      </c>
      <c r="J155" s="4" t="n">
        <v>47000</v>
      </c>
      <c r="K155" s="4" t="n">
        <f aca="false">H155*J155</f>
        <v>282000</v>
      </c>
      <c r="L155" s="4" t="n">
        <f aca="false">H155*I155</f>
        <v>228000</v>
      </c>
      <c r="M155" s="4" t="n">
        <f aca="false">K155-L155</f>
        <v>54000</v>
      </c>
    </row>
    <row r="156" customFormat="false" ht="15" hidden="false" customHeight="false" outlineLevel="0" collapsed="false">
      <c r="A156" s="6" t="s">
        <v>2266</v>
      </c>
      <c r="B156" s="6" t="s">
        <v>2142</v>
      </c>
      <c r="C156" s="6" t="s">
        <v>1379</v>
      </c>
      <c r="D156" s="6" t="s">
        <v>1380</v>
      </c>
      <c r="E156" s="6" t="s">
        <v>560</v>
      </c>
      <c r="F156" s="6" t="s">
        <v>559</v>
      </c>
      <c r="G156" s="6" t="s">
        <v>469</v>
      </c>
      <c r="H156" s="6" t="n">
        <v>27</v>
      </c>
      <c r="I156" s="7" t="n">
        <v>65</v>
      </c>
      <c r="J156" s="7" t="n">
        <v>95</v>
      </c>
      <c r="K156" s="7" t="n">
        <f aca="false">H156*J156</f>
        <v>2565</v>
      </c>
      <c r="L156" s="7" t="n">
        <f aca="false">H156*I156</f>
        <v>1755</v>
      </c>
      <c r="M156" s="7" t="n">
        <f aca="false">K156-L156</f>
        <v>810</v>
      </c>
    </row>
    <row r="157" customFormat="false" ht="15" hidden="false" customHeight="false" outlineLevel="0" collapsed="false">
      <c r="A157" s="3" t="s">
        <v>2267</v>
      </c>
      <c r="B157" s="3" t="s">
        <v>2268</v>
      </c>
      <c r="C157" s="3" t="s">
        <v>1568</v>
      </c>
      <c r="D157" s="3" t="s">
        <v>1569</v>
      </c>
      <c r="E157" s="3" t="s">
        <v>502</v>
      </c>
      <c r="F157" s="3" t="s">
        <v>501</v>
      </c>
      <c r="G157" s="3" t="s">
        <v>469</v>
      </c>
      <c r="H157" s="3" t="n">
        <v>18</v>
      </c>
      <c r="I157" s="4" t="n">
        <v>260</v>
      </c>
      <c r="J157" s="4" t="n">
        <v>320</v>
      </c>
      <c r="K157" s="4" t="n">
        <f aca="false">H157*J157</f>
        <v>5760</v>
      </c>
      <c r="L157" s="4" t="n">
        <f aca="false">H157*I157</f>
        <v>4680</v>
      </c>
      <c r="M157" s="4" t="n">
        <f aca="false">K157-L157</f>
        <v>1080</v>
      </c>
    </row>
    <row r="158" customFormat="false" ht="15" hidden="false" customHeight="false" outlineLevel="0" collapsed="false">
      <c r="A158" s="6" t="s">
        <v>2269</v>
      </c>
      <c r="B158" s="6" t="s">
        <v>2270</v>
      </c>
      <c r="C158" s="6" t="s">
        <v>1582</v>
      </c>
      <c r="D158" s="6" t="s">
        <v>1583</v>
      </c>
      <c r="E158" s="6" t="s">
        <v>881</v>
      </c>
      <c r="F158" s="6" t="s">
        <v>880</v>
      </c>
      <c r="G158" s="6" t="s">
        <v>816</v>
      </c>
      <c r="H158" s="6" t="n">
        <v>28</v>
      </c>
      <c r="I158" s="7" t="n">
        <v>2500</v>
      </c>
      <c r="J158" s="7" t="n">
        <v>3800</v>
      </c>
      <c r="K158" s="7" t="n">
        <f aca="false">H158*J158</f>
        <v>106400</v>
      </c>
      <c r="L158" s="7" t="n">
        <f aca="false">H158*I158</f>
        <v>70000</v>
      </c>
      <c r="M158" s="7" t="n">
        <f aca="false">K158-L158</f>
        <v>36400</v>
      </c>
    </row>
    <row r="159" customFormat="false" ht="15" hidden="false" customHeight="false" outlineLevel="0" collapsed="false">
      <c r="A159" s="3" t="s">
        <v>2271</v>
      </c>
      <c r="B159" s="3" t="s">
        <v>2272</v>
      </c>
      <c r="C159" s="3" t="s">
        <v>1193</v>
      </c>
      <c r="D159" s="3" t="s">
        <v>1194</v>
      </c>
      <c r="E159" s="3" t="s">
        <v>99</v>
      </c>
      <c r="F159" s="3" t="s">
        <v>98</v>
      </c>
      <c r="G159" s="3" t="s">
        <v>17</v>
      </c>
      <c r="H159" s="3" t="n">
        <v>26</v>
      </c>
      <c r="I159" s="4" t="n">
        <v>78000</v>
      </c>
      <c r="J159" s="4" t="n">
        <v>98000</v>
      </c>
      <c r="K159" s="4" t="n">
        <f aca="false">H159*J159</f>
        <v>2548000</v>
      </c>
      <c r="L159" s="4" t="n">
        <f aca="false">H159*I159</f>
        <v>2028000</v>
      </c>
      <c r="M159" s="4" t="n">
        <f aca="false">K159-L159</f>
        <v>520000</v>
      </c>
    </row>
    <row r="160" customFormat="false" ht="15" hidden="false" customHeight="false" outlineLevel="0" collapsed="false">
      <c r="A160" s="6" t="s">
        <v>2273</v>
      </c>
      <c r="B160" s="6" t="s">
        <v>1826</v>
      </c>
      <c r="C160" s="6" t="s">
        <v>1639</v>
      </c>
      <c r="D160" s="6" t="s">
        <v>1640</v>
      </c>
      <c r="E160" s="6" t="s">
        <v>298</v>
      </c>
      <c r="F160" s="6" t="s">
        <v>297</v>
      </c>
      <c r="G160" s="6" t="s">
        <v>169</v>
      </c>
      <c r="H160" s="6" t="n">
        <v>1</v>
      </c>
      <c r="I160" s="7" t="n">
        <v>185</v>
      </c>
      <c r="J160" s="7" t="n">
        <v>245</v>
      </c>
      <c r="K160" s="7" t="n">
        <f aca="false">H160*J160</f>
        <v>245</v>
      </c>
      <c r="L160" s="7" t="n">
        <f aca="false">H160*I160</f>
        <v>185</v>
      </c>
      <c r="M160" s="7" t="n">
        <f aca="false">K160-L160</f>
        <v>60</v>
      </c>
    </row>
    <row r="161" customFormat="false" ht="15" hidden="false" customHeight="false" outlineLevel="0" collapsed="false">
      <c r="A161" s="3" t="s">
        <v>2274</v>
      </c>
      <c r="B161" s="3" t="s">
        <v>2160</v>
      </c>
      <c r="C161" s="3" t="s">
        <v>1550</v>
      </c>
      <c r="D161" s="3" t="s">
        <v>1551</v>
      </c>
      <c r="E161" s="3" t="s">
        <v>574</v>
      </c>
      <c r="F161" s="3" t="s">
        <v>573</v>
      </c>
      <c r="G161" s="3" t="s">
        <v>469</v>
      </c>
      <c r="H161" s="3" t="n">
        <v>5</v>
      </c>
      <c r="I161" s="4" t="n">
        <v>3200</v>
      </c>
      <c r="J161" s="4" t="n">
        <v>4500</v>
      </c>
      <c r="K161" s="4" t="n">
        <f aca="false">H161*J161</f>
        <v>22500</v>
      </c>
      <c r="L161" s="4" t="n">
        <f aca="false">H161*I161</f>
        <v>16000</v>
      </c>
      <c r="M161" s="4" t="n">
        <f aca="false">K161-L161</f>
        <v>6500</v>
      </c>
    </row>
    <row r="162" customFormat="false" ht="15" hidden="false" customHeight="false" outlineLevel="0" collapsed="false">
      <c r="A162" s="6" t="s">
        <v>2275</v>
      </c>
      <c r="B162" s="6" t="s">
        <v>2223</v>
      </c>
      <c r="C162" s="6" t="s">
        <v>1384</v>
      </c>
      <c r="D162" s="6" t="s">
        <v>1385</v>
      </c>
      <c r="E162" s="6" t="s">
        <v>26</v>
      </c>
      <c r="F162" s="6" t="s">
        <v>25</v>
      </c>
      <c r="G162" s="6" t="s">
        <v>17</v>
      </c>
      <c r="H162" s="6" t="n">
        <v>47</v>
      </c>
      <c r="I162" s="7" t="n">
        <v>55000</v>
      </c>
      <c r="J162" s="7" t="n">
        <v>68000</v>
      </c>
      <c r="K162" s="7" t="n">
        <f aca="false">H162*J162</f>
        <v>3196000</v>
      </c>
      <c r="L162" s="7" t="n">
        <f aca="false">H162*I162</f>
        <v>2585000</v>
      </c>
      <c r="M162" s="7" t="n">
        <f aca="false">K162-L162</f>
        <v>611000</v>
      </c>
    </row>
    <row r="163" customFormat="false" ht="15" hidden="false" customHeight="false" outlineLevel="0" collapsed="false">
      <c r="A163" s="3" t="s">
        <v>2276</v>
      </c>
      <c r="B163" s="3" t="s">
        <v>2277</v>
      </c>
      <c r="C163" s="3" t="s">
        <v>1454</v>
      </c>
      <c r="D163" s="3" t="s">
        <v>1455</v>
      </c>
      <c r="E163" s="3" t="s">
        <v>544</v>
      </c>
      <c r="F163" s="3" t="s">
        <v>543</v>
      </c>
      <c r="G163" s="3" t="s">
        <v>469</v>
      </c>
      <c r="H163" s="3" t="n">
        <v>7</v>
      </c>
      <c r="I163" s="4" t="n">
        <v>250</v>
      </c>
      <c r="J163" s="4" t="n">
        <v>340</v>
      </c>
      <c r="K163" s="4" t="n">
        <f aca="false">H163*J163</f>
        <v>2380</v>
      </c>
      <c r="L163" s="4" t="n">
        <f aca="false">H163*I163</f>
        <v>1750</v>
      </c>
      <c r="M163" s="4" t="n">
        <f aca="false">K163-L163</f>
        <v>630</v>
      </c>
    </row>
    <row r="164" customFormat="false" ht="15" hidden="false" customHeight="false" outlineLevel="0" collapsed="false">
      <c r="A164" s="6" t="s">
        <v>2278</v>
      </c>
      <c r="B164" s="6" t="s">
        <v>1894</v>
      </c>
      <c r="C164" s="6" t="s">
        <v>1193</v>
      </c>
      <c r="D164" s="6" t="s">
        <v>1194</v>
      </c>
      <c r="E164" s="6" t="s">
        <v>566</v>
      </c>
      <c r="F164" s="6" t="s">
        <v>565</v>
      </c>
      <c r="G164" s="6" t="s">
        <v>469</v>
      </c>
      <c r="H164" s="6" t="n">
        <v>47</v>
      </c>
      <c r="I164" s="7" t="n">
        <v>180</v>
      </c>
      <c r="J164" s="7" t="n">
        <v>280</v>
      </c>
      <c r="K164" s="7" t="n">
        <f aca="false">H164*J164</f>
        <v>13160</v>
      </c>
      <c r="L164" s="7" t="n">
        <f aca="false">H164*I164</f>
        <v>8460</v>
      </c>
      <c r="M164" s="7" t="n">
        <f aca="false">K164-L164</f>
        <v>4700</v>
      </c>
    </row>
    <row r="165" customFormat="false" ht="15" hidden="false" customHeight="false" outlineLevel="0" collapsed="false">
      <c r="A165" s="3" t="s">
        <v>2279</v>
      </c>
      <c r="B165" s="3" t="s">
        <v>2087</v>
      </c>
      <c r="C165" s="3" t="s">
        <v>1257</v>
      </c>
      <c r="D165" s="3" t="s">
        <v>1258</v>
      </c>
      <c r="E165" s="3" t="s">
        <v>750</v>
      </c>
      <c r="F165" s="3" t="s">
        <v>749</v>
      </c>
      <c r="G165" s="3" t="s">
        <v>731</v>
      </c>
      <c r="H165" s="3" t="n">
        <v>37</v>
      </c>
      <c r="I165" s="4" t="n">
        <v>380</v>
      </c>
      <c r="J165" s="4" t="n">
        <v>550</v>
      </c>
      <c r="K165" s="4" t="n">
        <f aca="false">H165*J165</f>
        <v>20350</v>
      </c>
      <c r="L165" s="4" t="n">
        <f aca="false">H165*I165</f>
        <v>14060</v>
      </c>
      <c r="M165" s="4" t="n">
        <f aca="false">K165-L165</f>
        <v>6290</v>
      </c>
    </row>
    <row r="166" customFormat="false" ht="15" hidden="false" customHeight="false" outlineLevel="0" collapsed="false">
      <c r="A166" s="6" t="s">
        <v>2280</v>
      </c>
      <c r="B166" s="6" t="s">
        <v>2281</v>
      </c>
      <c r="C166" s="6" t="s">
        <v>1198</v>
      </c>
      <c r="D166" s="6" t="s">
        <v>1199</v>
      </c>
      <c r="E166" s="6" t="s">
        <v>699</v>
      </c>
      <c r="F166" s="6" t="s">
        <v>698</v>
      </c>
      <c r="G166" s="6" t="s">
        <v>609</v>
      </c>
      <c r="H166" s="6" t="n">
        <v>40</v>
      </c>
      <c r="I166" s="7" t="n">
        <v>120</v>
      </c>
      <c r="J166" s="7" t="n">
        <v>175</v>
      </c>
      <c r="K166" s="7" t="n">
        <f aca="false">H166*J166</f>
        <v>7000</v>
      </c>
      <c r="L166" s="7" t="n">
        <f aca="false">H166*I166</f>
        <v>4800</v>
      </c>
      <c r="M166" s="7" t="n">
        <f aca="false">K166-L166</f>
        <v>2200</v>
      </c>
    </row>
    <row r="167" customFormat="false" ht="15" hidden="false" customHeight="false" outlineLevel="0" collapsed="false">
      <c r="A167" s="3" t="s">
        <v>2282</v>
      </c>
      <c r="B167" s="3" t="s">
        <v>2004</v>
      </c>
      <c r="C167" s="3" t="s">
        <v>1339</v>
      </c>
      <c r="D167" s="3" t="s">
        <v>1340</v>
      </c>
      <c r="E167" s="3" t="s">
        <v>495</v>
      </c>
      <c r="F167" s="3" t="s">
        <v>494</v>
      </c>
      <c r="G167" s="3" t="s">
        <v>469</v>
      </c>
      <c r="H167" s="3" t="n">
        <v>23</v>
      </c>
      <c r="I167" s="4" t="n">
        <v>180</v>
      </c>
      <c r="J167" s="4" t="n">
        <v>250</v>
      </c>
      <c r="K167" s="4" t="n">
        <f aca="false">H167*J167</f>
        <v>5750</v>
      </c>
      <c r="L167" s="4" t="n">
        <f aca="false">H167*I167</f>
        <v>4140</v>
      </c>
      <c r="M167" s="4" t="n">
        <f aca="false">K167-L167</f>
        <v>1610</v>
      </c>
    </row>
    <row r="168" customFormat="false" ht="15" hidden="false" customHeight="false" outlineLevel="0" collapsed="false">
      <c r="A168" s="6" t="s">
        <v>2283</v>
      </c>
      <c r="B168" s="6" t="s">
        <v>2284</v>
      </c>
      <c r="C168" s="6" t="s">
        <v>1220</v>
      </c>
      <c r="D168" s="6" t="s">
        <v>1221</v>
      </c>
      <c r="E168" s="6" t="s">
        <v>612</v>
      </c>
      <c r="F168" s="6" t="s">
        <v>611</v>
      </c>
      <c r="G168" s="6" t="s">
        <v>609</v>
      </c>
      <c r="H168" s="6" t="n">
        <v>46</v>
      </c>
      <c r="I168" s="7" t="n">
        <v>85</v>
      </c>
      <c r="J168" s="7" t="n">
        <v>120</v>
      </c>
      <c r="K168" s="7" t="n">
        <f aca="false">H168*J168</f>
        <v>5520</v>
      </c>
      <c r="L168" s="7" t="n">
        <f aca="false">H168*I168</f>
        <v>3910</v>
      </c>
      <c r="M168" s="7" t="n">
        <f aca="false">K168-L168</f>
        <v>1610</v>
      </c>
    </row>
    <row r="169" customFormat="false" ht="15" hidden="false" customHeight="false" outlineLevel="0" collapsed="false">
      <c r="A169" s="3" t="s">
        <v>2285</v>
      </c>
      <c r="B169" s="3" t="s">
        <v>2286</v>
      </c>
      <c r="C169" s="3" t="s">
        <v>1257</v>
      </c>
      <c r="D169" s="3" t="s">
        <v>1258</v>
      </c>
      <c r="E169" s="3" t="s">
        <v>891</v>
      </c>
      <c r="F169" s="3" t="s">
        <v>890</v>
      </c>
      <c r="G169" s="3" t="s">
        <v>816</v>
      </c>
      <c r="H169" s="3" t="n">
        <v>46</v>
      </c>
      <c r="I169" s="4" t="n">
        <v>550</v>
      </c>
      <c r="J169" s="4" t="n">
        <v>850</v>
      </c>
      <c r="K169" s="4" t="n">
        <f aca="false">H169*J169</f>
        <v>39100</v>
      </c>
      <c r="L169" s="4" t="n">
        <f aca="false">H169*I169</f>
        <v>25300</v>
      </c>
      <c r="M169" s="4" t="n">
        <f aca="false">K169-L169</f>
        <v>13800</v>
      </c>
    </row>
    <row r="170" customFormat="false" ht="15" hidden="false" customHeight="false" outlineLevel="0" collapsed="false">
      <c r="A170" s="6" t="s">
        <v>2287</v>
      </c>
      <c r="B170" s="6" t="s">
        <v>2288</v>
      </c>
      <c r="C170" s="6" t="s">
        <v>1344</v>
      </c>
      <c r="D170" s="6" t="s">
        <v>1345</v>
      </c>
      <c r="E170" s="6" t="s">
        <v>278</v>
      </c>
      <c r="F170" s="6" t="s">
        <v>277</v>
      </c>
      <c r="G170" s="6" t="s">
        <v>169</v>
      </c>
      <c r="H170" s="6" t="n">
        <v>38</v>
      </c>
      <c r="I170" s="7" t="n">
        <v>120</v>
      </c>
      <c r="J170" s="7" t="n">
        <v>165</v>
      </c>
      <c r="K170" s="7" t="n">
        <f aca="false">H170*J170</f>
        <v>6270</v>
      </c>
      <c r="L170" s="7" t="n">
        <f aca="false">H170*I170</f>
        <v>4560</v>
      </c>
      <c r="M170" s="7" t="n">
        <f aca="false">K170-L170</f>
        <v>1710</v>
      </c>
    </row>
    <row r="171" customFormat="false" ht="15" hidden="false" customHeight="false" outlineLevel="0" collapsed="false">
      <c r="A171" s="3" t="s">
        <v>2289</v>
      </c>
      <c r="B171" s="3" t="s">
        <v>2050</v>
      </c>
      <c r="C171" s="3" t="s">
        <v>1493</v>
      </c>
      <c r="D171" s="3" t="s">
        <v>1494</v>
      </c>
      <c r="E171" s="3" t="s">
        <v>508</v>
      </c>
      <c r="F171" s="3" t="s">
        <v>507</v>
      </c>
      <c r="G171" s="3" t="s">
        <v>469</v>
      </c>
      <c r="H171" s="3" t="n">
        <v>3</v>
      </c>
      <c r="I171" s="4" t="n">
        <v>3800</v>
      </c>
      <c r="J171" s="4" t="n">
        <v>5000</v>
      </c>
      <c r="K171" s="4" t="n">
        <f aca="false">H171*J171</f>
        <v>15000</v>
      </c>
      <c r="L171" s="4" t="n">
        <f aca="false">H171*I171</f>
        <v>11400</v>
      </c>
      <c r="M171" s="4" t="n">
        <f aca="false">K171-L171</f>
        <v>3600</v>
      </c>
    </row>
    <row r="172" customFormat="false" ht="15" hidden="false" customHeight="false" outlineLevel="0" collapsed="false">
      <c r="A172" s="6" t="s">
        <v>2290</v>
      </c>
      <c r="B172" s="6" t="s">
        <v>2291</v>
      </c>
      <c r="C172" s="6" t="s">
        <v>1648</v>
      </c>
      <c r="D172" s="6" t="s">
        <v>1649</v>
      </c>
      <c r="E172" s="6" t="s">
        <v>877</v>
      </c>
      <c r="F172" s="6" t="s">
        <v>876</v>
      </c>
      <c r="G172" s="6" t="s">
        <v>816</v>
      </c>
      <c r="H172" s="6" t="n">
        <v>42</v>
      </c>
      <c r="I172" s="7" t="n">
        <v>1800</v>
      </c>
      <c r="J172" s="7" t="n">
        <v>2700</v>
      </c>
      <c r="K172" s="7" t="n">
        <f aca="false">H172*J172</f>
        <v>113400</v>
      </c>
      <c r="L172" s="7" t="n">
        <f aca="false">H172*I172</f>
        <v>75600</v>
      </c>
      <c r="M172" s="7" t="n">
        <f aca="false">K172-L172</f>
        <v>37800</v>
      </c>
    </row>
    <row r="173" customFormat="false" ht="15" hidden="false" customHeight="false" outlineLevel="0" collapsed="false">
      <c r="A173" s="3" t="s">
        <v>2292</v>
      </c>
      <c r="B173" s="3" t="s">
        <v>1678</v>
      </c>
      <c r="C173" s="3" t="s">
        <v>1300</v>
      </c>
      <c r="D173" s="3" t="s">
        <v>1301</v>
      </c>
      <c r="E173" s="3" t="s">
        <v>110</v>
      </c>
      <c r="F173" s="3" t="s">
        <v>109</v>
      </c>
      <c r="G173" s="3" t="s">
        <v>17</v>
      </c>
      <c r="H173" s="3" t="n">
        <v>11</v>
      </c>
      <c r="I173" s="4" t="n">
        <v>68000</v>
      </c>
      <c r="J173" s="4" t="n">
        <v>85000</v>
      </c>
      <c r="K173" s="4" t="n">
        <f aca="false">H173*J173</f>
        <v>935000</v>
      </c>
      <c r="L173" s="4" t="n">
        <f aca="false">H173*I173</f>
        <v>748000</v>
      </c>
      <c r="M173" s="4" t="n">
        <f aca="false">K173-L173</f>
        <v>187000</v>
      </c>
    </row>
    <row r="174" customFormat="false" ht="15" hidden="false" customHeight="false" outlineLevel="0" collapsed="false">
      <c r="A174" s="6" t="s">
        <v>2293</v>
      </c>
      <c r="B174" s="6" t="s">
        <v>2076</v>
      </c>
      <c r="C174" s="6" t="s">
        <v>1568</v>
      </c>
      <c r="D174" s="6" t="s">
        <v>1569</v>
      </c>
      <c r="E174" s="6" t="s">
        <v>571</v>
      </c>
      <c r="F174" s="6" t="s">
        <v>570</v>
      </c>
      <c r="G174" s="6" t="s">
        <v>469</v>
      </c>
      <c r="H174" s="6" t="n">
        <v>14</v>
      </c>
      <c r="I174" s="7" t="n">
        <v>120</v>
      </c>
      <c r="J174" s="7" t="n">
        <v>190</v>
      </c>
      <c r="K174" s="7" t="n">
        <f aca="false">H174*J174</f>
        <v>2660</v>
      </c>
      <c r="L174" s="7" t="n">
        <f aca="false">H174*I174</f>
        <v>1680</v>
      </c>
      <c r="M174" s="7" t="n">
        <f aca="false">K174-L174</f>
        <v>980</v>
      </c>
    </row>
    <row r="175" customFormat="false" ht="15" hidden="false" customHeight="false" outlineLevel="0" collapsed="false">
      <c r="A175" s="3" t="s">
        <v>2294</v>
      </c>
      <c r="B175" s="3" t="s">
        <v>1799</v>
      </c>
      <c r="C175" s="3" t="s">
        <v>1558</v>
      </c>
      <c r="D175" s="3" t="s">
        <v>1559</v>
      </c>
      <c r="E175" s="3" t="s">
        <v>681</v>
      </c>
      <c r="F175" s="3" t="s">
        <v>680</v>
      </c>
      <c r="G175" s="3" t="s">
        <v>609</v>
      </c>
      <c r="H175" s="3" t="n">
        <v>37</v>
      </c>
      <c r="I175" s="4" t="n">
        <v>650</v>
      </c>
      <c r="J175" s="4" t="n">
        <v>1000</v>
      </c>
      <c r="K175" s="4" t="n">
        <f aca="false">H175*J175</f>
        <v>37000</v>
      </c>
      <c r="L175" s="4" t="n">
        <f aca="false">H175*I175</f>
        <v>24050</v>
      </c>
      <c r="M175" s="4" t="n">
        <f aca="false">K175-L175</f>
        <v>12950</v>
      </c>
    </row>
    <row r="176" customFormat="false" ht="15" hidden="false" customHeight="false" outlineLevel="0" collapsed="false">
      <c r="A176" s="6" t="s">
        <v>2295</v>
      </c>
      <c r="B176" s="6" t="s">
        <v>2296</v>
      </c>
      <c r="C176" s="6" t="s">
        <v>1334</v>
      </c>
      <c r="D176" s="6" t="s">
        <v>1335</v>
      </c>
      <c r="E176" s="6" t="s">
        <v>233</v>
      </c>
      <c r="F176" s="6" t="s">
        <v>232</v>
      </c>
      <c r="G176" s="6" t="s">
        <v>169</v>
      </c>
      <c r="H176" s="6" t="n">
        <v>19</v>
      </c>
      <c r="I176" s="7" t="n">
        <v>65</v>
      </c>
      <c r="J176" s="7" t="n">
        <v>90</v>
      </c>
      <c r="K176" s="7" t="n">
        <f aca="false">H176*J176</f>
        <v>1710</v>
      </c>
      <c r="L176" s="7" t="n">
        <f aca="false">H176*I176</f>
        <v>1235</v>
      </c>
      <c r="M176" s="7" t="n">
        <f aca="false">K176-L176</f>
        <v>475</v>
      </c>
    </row>
    <row r="177" customFormat="false" ht="15" hidden="false" customHeight="false" outlineLevel="0" collapsed="false">
      <c r="A177" s="3" t="s">
        <v>2297</v>
      </c>
      <c r="B177" s="3" t="s">
        <v>2291</v>
      </c>
      <c r="C177" s="3" t="s">
        <v>1403</v>
      </c>
      <c r="D177" s="3" t="s">
        <v>1404</v>
      </c>
      <c r="E177" s="3" t="s">
        <v>158</v>
      </c>
      <c r="F177" s="3" t="s">
        <v>157</v>
      </c>
      <c r="G177" s="3" t="s">
        <v>17</v>
      </c>
      <c r="H177" s="3" t="n">
        <v>38</v>
      </c>
      <c r="I177" s="4" t="n">
        <v>75000</v>
      </c>
      <c r="J177" s="4" t="n">
        <v>95000</v>
      </c>
      <c r="K177" s="4" t="n">
        <f aca="false">H177*J177</f>
        <v>3610000</v>
      </c>
      <c r="L177" s="4" t="n">
        <f aca="false">H177*I177</f>
        <v>2850000</v>
      </c>
      <c r="M177" s="4" t="n">
        <f aca="false">K177-L177</f>
        <v>760000</v>
      </c>
    </row>
    <row r="178" customFormat="false" ht="15" hidden="false" customHeight="false" outlineLevel="0" collapsed="false">
      <c r="A178" s="6" t="s">
        <v>2298</v>
      </c>
      <c r="B178" s="6" t="s">
        <v>2299</v>
      </c>
      <c r="C178" s="6" t="s">
        <v>1635</v>
      </c>
      <c r="D178" s="6" t="s">
        <v>1636</v>
      </c>
      <c r="E178" s="6" t="s">
        <v>499</v>
      </c>
      <c r="F178" s="6" t="s">
        <v>498</v>
      </c>
      <c r="G178" s="6" t="s">
        <v>469</v>
      </c>
      <c r="H178" s="6" t="n">
        <v>21</v>
      </c>
      <c r="I178" s="7" t="n">
        <v>200</v>
      </c>
      <c r="J178" s="7" t="n">
        <v>280</v>
      </c>
      <c r="K178" s="7" t="n">
        <f aca="false">H178*J178</f>
        <v>5880</v>
      </c>
      <c r="L178" s="7" t="n">
        <f aca="false">H178*I178</f>
        <v>4200</v>
      </c>
      <c r="M178" s="7" t="n">
        <f aca="false">K178-L178</f>
        <v>1680</v>
      </c>
    </row>
    <row r="179" customFormat="false" ht="15" hidden="false" customHeight="false" outlineLevel="0" collapsed="false">
      <c r="A179" s="3" t="s">
        <v>2300</v>
      </c>
      <c r="B179" s="3" t="s">
        <v>2301</v>
      </c>
      <c r="C179" s="3" t="s">
        <v>1176</v>
      </c>
      <c r="D179" s="3" t="s">
        <v>1177</v>
      </c>
      <c r="E179" s="3" t="s">
        <v>544</v>
      </c>
      <c r="F179" s="3" t="s">
        <v>543</v>
      </c>
      <c r="G179" s="3" t="s">
        <v>469</v>
      </c>
      <c r="H179" s="3" t="n">
        <v>20</v>
      </c>
      <c r="I179" s="4" t="n">
        <v>250</v>
      </c>
      <c r="J179" s="4" t="n">
        <v>340</v>
      </c>
      <c r="K179" s="4" t="n">
        <f aca="false">H179*J179</f>
        <v>6800</v>
      </c>
      <c r="L179" s="4" t="n">
        <f aca="false">H179*I179</f>
        <v>5000</v>
      </c>
      <c r="M179" s="4" t="n">
        <f aca="false">K179-L179</f>
        <v>1800</v>
      </c>
    </row>
    <row r="180" customFormat="false" ht="15" hidden="false" customHeight="false" outlineLevel="0" collapsed="false">
      <c r="A180" s="6" t="s">
        <v>2302</v>
      </c>
      <c r="B180" s="6" t="s">
        <v>1785</v>
      </c>
      <c r="C180" s="6" t="s">
        <v>1412</v>
      </c>
      <c r="D180" s="6" t="s">
        <v>1413</v>
      </c>
      <c r="E180" s="6" t="s">
        <v>147</v>
      </c>
      <c r="F180" s="6" t="s">
        <v>146</v>
      </c>
      <c r="G180" s="6" t="s">
        <v>17</v>
      </c>
      <c r="H180" s="6" t="n">
        <v>48</v>
      </c>
      <c r="I180" s="7" t="n">
        <v>72000</v>
      </c>
      <c r="J180" s="7" t="n">
        <v>90000</v>
      </c>
      <c r="K180" s="7" t="n">
        <f aca="false">H180*J180</f>
        <v>4320000</v>
      </c>
      <c r="L180" s="7" t="n">
        <f aca="false">H180*I180</f>
        <v>3456000</v>
      </c>
      <c r="M180" s="7" t="n">
        <f aca="false">K180-L180</f>
        <v>864000</v>
      </c>
    </row>
    <row r="181" customFormat="false" ht="15" hidden="false" customHeight="false" outlineLevel="0" collapsed="false">
      <c r="A181" s="3" t="s">
        <v>2303</v>
      </c>
      <c r="B181" s="3" t="s">
        <v>2304</v>
      </c>
      <c r="C181" s="3" t="s">
        <v>1657</v>
      </c>
      <c r="D181" s="3" t="s">
        <v>1658</v>
      </c>
      <c r="E181" s="3" t="s">
        <v>324</v>
      </c>
      <c r="F181" s="3" t="s">
        <v>323</v>
      </c>
      <c r="G181" s="3" t="s">
        <v>169</v>
      </c>
      <c r="H181" s="3" t="n">
        <v>10</v>
      </c>
      <c r="I181" s="4" t="n">
        <v>750</v>
      </c>
      <c r="J181" s="4" t="n">
        <v>980</v>
      </c>
      <c r="K181" s="4" t="n">
        <f aca="false">H181*J181</f>
        <v>9800</v>
      </c>
      <c r="L181" s="4" t="n">
        <f aca="false">H181*I181</f>
        <v>7500</v>
      </c>
      <c r="M181" s="4" t="n">
        <f aca="false">K181-L181</f>
        <v>2300</v>
      </c>
    </row>
    <row r="182" customFormat="false" ht="15" hidden="false" customHeight="false" outlineLevel="0" collapsed="false">
      <c r="A182" s="6" t="s">
        <v>2305</v>
      </c>
      <c r="B182" s="6" t="s">
        <v>2299</v>
      </c>
      <c r="C182" s="6" t="s">
        <v>1626</v>
      </c>
      <c r="D182" s="6" t="s">
        <v>1627</v>
      </c>
      <c r="E182" s="6" t="s">
        <v>639</v>
      </c>
      <c r="F182" s="6" t="s">
        <v>638</v>
      </c>
      <c r="G182" s="6" t="s">
        <v>609</v>
      </c>
      <c r="H182" s="6" t="n">
        <v>37</v>
      </c>
      <c r="I182" s="7" t="n">
        <v>180</v>
      </c>
      <c r="J182" s="7" t="n">
        <v>260</v>
      </c>
      <c r="K182" s="7" t="n">
        <f aca="false">H182*J182</f>
        <v>9620</v>
      </c>
      <c r="L182" s="7" t="n">
        <f aca="false">H182*I182</f>
        <v>6660</v>
      </c>
      <c r="M182" s="7" t="n">
        <f aca="false">K182-L182</f>
        <v>2960</v>
      </c>
    </row>
    <row r="183" customFormat="false" ht="15" hidden="false" customHeight="false" outlineLevel="0" collapsed="false">
      <c r="A183" s="3" t="s">
        <v>2306</v>
      </c>
      <c r="B183" s="3" t="s">
        <v>2307</v>
      </c>
      <c r="C183" s="3" t="s">
        <v>1215</v>
      </c>
      <c r="D183" s="3" t="s">
        <v>1216</v>
      </c>
      <c r="E183" s="3" t="s">
        <v>208</v>
      </c>
      <c r="F183" s="3" t="s">
        <v>207</v>
      </c>
      <c r="G183" s="3" t="s">
        <v>169</v>
      </c>
      <c r="H183" s="3" t="n">
        <v>15</v>
      </c>
      <c r="I183" s="4" t="n">
        <v>1100</v>
      </c>
      <c r="J183" s="4" t="n">
        <v>1450</v>
      </c>
      <c r="K183" s="4" t="n">
        <f aca="false">H183*J183</f>
        <v>21750</v>
      </c>
      <c r="L183" s="4" t="n">
        <f aca="false">H183*I183</f>
        <v>16500</v>
      </c>
      <c r="M183" s="4" t="n">
        <f aca="false">K183-L183</f>
        <v>5250</v>
      </c>
    </row>
    <row r="184" customFormat="false" ht="15" hidden="false" customHeight="false" outlineLevel="0" collapsed="false">
      <c r="A184" s="6" t="s">
        <v>2308</v>
      </c>
      <c r="B184" s="6" t="s">
        <v>2309</v>
      </c>
      <c r="C184" s="6" t="s">
        <v>1507</v>
      </c>
      <c r="D184" s="6" t="s">
        <v>1508</v>
      </c>
      <c r="E184" s="6" t="s">
        <v>208</v>
      </c>
      <c r="F184" s="6" t="s">
        <v>207</v>
      </c>
      <c r="G184" s="6" t="s">
        <v>169</v>
      </c>
      <c r="H184" s="6" t="n">
        <v>3</v>
      </c>
      <c r="I184" s="7" t="n">
        <v>1100</v>
      </c>
      <c r="J184" s="7" t="n">
        <v>1450</v>
      </c>
      <c r="K184" s="7" t="n">
        <f aca="false">H184*J184</f>
        <v>4350</v>
      </c>
      <c r="L184" s="7" t="n">
        <f aca="false">H184*I184</f>
        <v>3300</v>
      </c>
      <c r="M184" s="7" t="n">
        <f aca="false">K184-L184</f>
        <v>1050</v>
      </c>
    </row>
    <row r="185" customFormat="false" ht="15" hidden="false" customHeight="false" outlineLevel="0" collapsed="false">
      <c r="A185" s="3" t="s">
        <v>2310</v>
      </c>
      <c r="B185" s="3" t="s">
        <v>1959</v>
      </c>
      <c r="C185" s="3" t="s">
        <v>1573</v>
      </c>
      <c r="D185" s="3" t="s">
        <v>1574</v>
      </c>
      <c r="E185" s="3" t="s">
        <v>29</v>
      </c>
      <c r="F185" s="3" t="s">
        <v>28</v>
      </c>
      <c r="G185" s="3" t="s">
        <v>17</v>
      </c>
      <c r="H185" s="3" t="n">
        <v>49</v>
      </c>
      <c r="I185" s="4" t="n">
        <v>240000</v>
      </c>
      <c r="J185" s="4" t="n">
        <v>279000</v>
      </c>
      <c r="K185" s="4" t="n">
        <f aca="false">H185*J185</f>
        <v>13671000</v>
      </c>
      <c r="L185" s="4" t="n">
        <f aca="false">H185*I185</f>
        <v>11760000</v>
      </c>
      <c r="M185" s="4" t="n">
        <f aca="false">K185-L185</f>
        <v>1911000</v>
      </c>
    </row>
    <row r="186" customFormat="false" ht="15" hidden="false" customHeight="false" outlineLevel="0" collapsed="false">
      <c r="A186" s="6" t="s">
        <v>2311</v>
      </c>
      <c r="B186" s="6" t="s">
        <v>2312</v>
      </c>
      <c r="C186" s="6" t="s">
        <v>1247</v>
      </c>
      <c r="D186" s="6" t="s">
        <v>1248</v>
      </c>
      <c r="E186" s="6" t="s">
        <v>222</v>
      </c>
      <c r="F186" s="6" t="s">
        <v>221</v>
      </c>
      <c r="G186" s="6" t="s">
        <v>169</v>
      </c>
      <c r="H186" s="6" t="n">
        <v>31</v>
      </c>
      <c r="I186" s="7" t="n">
        <v>95</v>
      </c>
      <c r="J186" s="7" t="n">
        <v>135</v>
      </c>
      <c r="K186" s="7" t="n">
        <f aca="false">H186*J186</f>
        <v>4185</v>
      </c>
      <c r="L186" s="7" t="n">
        <f aca="false">H186*I186</f>
        <v>2945</v>
      </c>
      <c r="M186" s="7" t="n">
        <f aca="false">K186-L186</f>
        <v>1240</v>
      </c>
    </row>
    <row r="187" customFormat="false" ht="15" hidden="false" customHeight="false" outlineLevel="0" collapsed="false">
      <c r="A187" s="3" t="s">
        <v>2313</v>
      </c>
      <c r="B187" s="3" t="s">
        <v>1874</v>
      </c>
      <c r="C187" s="3" t="s">
        <v>1353</v>
      </c>
      <c r="D187" s="3" t="s">
        <v>1354</v>
      </c>
      <c r="E187" s="3" t="s">
        <v>566</v>
      </c>
      <c r="F187" s="3" t="s">
        <v>565</v>
      </c>
      <c r="G187" s="3" t="s">
        <v>469</v>
      </c>
      <c r="H187" s="3" t="n">
        <v>15</v>
      </c>
      <c r="I187" s="4" t="n">
        <v>180</v>
      </c>
      <c r="J187" s="4" t="n">
        <v>280</v>
      </c>
      <c r="K187" s="4" t="n">
        <f aca="false">H187*J187</f>
        <v>4200</v>
      </c>
      <c r="L187" s="4" t="n">
        <f aca="false">H187*I187</f>
        <v>2700</v>
      </c>
      <c r="M187" s="4" t="n">
        <f aca="false">K187-L187</f>
        <v>1500</v>
      </c>
    </row>
    <row r="188" customFormat="false" ht="15" hidden="false" customHeight="false" outlineLevel="0" collapsed="false">
      <c r="A188" s="6" t="s">
        <v>2314</v>
      </c>
      <c r="B188" s="6" t="s">
        <v>1856</v>
      </c>
      <c r="C188" s="6" t="s">
        <v>1339</v>
      </c>
      <c r="D188" s="6" t="s">
        <v>1340</v>
      </c>
      <c r="E188" s="6" t="s">
        <v>477</v>
      </c>
      <c r="F188" s="6" t="s">
        <v>476</v>
      </c>
      <c r="G188" s="6" t="s">
        <v>469</v>
      </c>
      <c r="H188" s="6" t="n">
        <v>19</v>
      </c>
      <c r="I188" s="7" t="n">
        <v>840</v>
      </c>
      <c r="J188" s="7" t="n">
        <v>1040</v>
      </c>
      <c r="K188" s="7" t="n">
        <f aca="false">H188*J188</f>
        <v>19760</v>
      </c>
      <c r="L188" s="7" t="n">
        <f aca="false">H188*I188</f>
        <v>15960</v>
      </c>
      <c r="M188" s="7" t="n">
        <f aca="false">K188-L188</f>
        <v>3800</v>
      </c>
    </row>
    <row r="189" customFormat="false" ht="15" hidden="false" customHeight="false" outlineLevel="0" collapsed="false">
      <c r="A189" s="3" t="s">
        <v>2315</v>
      </c>
      <c r="B189" s="3" t="s">
        <v>2316</v>
      </c>
      <c r="C189" s="3" t="s">
        <v>1339</v>
      </c>
      <c r="D189" s="3" t="s">
        <v>1340</v>
      </c>
      <c r="E189" s="3" t="s">
        <v>355</v>
      </c>
      <c r="F189" s="3" t="s">
        <v>354</v>
      </c>
      <c r="G189" s="3" t="s">
        <v>330</v>
      </c>
      <c r="H189" s="3" t="n">
        <v>23</v>
      </c>
      <c r="I189" s="4" t="n">
        <v>1400</v>
      </c>
      <c r="J189" s="4" t="n">
        <v>2100</v>
      </c>
      <c r="K189" s="4" t="n">
        <f aca="false">H189*J189</f>
        <v>48300</v>
      </c>
      <c r="L189" s="4" t="n">
        <f aca="false">H189*I189</f>
        <v>32200</v>
      </c>
      <c r="M189" s="4" t="n">
        <f aca="false">K189-L189</f>
        <v>16100</v>
      </c>
    </row>
    <row r="190" customFormat="false" ht="15" hidden="false" customHeight="false" outlineLevel="0" collapsed="false">
      <c r="A190" s="6" t="s">
        <v>2317</v>
      </c>
      <c r="B190" s="6" t="s">
        <v>1807</v>
      </c>
      <c r="C190" s="6" t="s">
        <v>1596</v>
      </c>
      <c r="D190" s="6" t="s">
        <v>1597</v>
      </c>
      <c r="E190" s="6" t="s">
        <v>467</v>
      </c>
      <c r="F190" s="6" t="s">
        <v>466</v>
      </c>
      <c r="G190" s="6" t="s">
        <v>330</v>
      </c>
      <c r="H190" s="6" t="n">
        <v>5</v>
      </c>
      <c r="I190" s="7" t="n">
        <v>550</v>
      </c>
      <c r="J190" s="7" t="n">
        <v>900</v>
      </c>
      <c r="K190" s="7" t="n">
        <f aca="false">H190*J190</f>
        <v>4500</v>
      </c>
      <c r="L190" s="7" t="n">
        <f aca="false">H190*I190</f>
        <v>2750</v>
      </c>
      <c r="M190" s="7" t="n">
        <f aca="false">K190-L190</f>
        <v>1750</v>
      </c>
    </row>
    <row r="191" customFormat="false" ht="15" hidden="false" customHeight="false" outlineLevel="0" collapsed="false">
      <c r="A191" s="3" t="s">
        <v>2318</v>
      </c>
      <c r="B191" s="3" t="s">
        <v>2255</v>
      </c>
      <c r="C191" s="3" t="s">
        <v>1319</v>
      </c>
      <c r="D191" s="3" t="s">
        <v>1320</v>
      </c>
      <c r="E191" s="3" t="s">
        <v>236</v>
      </c>
      <c r="F191" s="3" t="s">
        <v>235</v>
      </c>
      <c r="G191" s="3" t="s">
        <v>169</v>
      </c>
      <c r="H191" s="3" t="n">
        <v>47</v>
      </c>
      <c r="I191" s="4" t="n">
        <v>75</v>
      </c>
      <c r="J191" s="4" t="n">
        <v>105</v>
      </c>
      <c r="K191" s="4" t="n">
        <f aca="false">H191*J191</f>
        <v>4935</v>
      </c>
      <c r="L191" s="4" t="n">
        <f aca="false">H191*I191</f>
        <v>3525</v>
      </c>
      <c r="M191" s="4" t="n">
        <f aca="false">K191-L191</f>
        <v>1410</v>
      </c>
    </row>
    <row r="192" customFormat="false" ht="15" hidden="false" customHeight="false" outlineLevel="0" collapsed="false">
      <c r="A192" s="6" t="s">
        <v>2319</v>
      </c>
      <c r="B192" s="6" t="s">
        <v>1703</v>
      </c>
      <c r="C192" s="6" t="s">
        <v>1587</v>
      </c>
      <c r="D192" s="6" t="s">
        <v>1588</v>
      </c>
      <c r="E192" s="6" t="s">
        <v>513</v>
      </c>
      <c r="F192" s="6" t="s">
        <v>512</v>
      </c>
      <c r="G192" s="6" t="s">
        <v>469</v>
      </c>
      <c r="H192" s="6" t="n">
        <v>21</v>
      </c>
      <c r="I192" s="7" t="n">
        <v>2800</v>
      </c>
      <c r="J192" s="7" t="n">
        <v>3800</v>
      </c>
      <c r="K192" s="7" t="n">
        <f aca="false">H192*J192</f>
        <v>79800</v>
      </c>
      <c r="L192" s="7" t="n">
        <f aca="false">H192*I192</f>
        <v>58800</v>
      </c>
      <c r="M192" s="7" t="n">
        <f aca="false">K192-L192</f>
        <v>21000</v>
      </c>
    </row>
    <row r="193" customFormat="false" ht="15" hidden="false" customHeight="false" outlineLevel="0" collapsed="false">
      <c r="A193" s="3" t="s">
        <v>2320</v>
      </c>
      <c r="B193" s="3" t="s">
        <v>1707</v>
      </c>
      <c r="C193" s="3" t="s">
        <v>1592</v>
      </c>
      <c r="D193" s="3" t="s">
        <v>1593</v>
      </c>
      <c r="E193" s="3" t="s">
        <v>499</v>
      </c>
      <c r="F193" s="3" t="s">
        <v>498</v>
      </c>
      <c r="G193" s="3" t="s">
        <v>469</v>
      </c>
      <c r="H193" s="3" t="n">
        <v>35</v>
      </c>
      <c r="I193" s="4" t="n">
        <v>200</v>
      </c>
      <c r="J193" s="4" t="n">
        <v>280</v>
      </c>
      <c r="K193" s="4" t="n">
        <f aca="false">H193*J193</f>
        <v>9800</v>
      </c>
      <c r="L193" s="4" t="n">
        <f aca="false">H193*I193</f>
        <v>7000</v>
      </c>
      <c r="M193" s="4" t="n">
        <f aca="false">K193-L193</f>
        <v>2800</v>
      </c>
    </row>
    <row r="194" customFormat="false" ht="15" hidden="false" customHeight="false" outlineLevel="0" collapsed="false">
      <c r="A194" s="6" t="s">
        <v>2321</v>
      </c>
      <c r="B194" s="6" t="s">
        <v>2322</v>
      </c>
      <c r="C194" s="6" t="s">
        <v>1193</v>
      </c>
      <c r="D194" s="6" t="s">
        <v>1194</v>
      </c>
      <c r="E194" s="6" t="s">
        <v>90</v>
      </c>
      <c r="F194" s="6" t="s">
        <v>89</v>
      </c>
      <c r="G194" s="6" t="s">
        <v>17</v>
      </c>
      <c r="H194" s="6" t="n">
        <v>49</v>
      </c>
      <c r="I194" s="7" t="n">
        <v>290000</v>
      </c>
      <c r="J194" s="7" t="n">
        <v>339000</v>
      </c>
      <c r="K194" s="7" t="n">
        <f aca="false">H194*J194</f>
        <v>16611000</v>
      </c>
      <c r="L194" s="7" t="n">
        <f aca="false">H194*I194</f>
        <v>14210000</v>
      </c>
      <c r="M194" s="7" t="n">
        <f aca="false">K194-L194</f>
        <v>2401000</v>
      </c>
    </row>
    <row r="195" customFormat="false" ht="15" hidden="false" customHeight="false" outlineLevel="0" collapsed="false">
      <c r="A195" s="3" t="s">
        <v>2323</v>
      </c>
      <c r="B195" s="3" t="s">
        <v>2324</v>
      </c>
      <c r="C195" s="3" t="s">
        <v>1319</v>
      </c>
      <c r="D195" s="3" t="s">
        <v>1320</v>
      </c>
      <c r="E195" s="3" t="s">
        <v>521</v>
      </c>
      <c r="F195" s="3" t="s">
        <v>520</v>
      </c>
      <c r="G195" s="3" t="s">
        <v>469</v>
      </c>
      <c r="H195" s="3" t="n">
        <v>37</v>
      </c>
      <c r="I195" s="4" t="n">
        <v>3200</v>
      </c>
      <c r="J195" s="4" t="n">
        <v>4400</v>
      </c>
      <c r="K195" s="4" t="n">
        <f aca="false">H195*J195</f>
        <v>162800</v>
      </c>
      <c r="L195" s="4" t="n">
        <f aca="false">H195*I195</f>
        <v>118400</v>
      </c>
      <c r="M195" s="4" t="n">
        <f aca="false">K195-L195</f>
        <v>44400</v>
      </c>
    </row>
    <row r="196" customFormat="false" ht="15" hidden="false" customHeight="false" outlineLevel="0" collapsed="false">
      <c r="A196" s="6" t="s">
        <v>2325</v>
      </c>
      <c r="B196" s="6" t="s">
        <v>2022</v>
      </c>
      <c r="C196" s="6" t="s">
        <v>1502</v>
      </c>
      <c r="D196" s="6" t="s">
        <v>1503</v>
      </c>
      <c r="E196" s="6" t="s">
        <v>801</v>
      </c>
      <c r="F196" s="6" t="s">
        <v>800</v>
      </c>
      <c r="G196" s="6" t="s">
        <v>731</v>
      </c>
      <c r="H196" s="6" t="n">
        <v>4</v>
      </c>
      <c r="I196" s="7" t="n">
        <v>380</v>
      </c>
      <c r="J196" s="7" t="n">
        <v>580</v>
      </c>
      <c r="K196" s="7" t="n">
        <f aca="false">H196*J196</f>
        <v>2320</v>
      </c>
      <c r="L196" s="7" t="n">
        <f aca="false">H196*I196</f>
        <v>1520</v>
      </c>
      <c r="M196" s="7" t="n">
        <f aca="false">K196-L196</f>
        <v>800</v>
      </c>
    </row>
    <row r="197" customFormat="false" ht="15" hidden="false" customHeight="false" outlineLevel="0" collapsed="false">
      <c r="A197" s="3" t="s">
        <v>2326</v>
      </c>
      <c r="B197" s="3" t="s">
        <v>1906</v>
      </c>
      <c r="C197" s="3" t="s">
        <v>1344</v>
      </c>
      <c r="D197" s="3" t="s">
        <v>1345</v>
      </c>
      <c r="E197" s="3" t="s">
        <v>779</v>
      </c>
      <c r="F197" s="3" t="s">
        <v>778</v>
      </c>
      <c r="G197" s="3" t="s">
        <v>731</v>
      </c>
      <c r="H197" s="3" t="n">
        <v>1</v>
      </c>
      <c r="I197" s="4" t="n">
        <v>180</v>
      </c>
      <c r="J197" s="4" t="n">
        <v>280</v>
      </c>
      <c r="K197" s="4" t="n">
        <f aca="false">H197*J197</f>
        <v>280</v>
      </c>
      <c r="L197" s="4" t="n">
        <f aca="false">H197*I197</f>
        <v>180</v>
      </c>
      <c r="M197" s="4" t="n">
        <f aca="false">K197-L197</f>
        <v>100</v>
      </c>
    </row>
    <row r="198" customFormat="false" ht="15" hidden="false" customHeight="false" outlineLevel="0" collapsed="false">
      <c r="A198" s="6" t="s">
        <v>2327</v>
      </c>
      <c r="B198" s="6" t="s">
        <v>1964</v>
      </c>
      <c r="C198" s="6" t="s">
        <v>1473</v>
      </c>
      <c r="D198" s="6" t="s">
        <v>1474</v>
      </c>
      <c r="E198" s="6" t="s">
        <v>563</v>
      </c>
      <c r="F198" s="6" t="s">
        <v>562</v>
      </c>
      <c r="G198" s="6" t="s">
        <v>469</v>
      </c>
      <c r="H198" s="6" t="n">
        <v>3</v>
      </c>
      <c r="I198" s="7" t="n">
        <v>450</v>
      </c>
      <c r="J198" s="7" t="n">
        <v>650</v>
      </c>
      <c r="K198" s="7" t="n">
        <f aca="false">H198*J198</f>
        <v>1950</v>
      </c>
      <c r="L198" s="7" t="n">
        <f aca="false">H198*I198</f>
        <v>1350</v>
      </c>
      <c r="M198" s="7" t="n">
        <f aca="false">K198-L198</f>
        <v>600</v>
      </c>
    </row>
    <row r="199" customFormat="false" ht="15" hidden="false" customHeight="false" outlineLevel="0" collapsed="false">
      <c r="A199" s="3" t="s">
        <v>2328</v>
      </c>
      <c r="B199" s="3" t="s">
        <v>2329</v>
      </c>
      <c r="C199" s="3" t="s">
        <v>1592</v>
      </c>
      <c r="D199" s="3" t="s">
        <v>1593</v>
      </c>
      <c r="E199" s="3" t="s">
        <v>147</v>
      </c>
      <c r="F199" s="3" t="s">
        <v>146</v>
      </c>
      <c r="G199" s="3" t="s">
        <v>17</v>
      </c>
      <c r="H199" s="3" t="n">
        <v>2</v>
      </c>
      <c r="I199" s="4" t="n">
        <v>72000</v>
      </c>
      <c r="J199" s="4" t="n">
        <v>90000</v>
      </c>
      <c r="K199" s="4" t="n">
        <f aca="false">H199*J199</f>
        <v>180000</v>
      </c>
      <c r="L199" s="4" t="n">
        <f aca="false">H199*I199</f>
        <v>144000</v>
      </c>
      <c r="M199" s="4" t="n">
        <f aca="false">K199-L199</f>
        <v>36000</v>
      </c>
    </row>
    <row r="200" customFormat="false" ht="15" hidden="false" customHeight="false" outlineLevel="0" collapsed="false">
      <c r="A200" s="6" t="s">
        <v>2330</v>
      </c>
      <c r="B200" s="6" t="s">
        <v>2331</v>
      </c>
      <c r="C200" s="6" t="s">
        <v>1324</v>
      </c>
      <c r="D200" s="6" t="s">
        <v>1325</v>
      </c>
      <c r="E200" s="6" t="s">
        <v>99</v>
      </c>
      <c r="F200" s="6" t="s">
        <v>98</v>
      </c>
      <c r="G200" s="6" t="s">
        <v>17</v>
      </c>
      <c r="H200" s="6" t="n">
        <v>25</v>
      </c>
      <c r="I200" s="7" t="n">
        <v>78000</v>
      </c>
      <c r="J200" s="7" t="n">
        <v>98000</v>
      </c>
      <c r="K200" s="7" t="n">
        <f aca="false">H200*J200</f>
        <v>2450000</v>
      </c>
      <c r="L200" s="7" t="n">
        <f aca="false">H200*I200</f>
        <v>1950000</v>
      </c>
      <c r="M200" s="7" t="n">
        <f aca="false">K200-L200</f>
        <v>500000</v>
      </c>
    </row>
    <row r="201" customFormat="false" ht="15" hidden="false" customHeight="false" outlineLevel="0" collapsed="false">
      <c r="A201" s="3" t="s">
        <v>2332</v>
      </c>
      <c r="B201" s="3" t="s">
        <v>1722</v>
      </c>
      <c r="C201" s="3" t="s">
        <v>1526</v>
      </c>
      <c r="D201" s="3" t="s">
        <v>1527</v>
      </c>
      <c r="E201" s="3" t="s">
        <v>50</v>
      </c>
      <c r="F201" s="3" t="s">
        <v>49</v>
      </c>
      <c r="G201" s="3" t="s">
        <v>17</v>
      </c>
      <c r="H201" s="3" t="n">
        <v>22</v>
      </c>
      <c r="I201" s="4" t="n">
        <v>82000</v>
      </c>
      <c r="J201" s="4" t="n">
        <v>99000</v>
      </c>
      <c r="K201" s="4" t="n">
        <f aca="false">H201*J201</f>
        <v>2178000</v>
      </c>
      <c r="L201" s="4" t="n">
        <f aca="false">H201*I201</f>
        <v>1804000</v>
      </c>
      <c r="M201" s="4" t="n">
        <f aca="false">K201-L201</f>
        <v>374000</v>
      </c>
    </row>
    <row r="202" customFormat="false" ht="15" hidden="false" customHeight="false" outlineLevel="0" collapsed="false">
      <c r="A202" s="6" t="s">
        <v>2333</v>
      </c>
      <c r="B202" s="6" t="s">
        <v>2255</v>
      </c>
      <c r="C202" s="6" t="s">
        <v>1582</v>
      </c>
      <c r="D202" s="6" t="s">
        <v>1583</v>
      </c>
      <c r="E202" s="6" t="s">
        <v>292</v>
      </c>
      <c r="F202" s="6" t="s">
        <v>291</v>
      </c>
      <c r="G202" s="6" t="s">
        <v>169</v>
      </c>
      <c r="H202" s="6" t="n">
        <v>47</v>
      </c>
      <c r="I202" s="7" t="n">
        <v>250</v>
      </c>
      <c r="J202" s="7" t="n">
        <v>340</v>
      </c>
      <c r="K202" s="7" t="n">
        <f aca="false">H202*J202</f>
        <v>15980</v>
      </c>
      <c r="L202" s="7" t="n">
        <f aca="false">H202*I202</f>
        <v>11750</v>
      </c>
      <c r="M202" s="7" t="n">
        <f aca="false">K202-L202</f>
        <v>4230</v>
      </c>
    </row>
    <row r="203" customFormat="false" ht="15" hidden="false" customHeight="false" outlineLevel="0" collapsed="false">
      <c r="A203" s="3" t="s">
        <v>2334</v>
      </c>
      <c r="B203" s="3" t="s">
        <v>1824</v>
      </c>
      <c r="C203" s="3" t="s">
        <v>1384</v>
      </c>
      <c r="D203" s="3" t="s">
        <v>1385</v>
      </c>
      <c r="E203" s="3" t="s">
        <v>319</v>
      </c>
      <c r="F203" s="3" t="s">
        <v>318</v>
      </c>
      <c r="G203" s="3" t="s">
        <v>169</v>
      </c>
      <c r="H203" s="3" t="n">
        <v>14</v>
      </c>
      <c r="I203" s="4" t="n">
        <v>680</v>
      </c>
      <c r="J203" s="4" t="n">
        <v>900</v>
      </c>
      <c r="K203" s="4" t="n">
        <f aca="false">H203*J203</f>
        <v>12600</v>
      </c>
      <c r="L203" s="4" t="n">
        <f aca="false">H203*I203</f>
        <v>9520</v>
      </c>
      <c r="M203" s="4" t="n">
        <f aca="false">K203-L203</f>
        <v>3080</v>
      </c>
    </row>
    <row r="204" customFormat="false" ht="15" hidden="false" customHeight="false" outlineLevel="0" collapsed="false">
      <c r="A204" s="6" t="s">
        <v>2335</v>
      </c>
      <c r="B204" s="6" t="s">
        <v>2272</v>
      </c>
      <c r="C204" s="6" t="s">
        <v>1444</v>
      </c>
      <c r="D204" s="6" t="s">
        <v>1445</v>
      </c>
      <c r="E204" s="6" t="s">
        <v>259</v>
      </c>
      <c r="F204" s="6" t="s">
        <v>258</v>
      </c>
      <c r="G204" s="6" t="s">
        <v>169</v>
      </c>
      <c r="H204" s="6" t="n">
        <v>4</v>
      </c>
      <c r="I204" s="7" t="n">
        <v>650</v>
      </c>
      <c r="J204" s="7" t="n">
        <v>870</v>
      </c>
      <c r="K204" s="7" t="n">
        <f aca="false">H204*J204</f>
        <v>3480</v>
      </c>
      <c r="L204" s="7" t="n">
        <f aca="false">H204*I204</f>
        <v>2600</v>
      </c>
      <c r="M204" s="7" t="n">
        <f aca="false">K204-L204</f>
        <v>880</v>
      </c>
    </row>
    <row r="205" customFormat="false" ht="15" hidden="false" customHeight="false" outlineLevel="0" collapsed="false">
      <c r="A205" s="3" t="s">
        <v>2336</v>
      </c>
      <c r="B205" s="3" t="s">
        <v>2337</v>
      </c>
      <c r="C205" s="3" t="s">
        <v>1521</v>
      </c>
      <c r="D205" s="3" t="s">
        <v>1522</v>
      </c>
      <c r="E205" s="3" t="s">
        <v>716</v>
      </c>
      <c r="F205" s="3" t="s">
        <v>715</v>
      </c>
      <c r="G205" s="3" t="s">
        <v>609</v>
      </c>
      <c r="H205" s="3" t="n">
        <v>40</v>
      </c>
      <c r="I205" s="4" t="n">
        <v>750</v>
      </c>
      <c r="J205" s="4" t="n">
        <v>1100</v>
      </c>
      <c r="K205" s="4" t="n">
        <f aca="false">H205*J205</f>
        <v>44000</v>
      </c>
      <c r="L205" s="4" t="n">
        <f aca="false">H205*I205</f>
        <v>30000</v>
      </c>
      <c r="M205" s="4" t="n">
        <f aca="false">K205-L205</f>
        <v>14000</v>
      </c>
    </row>
    <row r="206" customFormat="false" ht="15" hidden="false" customHeight="false" outlineLevel="0" collapsed="false">
      <c r="A206" s="6" t="s">
        <v>2338</v>
      </c>
      <c r="B206" s="6" t="s">
        <v>2247</v>
      </c>
      <c r="C206" s="6" t="s">
        <v>1334</v>
      </c>
      <c r="D206" s="6" t="s">
        <v>1335</v>
      </c>
      <c r="E206" s="6" t="s">
        <v>574</v>
      </c>
      <c r="F206" s="6" t="s">
        <v>573</v>
      </c>
      <c r="G206" s="6" t="s">
        <v>469</v>
      </c>
      <c r="H206" s="6" t="n">
        <v>45</v>
      </c>
      <c r="I206" s="7" t="n">
        <v>3200</v>
      </c>
      <c r="J206" s="7" t="n">
        <v>4500</v>
      </c>
      <c r="K206" s="7" t="n">
        <f aca="false">H206*J206</f>
        <v>202500</v>
      </c>
      <c r="L206" s="7" t="n">
        <f aca="false">H206*I206</f>
        <v>144000</v>
      </c>
      <c r="M206" s="7" t="n">
        <f aca="false">K206-L206</f>
        <v>58500</v>
      </c>
    </row>
    <row r="207" customFormat="false" ht="15" hidden="false" customHeight="false" outlineLevel="0" collapsed="false">
      <c r="A207" s="3" t="s">
        <v>2339</v>
      </c>
      <c r="B207" s="3" t="s">
        <v>2227</v>
      </c>
      <c r="C207" s="3" t="s">
        <v>1444</v>
      </c>
      <c r="D207" s="3" t="s">
        <v>1445</v>
      </c>
      <c r="E207" s="3" t="s">
        <v>380</v>
      </c>
      <c r="F207" s="3" t="s">
        <v>379</v>
      </c>
      <c r="G207" s="3" t="s">
        <v>330</v>
      </c>
      <c r="H207" s="3" t="n">
        <v>21</v>
      </c>
      <c r="I207" s="4" t="n">
        <v>2200</v>
      </c>
      <c r="J207" s="4" t="n">
        <v>3400</v>
      </c>
      <c r="K207" s="4" t="n">
        <f aca="false">H207*J207</f>
        <v>71400</v>
      </c>
      <c r="L207" s="4" t="n">
        <f aca="false">H207*I207</f>
        <v>46200</v>
      </c>
      <c r="M207" s="4" t="n">
        <f aca="false">K207-L207</f>
        <v>25200</v>
      </c>
    </row>
    <row r="208" customFormat="false" ht="15" hidden="false" customHeight="false" outlineLevel="0" collapsed="false">
      <c r="A208" s="6" t="s">
        <v>2340</v>
      </c>
      <c r="B208" s="6" t="s">
        <v>2341</v>
      </c>
      <c r="C208" s="6" t="s">
        <v>1237</v>
      </c>
      <c r="D208" s="6" t="s">
        <v>1238</v>
      </c>
      <c r="E208" s="6" t="s">
        <v>105</v>
      </c>
      <c r="F208" s="6" t="s">
        <v>104</v>
      </c>
      <c r="G208" s="6" t="s">
        <v>17</v>
      </c>
      <c r="H208" s="6" t="n">
        <v>40</v>
      </c>
      <c r="I208" s="7" t="n">
        <v>42000</v>
      </c>
      <c r="J208" s="7" t="n">
        <v>52000</v>
      </c>
      <c r="K208" s="7" t="n">
        <f aca="false">H208*J208</f>
        <v>2080000</v>
      </c>
      <c r="L208" s="7" t="n">
        <f aca="false">H208*I208</f>
        <v>1680000</v>
      </c>
      <c r="M208" s="7" t="n">
        <f aca="false">K208-L208</f>
        <v>400000</v>
      </c>
    </row>
    <row r="209" customFormat="false" ht="15" hidden="false" customHeight="false" outlineLevel="0" collapsed="false">
      <c r="A209" s="3" t="s">
        <v>2342</v>
      </c>
      <c r="B209" s="3" t="s">
        <v>1805</v>
      </c>
      <c r="C209" s="3" t="s">
        <v>1294</v>
      </c>
      <c r="D209" s="3" t="s">
        <v>1295</v>
      </c>
      <c r="E209" s="3" t="s">
        <v>521</v>
      </c>
      <c r="F209" s="3" t="s">
        <v>520</v>
      </c>
      <c r="G209" s="3" t="s">
        <v>469</v>
      </c>
      <c r="H209" s="3" t="n">
        <v>18</v>
      </c>
      <c r="I209" s="4" t="n">
        <v>3200</v>
      </c>
      <c r="J209" s="4" t="n">
        <v>4400</v>
      </c>
      <c r="K209" s="4" t="n">
        <f aca="false">H209*J209</f>
        <v>79200</v>
      </c>
      <c r="L209" s="4" t="n">
        <f aca="false">H209*I209</f>
        <v>57600</v>
      </c>
      <c r="M209" s="4" t="n">
        <f aca="false">K209-L209</f>
        <v>21600</v>
      </c>
    </row>
    <row r="210" customFormat="false" ht="15" hidden="false" customHeight="false" outlineLevel="0" collapsed="false">
      <c r="A210" s="6" t="s">
        <v>2343</v>
      </c>
      <c r="B210" s="6" t="s">
        <v>1882</v>
      </c>
      <c r="C210" s="6" t="s">
        <v>1611</v>
      </c>
      <c r="D210" s="6" t="s">
        <v>1612</v>
      </c>
      <c r="E210" s="6" t="s">
        <v>102</v>
      </c>
      <c r="F210" s="6" t="s">
        <v>101</v>
      </c>
      <c r="G210" s="6" t="s">
        <v>17</v>
      </c>
      <c r="H210" s="6" t="n">
        <v>10</v>
      </c>
      <c r="I210" s="7" t="n">
        <v>150000</v>
      </c>
      <c r="J210" s="7" t="n">
        <v>185000</v>
      </c>
      <c r="K210" s="7" t="n">
        <f aca="false">H210*J210</f>
        <v>1850000</v>
      </c>
      <c r="L210" s="7" t="n">
        <f aca="false">H210*I210</f>
        <v>1500000</v>
      </c>
      <c r="M210" s="7" t="n">
        <f aca="false">K210-L210</f>
        <v>350000</v>
      </c>
    </row>
    <row r="211" customFormat="false" ht="15" hidden="false" customHeight="false" outlineLevel="0" collapsed="false">
      <c r="A211" s="3" t="s">
        <v>2344</v>
      </c>
      <c r="B211" s="3" t="s">
        <v>2345</v>
      </c>
      <c r="C211" s="3" t="s">
        <v>1644</v>
      </c>
      <c r="D211" s="3" t="s">
        <v>1645</v>
      </c>
      <c r="E211" s="3" t="s">
        <v>161</v>
      </c>
      <c r="F211" s="3" t="s">
        <v>160</v>
      </c>
      <c r="G211" s="3" t="s">
        <v>17</v>
      </c>
      <c r="H211" s="3" t="n">
        <v>15</v>
      </c>
      <c r="I211" s="4" t="n">
        <v>22000</v>
      </c>
      <c r="J211" s="4" t="n">
        <v>28000</v>
      </c>
      <c r="K211" s="4" t="n">
        <f aca="false">H211*J211</f>
        <v>420000</v>
      </c>
      <c r="L211" s="4" t="n">
        <f aca="false">H211*I211</f>
        <v>330000</v>
      </c>
      <c r="M211" s="4" t="n">
        <f aca="false">K211-L211</f>
        <v>90000</v>
      </c>
    </row>
    <row r="212" customFormat="false" ht="15" hidden="false" customHeight="false" outlineLevel="0" collapsed="false">
      <c r="A212" s="6" t="s">
        <v>2346</v>
      </c>
      <c r="B212" s="6" t="s">
        <v>1813</v>
      </c>
      <c r="C212" s="6" t="s">
        <v>1193</v>
      </c>
      <c r="D212" s="6" t="s">
        <v>1194</v>
      </c>
      <c r="E212" s="6" t="s">
        <v>648</v>
      </c>
      <c r="F212" s="6" t="s">
        <v>647</v>
      </c>
      <c r="G212" s="6" t="s">
        <v>609</v>
      </c>
      <c r="H212" s="6" t="n">
        <v>14</v>
      </c>
      <c r="I212" s="7" t="n">
        <v>165</v>
      </c>
      <c r="J212" s="7" t="n">
        <v>240</v>
      </c>
      <c r="K212" s="7" t="n">
        <f aca="false">H212*J212</f>
        <v>3360</v>
      </c>
      <c r="L212" s="7" t="n">
        <f aca="false">H212*I212</f>
        <v>2310</v>
      </c>
      <c r="M212" s="7" t="n">
        <f aca="false">K212-L212</f>
        <v>1050</v>
      </c>
    </row>
    <row r="213" customFormat="false" ht="15" hidden="false" customHeight="false" outlineLevel="0" collapsed="false">
      <c r="A213" s="3" t="s">
        <v>2347</v>
      </c>
      <c r="B213" s="3" t="s">
        <v>2348</v>
      </c>
      <c r="C213" s="3" t="s">
        <v>1334</v>
      </c>
      <c r="D213" s="3" t="s">
        <v>1335</v>
      </c>
      <c r="E213" s="3" t="s">
        <v>374</v>
      </c>
      <c r="F213" s="3" t="s">
        <v>373</v>
      </c>
      <c r="G213" s="3" t="s">
        <v>330</v>
      </c>
      <c r="H213" s="3" t="n">
        <v>3</v>
      </c>
      <c r="I213" s="4" t="n">
        <v>1800</v>
      </c>
      <c r="J213" s="4" t="n">
        <v>2800</v>
      </c>
      <c r="K213" s="4" t="n">
        <f aca="false">H213*J213</f>
        <v>8400</v>
      </c>
      <c r="L213" s="4" t="n">
        <f aca="false">H213*I213</f>
        <v>5400</v>
      </c>
      <c r="M213" s="4" t="n">
        <f aca="false">K213-L213</f>
        <v>3000</v>
      </c>
    </row>
    <row r="214" customFormat="false" ht="15" hidden="false" customHeight="false" outlineLevel="0" collapsed="false">
      <c r="A214" s="6" t="s">
        <v>2349</v>
      </c>
      <c r="B214" s="6" t="s">
        <v>2103</v>
      </c>
      <c r="C214" s="6" t="s">
        <v>1269</v>
      </c>
      <c r="D214" s="6" t="s">
        <v>1270</v>
      </c>
      <c r="E214" s="6" t="s">
        <v>259</v>
      </c>
      <c r="F214" s="6" t="s">
        <v>258</v>
      </c>
      <c r="G214" s="6" t="s">
        <v>169</v>
      </c>
      <c r="H214" s="6" t="n">
        <v>46</v>
      </c>
      <c r="I214" s="7" t="n">
        <v>650</v>
      </c>
      <c r="J214" s="7" t="n">
        <v>870</v>
      </c>
      <c r="K214" s="7" t="n">
        <f aca="false">H214*J214</f>
        <v>40020</v>
      </c>
      <c r="L214" s="7" t="n">
        <f aca="false">H214*I214</f>
        <v>29900</v>
      </c>
      <c r="M214" s="7" t="n">
        <f aca="false">K214-L214</f>
        <v>10120</v>
      </c>
    </row>
    <row r="215" customFormat="false" ht="15" hidden="false" customHeight="false" outlineLevel="0" collapsed="false">
      <c r="A215" s="3" t="s">
        <v>2350</v>
      </c>
      <c r="B215" s="3" t="s">
        <v>1957</v>
      </c>
      <c r="C215" s="3" t="s">
        <v>1468</v>
      </c>
      <c r="D215" s="3" t="s">
        <v>1469</v>
      </c>
      <c r="E215" s="3" t="s">
        <v>136</v>
      </c>
      <c r="F215" s="3" t="s">
        <v>135</v>
      </c>
      <c r="G215" s="3" t="s">
        <v>17</v>
      </c>
      <c r="H215" s="3" t="n">
        <v>17</v>
      </c>
      <c r="I215" s="4" t="n">
        <v>75000</v>
      </c>
      <c r="J215" s="4" t="n">
        <v>94000</v>
      </c>
      <c r="K215" s="4" t="n">
        <f aca="false">H215*J215</f>
        <v>1598000</v>
      </c>
      <c r="L215" s="4" t="n">
        <f aca="false">H215*I215</f>
        <v>1275000</v>
      </c>
      <c r="M215" s="4" t="n">
        <f aca="false">K215-L215</f>
        <v>323000</v>
      </c>
    </row>
    <row r="216" customFormat="false" ht="15" hidden="false" customHeight="false" outlineLevel="0" collapsed="false">
      <c r="A216" s="6" t="s">
        <v>2351</v>
      </c>
      <c r="B216" s="6" t="s">
        <v>1912</v>
      </c>
      <c r="C216" s="6" t="s">
        <v>1209</v>
      </c>
      <c r="D216" s="6" t="s">
        <v>1210</v>
      </c>
      <c r="E216" s="6" t="s">
        <v>236</v>
      </c>
      <c r="F216" s="6" t="s">
        <v>235</v>
      </c>
      <c r="G216" s="6" t="s">
        <v>169</v>
      </c>
      <c r="H216" s="6" t="n">
        <v>21</v>
      </c>
      <c r="I216" s="7" t="n">
        <v>75</v>
      </c>
      <c r="J216" s="7" t="n">
        <v>105</v>
      </c>
      <c r="K216" s="7" t="n">
        <f aca="false">H216*J216</f>
        <v>2205</v>
      </c>
      <c r="L216" s="7" t="n">
        <f aca="false">H216*I216</f>
        <v>1575</v>
      </c>
      <c r="M216" s="7" t="n">
        <f aca="false">K216-L216</f>
        <v>630</v>
      </c>
    </row>
    <row r="217" customFormat="false" ht="15" hidden="false" customHeight="false" outlineLevel="0" collapsed="false">
      <c r="A217" s="3" t="s">
        <v>2352</v>
      </c>
      <c r="B217" s="3" t="s">
        <v>1957</v>
      </c>
      <c r="C217" s="3" t="s">
        <v>1449</v>
      </c>
      <c r="D217" s="3" t="s">
        <v>1450</v>
      </c>
      <c r="E217" s="3" t="s">
        <v>99</v>
      </c>
      <c r="F217" s="3" t="s">
        <v>98</v>
      </c>
      <c r="G217" s="3" t="s">
        <v>17</v>
      </c>
      <c r="H217" s="3" t="n">
        <v>29</v>
      </c>
      <c r="I217" s="4" t="n">
        <v>78000</v>
      </c>
      <c r="J217" s="4" t="n">
        <v>98000</v>
      </c>
      <c r="K217" s="4" t="n">
        <f aca="false">H217*J217</f>
        <v>2842000</v>
      </c>
      <c r="L217" s="4" t="n">
        <f aca="false">H217*I217</f>
        <v>2262000</v>
      </c>
      <c r="M217" s="4" t="n">
        <f aca="false">K217-L217</f>
        <v>580000</v>
      </c>
    </row>
    <row r="218" customFormat="false" ht="15" hidden="false" customHeight="false" outlineLevel="0" collapsed="false">
      <c r="A218" s="6" t="s">
        <v>2353</v>
      </c>
      <c r="B218" s="6" t="s">
        <v>2354</v>
      </c>
      <c r="C218" s="6" t="s">
        <v>1526</v>
      </c>
      <c r="D218" s="6" t="s">
        <v>1527</v>
      </c>
      <c r="E218" s="6" t="s">
        <v>457</v>
      </c>
      <c r="F218" s="6" t="s">
        <v>456</v>
      </c>
      <c r="G218" s="6" t="s">
        <v>330</v>
      </c>
      <c r="H218" s="6" t="n">
        <v>8</v>
      </c>
      <c r="I218" s="7" t="n">
        <v>1200</v>
      </c>
      <c r="J218" s="7" t="n">
        <v>1900</v>
      </c>
      <c r="K218" s="7" t="n">
        <f aca="false">H218*J218</f>
        <v>15200</v>
      </c>
      <c r="L218" s="7" t="n">
        <f aca="false">H218*I218</f>
        <v>9600</v>
      </c>
      <c r="M218" s="7" t="n">
        <f aca="false">K218-L218</f>
        <v>5600</v>
      </c>
    </row>
    <row r="219" customFormat="false" ht="15" hidden="false" customHeight="false" outlineLevel="0" collapsed="false">
      <c r="A219" s="3" t="s">
        <v>2355</v>
      </c>
      <c r="B219" s="3" t="s">
        <v>2356</v>
      </c>
      <c r="C219" s="3" t="s">
        <v>1639</v>
      </c>
      <c r="D219" s="3" t="s">
        <v>1640</v>
      </c>
      <c r="E219" s="3" t="s">
        <v>881</v>
      </c>
      <c r="F219" s="3" t="s">
        <v>880</v>
      </c>
      <c r="G219" s="3" t="s">
        <v>816</v>
      </c>
      <c r="H219" s="3" t="n">
        <v>15</v>
      </c>
      <c r="I219" s="4" t="n">
        <v>2500</v>
      </c>
      <c r="J219" s="4" t="n">
        <v>3800</v>
      </c>
      <c r="K219" s="4" t="n">
        <f aca="false">H219*J219</f>
        <v>57000</v>
      </c>
      <c r="L219" s="4" t="n">
        <f aca="false">H219*I219</f>
        <v>37500</v>
      </c>
      <c r="M219" s="4" t="n">
        <f aca="false">K219-L219</f>
        <v>19500</v>
      </c>
    </row>
    <row r="220" customFormat="false" ht="15" hidden="false" customHeight="false" outlineLevel="0" collapsed="false">
      <c r="A220" s="6" t="s">
        <v>2357</v>
      </c>
      <c r="B220" s="6" t="s">
        <v>1910</v>
      </c>
      <c r="C220" s="6" t="s">
        <v>1611</v>
      </c>
      <c r="D220" s="6" t="s">
        <v>1612</v>
      </c>
      <c r="E220" s="6" t="s">
        <v>897</v>
      </c>
      <c r="F220" s="6" t="s">
        <v>896</v>
      </c>
      <c r="G220" s="6" t="s">
        <v>816</v>
      </c>
      <c r="H220" s="6" t="n">
        <v>41</v>
      </c>
      <c r="I220" s="7" t="n">
        <v>5500</v>
      </c>
      <c r="J220" s="7" t="n">
        <v>8000</v>
      </c>
      <c r="K220" s="7" t="n">
        <f aca="false">H220*J220</f>
        <v>328000</v>
      </c>
      <c r="L220" s="7" t="n">
        <f aca="false">H220*I220</f>
        <v>225500</v>
      </c>
      <c r="M220" s="7" t="n">
        <f aca="false">K220-L220</f>
        <v>102500</v>
      </c>
    </row>
    <row r="221" customFormat="false" ht="15" hidden="false" customHeight="false" outlineLevel="0" collapsed="false">
      <c r="A221" s="3" t="s">
        <v>2358</v>
      </c>
      <c r="B221" s="3" t="s">
        <v>2359</v>
      </c>
      <c r="C221" s="3" t="s">
        <v>1621</v>
      </c>
      <c r="D221" s="3" t="s">
        <v>1622</v>
      </c>
      <c r="E221" s="3" t="s">
        <v>661</v>
      </c>
      <c r="F221" s="3" t="s">
        <v>660</v>
      </c>
      <c r="G221" s="3" t="s">
        <v>609</v>
      </c>
      <c r="H221" s="3" t="n">
        <v>16</v>
      </c>
      <c r="I221" s="4" t="n">
        <v>550</v>
      </c>
      <c r="J221" s="4" t="n">
        <v>820</v>
      </c>
      <c r="K221" s="4" t="n">
        <f aca="false">H221*J221</f>
        <v>13120</v>
      </c>
      <c r="L221" s="4" t="n">
        <f aca="false">H221*I221</f>
        <v>8800</v>
      </c>
      <c r="M221" s="4" t="n">
        <f aca="false">K221-L221</f>
        <v>4320</v>
      </c>
    </row>
    <row r="222" customFormat="false" ht="15" hidden="false" customHeight="false" outlineLevel="0" collapsed="false">
      <c r="A222" s="6" t="s">
        <v>2360</v>
      </c>
      <c r="B222" s="6" t="s">
        <v>1925</v>
      </c>
      <c r="C222" s="6" t="s">
        <v>1521</v>
      </c>
      <c r="D222" s="6" t="s">
        <v>1522</v>
      </c>
      <c r="E222" s="6" t="s">
        <v>121</v>
      </c>
      <c r="F222" s="6" t="s">
        <v>120</v>
      </c>
      <c r="G222" s="6" t="s">
        <v>17</v>
      </c>
      <c r="H222" s="6" t="n">
        <v>2</v>
      </c>
      <c r="I222" s="7" t="n">
        <v>195000</v>
      </c>
      <c r="J222" s="7" t="n">
        <v>239000</v>
      </c>
      <c r="K222" s="7" t="n">
        <f aca="false">H222*J222</f>
        <v>478000</v>
      </c>
      <c r="L222" s="7" t="n">
        <f aca="false">H222*I222</f>
        <v>390000</v>
      </c>
      <c r="M222" s="7" t="n">
        <f aca="false">K222-L222</f>
        <v>88000</v>
      </c>
    </row>
    <row r="223" customFormat="false" ht="15" hidden="false" customHeight="false" outlineLevel="0" collapsed="false">
      <c r="A223" s="3" t="s">
        <v>2361</v>
      </c>
      <c r="B223" s="3" t="s">
        <v>2362</v>
      </c>
      <c r="C223" s="3" t="s">
        <v>1498</v>
      </c>
      <c r="D223" s="3" t="s">
        <v>1499</v>
      </c>
      <c r="E223" s="3" t="s">
        <v>26</v>
      </c>
      <c r="F223" s="3" t="s">
        <v>25</v>
      </c>
      <c r="G223" s="3" t="s">
        <v>17</v>
      </c>
      <c r="H223" s="3" t="n">
        <v>3</v>
      </c>
      <c r="I223" s="4" t="n">
        <v>55000</v>
      </c>
      <c r="J223" s="4" t="n">
        <v>68000</v>
      </c>
      <c r="K223" s="4" t="n">
        <f aca="false">H223*J223</f>
        <v>204000</v>
      </c>
      <c r="L223" s="4" t="n">
        <f aca="false">H223*I223</f>
        <v>165000</v>
      </c>
      <c r="M223" s="4" t="n">
        <f aca="false">K223-L223</f>
        <v>39000</v>
      </c>
    </row>
    <row r="224" customFormat="false" ht="15" hidden="false" customHeight="false" outlineLevel="0" collapsed="false">
      <c r="A224" s="6" t="s">
        <v>2363</v>
      </c>
      <c r="B224" s="6" t="s">
        <v>2364</v>
      </c>
      <c r="C224" s="6" t="s">
        <v>1596</v>
      </c>
      <c r="D224" s="6" t="s">
        <v>1597</v>
      </c>
      <c r="E224" s="6" t="s">
        <v>200</v>
      </c>
      <c r="F224" s="6" t="s">
        <v>199</v>
      </c>
      <c r="G224" s="6" t="s">
        <v>169</v>
      </c>
      <c r="H224" s="6" t="n">
        <v>27</v>
      </c>
      <c r="I224" s="7" t="n">
        <v>430</v>
      </c>
      <c r="J224" s="7" t="n">
        <v>560</v>
      </c>
      <c r="K224" s="7" t="n">
        <f aca="false">H224*J224</f>
        <v>15120</v>
      </c>
      <c r="L224" s="7" t="n">
        <f aca="false">H224*I224</f>
        <v>11610</v>
      </c>
      <c r="M224" s="7" t="n">
        <f aca="false">K224-L224</f>
        <v>3510</v>
      </c>
    </row>
    <row r="225" customFormat="false" ht="15" hidden="false" customHeight="false" outlineLevel="0" collapsed="false">
      <c r="A225" s="3" t="s">
        <v>2365</v>
      </c>
      <c r="B225" s="3" t="s">
        <v>1974</v>
      </c>
      <c r="C225" s="3" t="s">
        <v>1329</v>
      </c>
      <c r="D225" s="3" t="s">
        <v>1330</v>
      </c>
      <c r="E225" s="3" t="s">
        <v>74</v>
      </c>
      <c r="F225" s="3" t="s">
        <v>73</v>
      </c>
      <c r="G225" s="3" t="s">
        <v>17</v>
      </c>
      <c r="H225" s="3" t="n">
        <v>10</v>
      </c>
      <c r="I225" s="4" t="n">
        <v>95000</v>
      </c>
      <c r="J225" s="4" t="n">
        <v>115000</v>
      </c>
      <c r="K225" s="4" t="n">
        <f aca="false">H225*J225</f>
        <v>1150000</v>
      </c>
      <c r="L225" s="4" t="n">
        <f aca="false">H225*I225</f>
        <v>950000</v>
      </c>
      <c r="M225" s="4" t="n">
        <f aca="false">K225-L225</f>
        <v>200000</v>
      </c>
    </row>
    <row r="226" customFormat="false" ht="15" hidden="false" customHeight="false" outlineLevel="0" collapsed="false">
      <c r="A226" s="6" t="s">
        <v>2366</v>
      </c>
      <c r="B226" s="6" t="s">
        <v>2043</v>
      </c>
      <c r="C226" s="6" t="s">
        <v>1478</v>
      </c>
      <c r="D226" s="6" t="s">
        <v>1479</v>
      </c>
      <c r="E226" s="6" t="s">
        <v>345</v>
      </c>
      <c r="F226" s="6" t="s">
        <v>344</v>
      </c>
      <c r="G226" s="6" t="s">
        <v>330</v>
      </c>
      <c r="H226" s="6" t="n">
        <v>43</v>
      </c>
      <c r="I226" s="7" t="n">
        <v>1800</v>
      </c>
      <c r="J226" s="7" t="n">
        <v>2700</v>
      </c>
      <c r="K226" s="7" t="n">
        <f aca="false">H226*J226</f>
        <v>116100</v>
      </c>
      <c r="L226" s="7" t="n">
        <f aca="false">H226*I226</f>
        <v>77400</v>
      </c>
      <c r="M226" s="7" t="n">
        <f aca="false">K226-L226</f>
        <v>38700</v>
      </c>
    </row>
    <row r="227" customFormat="false" ht="15" hidden="false" customHeight="false" outlineLevel="0" collapsed="false">
      <c r="A227" s="3" t="s">
        <v>2367</v>
      </c>
      <c r="B227" s="3" t="s">
        <v>1817</v>
      </c>
      <c r="C227" s="3" t="s">
        <v>1364</v>
      </c>
      <c r="D227" s="3" t="s">
        <v>1365</v>
      </c>
      <c r="E227" s="3" t="s">
        <v>846</v>
      </c>
      <c r="F227" s="3" t="s">
        <v>845</v>
      </c>
      <c r="G227" s="3" t="s">
        <v>816</v>
      </c>
      <c r="H227" s="3" t="n">
        <v>7</v>
      </c>
      <c r="I227" s="4" t="n">
        <v>380</v>
      </c>
      <c r="J227" s="4" t="n">
        <v>560</v>
      </c>
      <c r="K227" s="4" t="n">
        <f aca="false">H227*J227</f>
        <v>3920</v>
      </c>
      <c r="L227" s="4" t="n">
        <f aca="false">H227*I227</f>
        <v>2660</v>
      </c>
      <c r="M227" s="4" t="n">
        <f aca="false">K227-L227</f>
        <v>1260</v>
      </c>
    </row>
    <row r="228" customFormat="false" ht="15" hidden="false" customHeight="false" outlineLevel="0" collapsed="false">
      <c r="A228" s="6" t="s">
        <v>2368</v>
      </c>
      <c r="B228" s="6" t="s">
        <v>2045</v>
      </c>
      <c r="C228" s="6" t="s">
        <v>1329</v>
      </c>
      <c r="D228" s="6" t="s">
        <v>1330</v>
      </c>
      <c r="E228" s="6" t="s">
        <v>99</v>
      </c>
      <c r="F228" s="6" t="s">
        <v>98</v>
      </c>
      <c r="G228" s="6" t="s">
        <v>17</v>
      </c>
      <c r="H228" s="6" t="n">
        <v>41</v>
      </c>
      <c r="I228" s="7" t="n">
        <v>78000</v>
      </c>
      <c r="J228" s="7" t="n">
        <v>98000</v>
      </c>
      <c r="K228" s="7" t="n">
        <f aca="false">H228*J228</f>
        <v>4018000</v>
      </c>
      <c r="L228" s="7" t="n">
        <f aca="false">H228*I228</f>
        <v>3198000</v>
      </c>
      <c r="M228" s="7" t="n">
        <f aca="false">K228-L228</f>
        <v>820000</v>
      </c>
    </row>
    <row r="229" customFormat="false" ht="15" hidden="false" customHeight="false" outlineLevel="0" collapsed="false">
      <c r="A229" s="3" t="s">
        <v>2369</v>
      </c>
      <c r="B229" s="3" t="s">
        <v>2022</v>
      </c>
      <c r="C229" s="3" t="s">
        <v>1558</v>
      </c>
      <c r="D229" s="3" t="s">
        <v>1559</v>
      </c>
      <c r="E229" s="3" t="s">
        <v>499</v>
      </c>
      <c r="F229" s="3" t="s">
        <v>498</v>
      </c>
      <c r="G229" s="3" t="s">
        <v>469</v>
      </c>
      <c r="H229" s="3" t="n">
        <v>33</v>
      </c>
      <c r="I229" s="4" t="n">
        <v>200</v>
      </c>
      <c r="J229" s="4" t="n">
        <v>280</v>
      </c>
      <c r="K229" s="4" t="n">
        <f aca="false">H229*J229</f>
        <v>9240</v>
      </c>
      <c r="L229" s="4" t="n">
        <f aca="false">H229*I229</f>
        <v>6600</v>
      </c>
      <c r="M229" s="4" t="n">
        <f aca="false">K229-L229</f>
        <v>2640</v>
      </c>
    </row>
    <row r="230" customFormat="false" ht="15" hidden="false" customHeight="false" outlineLevel="0" collapsed="false">
      <c r="A230" s="6" t="s">
        <v>2370</v>
      </c>
      <c r="B230" s="6" t="s">
        <v>1908</v>
      </c>
      <c r="C230" s="6" t="s">
        <v>1182</v>
      </c>
      <c r="D230" s="6" t="s">
        <v>1183</v>
      </c>
      <c r="E230" s="6" t="s">
        <v>327</v>
      </c>
      <c r="F230" s="6" t="s">
        <v>326</v>
      </c>
      <c r="G230" s="6" t="s">
        <v>169</v>
      </c>
      <c r="H230" s="6" t="n">
        <v>43</v>
      </c>
      <c r="I230" s="7" t="n">
        <v>280</v>
      </c>
      <c r="J230" s="7" t="n">
        <v>380</v>
      </c>
      <c r="K230" s="7" t="n">
        <f aca="false">H230*J230</f>
        <v>16340</v>
      </c>
      <c r="L230" s="7" t="n">
        <f aca="false">H230*I230</f>
        <v>12040</v>
      </c>
      <c r="M230" s="7" t="n">
        <f aca="false">K230-L230</f>
        <v>4300</v>
      </c>
    </row>
    <row r="231" customFormat="false" ht="15" hidden="false" customHeight="false" outlineLevel="0" collapsed="false">
      <c r="A231" s="3" t="s">
        <v>2371</v>
      </c>
      <c r="B231" s="3" t="s">
        <v>2372</v>
      </c>
      <c r="C231" s="3" t="s">
        <v>1420</v>
      </c>
      <c r="D231" s="3" t="s">
        <v>1421</v>
      </c>
      <c r="E231" s="3" t="s">
        <v>245</v>
      </c>
      <c r="F231" s="3" t="s">
        <v>244</v>
      </c>
      <c r="G231" s="3" t="s">
        <v>169</v>
      </c>
      <c r="H231" s="3" t="n">
        <v>36</v>
      </c>
      <c r="I231" s="4" t="n">
        <v>58</v>
      </c>
      <c r="J231" s="4" t="n">
        <v>84</v>
      </c>
      <c r="K231" s="4" t="n">
        <f aca="false">H231*J231</f>
        <v>3024</v>
      </c>
      <c r="L231" s="4" t="n">
        <f aca="false">H231*I231</f>
        <v>2088</v>
      </c>
      <c r="M231" s="4" t="n">
        <f aca="false">K231-L231</f>
        <v>936</v>
      </c>
    </row>
    <row r="232" customFormat="false" ht="15" hidden="false" customHeight="false" outlineLevel="0" collapsed="false">
      <c r="A232" s="6" t="s">
        <v>2373</v>
      </c>
      <c r="B232" s="6" t="s">
        <v>1813</v>
      </c>
      <c r="C232" s="6" t="s">
        <v>1237</v>
      </c>
      <c r="D232" s="6" t="s">
        <v>1238</v>
      </c>
      <c r="E232" s="6" t="s">
        <v>239</v>
      </c>
      <c r="F232" s="6" t="s">
        <v>238</v>
      </c>
      <c r="G232" s="6" t="s">
        <v>169</v>
      </c>
      <c r="H232" s="6" t="n">
        <v>29</v>
      </c>
      <c r="I232" s="7" t="n">
        <v>50</v>
      </c>
      <c r="J232" s="7" t="n">
        <v>72</v>
      </c>
      <c r="K232" s="7" t="n">
        <f aca="false">H232*J232</f>
        <v>2088</v>
      </c>
      <c r="L232" s="7" t="n">
        <f aca="false">H232*I232</f>
        <v>1450</v>
      </c>
      <c r="M232" s="7" t="n">
        <f aca="false">K232-L232</f>
        <v>638</v>
      </c>
    </row>
    <row r="233" customFormat="false" ht="15" hidden="false" customHeight="false" outlineLevel="0" collapsed="false">
      <c r="A233" s="3" t="s">
        <v>2374</v>
      </c>
      <c r="B233" s="3" t="s">
        <v>1864</v>
      </c>
      <c r="C233" s="3" t="s">
        <v>1568</v>
      </c>
      <c r="D233" s="3" t="s">
        <v>1569</v>
      </c>
      <c r="E233" s="3" t="s">
        <v>531</v>
      </c>
      <c r="F233" s="3" t="s">
        <v>530</v>
      </c>
      <c r="G233" s="3" t="s">
        <v>469</v>
      </c>
      <c r="H233" s="3" t="n">
        <v>33</v>
      </c>
      <c r="I233" s="4" t="n">
        <v>1500</v>
      </c>
      <c r="J233" s="4" t="n">
        <v>2100</v>
      </c>
      <c r="K233" s="4" t="n">
        <f aca="false">H233*J233</f>
        <v>69300</v>
      </c>
      <c r="L233" s="4" t="n">
        <f aca="false">H233*I233</f>
        <v>49500</v>
      </c>
      <c r="M233" s="4" t="n">
        <f aca="false">K233-L233</f>
        <v>19800</v>
      </c>
    </row>
    <row r="234" customFormat="false" ht="15" hidden="false" customHeight="false" outlineLevel="0" collapsed="false">
      <c r="A234" s="6" t="s">
        <v>2375</v>
      </c>
      <c r="B234" s="6" t="s">
        <v>2376</v>
      </c>
      <c r="C234" s="6" t="s">
        <v>1269</v>
      </c>
      <c r="D234" s="6" t="s">
        <v>1270</v>
      </c>
      <c r="E234" s="6" t="s">
        <v>239</v>
      </c>
      <c r="F234" s="6" t="s">
        <v>238</v>
      </c>
      <c r="G234" s="6" t="s">
        <v>169</v>
      </c>
      <c r="H234" s="6" t="n">
        <v>6</v>
      </c>
      <c r="I234" s="7" t="n">
        <v>50</v>
      </c>
      <c r="J234" s="7" t="n">
        <v>72</v>
      </c>
      <c r="K234" s="7" t="n">
        <f aca="false">H234*J234</f>
        <v>432</v>
      </c>
      <c r="L234" s="7" t="n">
        <f aca="false">H234*I234</f>
        <v>300</v>
      </c>
      <c r="M234" s="7" t="n">
        <f aca="false">K234-L234</f>
        <v>132</v>
      </c>
    </row>
    <row r="235" customFormat="false" ht="15" hidden="false" customHeight="false" outlineLevel="0" collapsed="false">
      <c r="A235" s="3" t="s">
        <v>2377</v>
      </c>
      <c r="B235" s="3" t="s">
        <v>2056</v>
      </c>
      <c r="C235" s="3" t="s">
        <v>1429</v>
      </c>
      <c r="D235" s="3" t="s">
        <v>1430</v>
      </c>
      <c r="E235" s="3" t="s">
        <v>161</v>
      </c>
      <c r="F235" s="3" t="s">
        <v>160</v>
      </c>
      <c r="G235" s="3" t="s">
        <v>17</v>
      </c>
      <c r="H235" s="3" t="n">
        <v>31</v>
      </c>
      <c r="I235" s="4" t="n">
        <v>22000</v>
      </c>
      <c r="J235" s="4" t="n">
        <v>28000</v>
      </c>
      <c r="K235" s="4" t="n">
        <f aca="false">H235*J235</f>
        <v>868000</v>
      </c>
      <c r="L235" s="4" t="n">
        <f aca="false">H235*I235</f>
        <v>682000</v>
      </c>
      <c r="M235" s="4" t="n">
        <f aca="false">K235-L235</f>
        <v>186000</v>
      </c>
    </row>
    <row r="236" customFormat="false" ht="15" hidden="false" customHeight="false" outlineLevel="0" collapsed="false">
      <c r="A236" s="6" t="s">
        <v>2378</v>
      </c>
      <c r="B236" s="6" t="s">
        <v>1955</v>
      </c>
      <c r="C236" s="6" t="s">
        <v>1507</v>
      </c>
      <c r="D236" s="6" t="s">
        <v>1508</v>
      </c>
      <c r="E236" s="6" t="s">
        <v>639</v>
      </c>
      <c r="F236" s="6" t="s">
        <v>638</v>
      </c>
      <c r="G236" s="6" t="s">
        <v>609</v>
      </c>
      <c r="H236" s="6" t="n">
        <v>33</v>
      </c>
      <c r="I236" s="7" t="n">
        <v>180</v>
      </c>
      <c r="J236" s="7" t="n">
        <v>260</v>
      </c>
      <c r="K236" s="7" t="n">
        <f aca="false">H236*J236</f>
        <v>8580</v>
      </c>
      <c r="L236" s="7" t="n">
        <f aca="false">H236*I236</f>
        <v>5940</v>
      </c>
      <c r="M236" s="7" t="n">
        <f aca="false">K236-L236</f>
        <v>2640</v>
      </c>
    </row>
    <row r="237" customFormat="false" ht="15" hidden="false" customHeight="false" outlineLevel="0" collapsed="false">
      <c r="A237" s="3" t="s">
        <v>2379</v>
      </c>
      <c r="B237" s="3" t="s">
        <v>1904</v>
      </c>
      <c r="C237" s="3" t="s">
        <v>1521</v>
      </c>
      <c r="D237" s="3" t="s">
        <v>1522</v>
      </c>
      <c r="E237" s="3" t="s">
        <v>779</v>
      </c>
      <c r="F237" s="3" t="s">
        <v>778</v>
      </c>
      <c r="G237" s="3" t="s">
        <v>731</v>
      </c>
      <c r="H237" s="3" t="n">
        <v>4</v>
      </c>
      <c r="I237" s="4" t="n">
        <v>180</v>
      </c>
      <c r="J237" s="4" t="n">
        <v>280</v>
      </c>
      <c r="K237" s="4" t="n">
        <f aca="false">H237*J237</f>
        <v>1120</v>
      </c>
      <c r="L237" s="4" t="n">
        <f aca="false">H237*I237</f>
        <v>720</v>
      </c>
      <c r="M237" s="4" t="n">
        <f aca="false">K237-L237</f>
        <v>400</v>
      </c>
    </row>
    <row r="238" customFormat="false" ht="15" hidden="false" customHeight="false" outlineLevel="0" collapsed="false">
      <c r="A238" s="6" t="s">
        <v>2380</v>
      </c>
      <c r="B238" s="6" t="s">
        <v>2205</v>
      </c>
      <c r="C238" s="6" t="s">
        <v>1339</v>
      </c>
      <c r="D238" s="6" t="s">
        <v>1340</v>
      </c>
      <c r="E238" s="6" t="s">
        <v>499</v>
      </c>
      <c r="F238" s="6" t="s">
        <v>498</v>
      </c>
      <c r="G238" s="6" t="s">
        <v>469</v>
      </c>
      <c r="H238" s="6" t="n">
        <v>6</v>
      </c>
      <c r="I238" s="7" t="n">
        <v>200</v>
      </c>
      <c r="J238" s="7" t="n">
        <v>280</v>
      </c>
      <c r="K238" s="7" t="n">
        <f aca="false">H238*J238</f>
        <v>1680</v>
      </c>
      <c r="L238" s="7" t="n">
        <f aca="false">H238*I238</f>
        <v>1200</v>
      </c>
      <c r="M238" s="7" t="n">
        <f aca="false">K238-L238</f>
        <v>480</v>
      </c>
    </row>
    <row r="239" customFormat="false" ht="15" hidden="false" customHeight="false" outlineLevel="0" collapsed="false">
      <c r="A239" s="3" t="s">
        <v>2381</v>
      </c>
      <c r="B239" s="3" t="s">
        <v>2382</v>
      </c>
      <c r="C239" s="3" t="s">
        <v>1220</v>
      </c>
      <c r="D239" s="3" t="s">
        <v>1221</v>
      </c>
      <c r="E239" s="3" t="s">
        <v>366</v>
      </c>
      <c r="F239" s="3" t="s">
        <v>365</v>
      </c>
      <c r="G239" s="3" t="s">
        <v>330</v>
      </c>
      <c r="H239" s="3" t="n">
        <v>6</v>
      </c>
      <c r="I239" s="4" t="n">
        <v>650</v>
      </c>
      <c r="J239" s="4" t="n">
        <v>1000</v>
      </c>
      <c r="K239" s="4" t="n">
        <f aca="false">H239*J239</f>
        <v>6000</v>
      </c>
      <c r="L239" s="4" t="n">
        <f aca="false">H239*I239</f>
        <v>3900</v>
      </c>
      <c r="M239" s="4" t="n">
        <f aca="false">K239-L239</f>
        <v>2100</v>
      </c>
    </row>
    <row r="240" customFormat="false" ht="15" hidden="false" customHeight="false" outlineLevel="0" collapsed="false">
      <c r="A240" s="6" t="s">
        <v>2383</v>
      </c>
      <c r="B240" s="6" t="s">
        <v>2384</v>
      </c>
      <c r="C240" s="6" t="s">
        <v>1415</v>
      </c>
      <c r="D240" s="6" t="s">
        <v>1416</v>
      </c>
      <c r="E240" s="6" t="s">
        <v>846</v>
      </c>
      <c r="F240" s="6" t="s">
        <v>845</v>
      </c>
      <c r="G240" s="6" t="s">
        <v>816</v>
      </c>
      <c r="H240" s="6" t="n">
        <v>9</v>
      </c>
      <c r="I240" s="7" t="n">
        <v>380</v>
      </c>
      <c r="J240" s="7" t="n">
        <v>560</v>
      </c>
      <c r="K240" s="7" t="n">
        <f aca="false">H240*J240</f>
        <v>5040</v>
      </c>
      <c r="L240" s="7" t="n">
        <f aca="false">H240*I240</f>
        <v>3420</v>
      </c>
      <c r="M240" s="7" t="n">
        <f aca="false">K240-L240</f>
        <v>1620</v>
      </c>
    </row>
    <row r="241" customFormat="false" ht="15" hidden="false" customHeight="false" outlineLevel="0" collapsed="false">
      <c r="A241" s="3" t="s">
        <v>2385</v>
      </c>
      <c r="B241" s="3" t="s">
        <v>1822</v>
      </c>
      <c r="C241" s="3" t="s">
        <v>1204</v>
      </c>
      <c r="D241" s="3" t="s">
        <v>1205</v>
      </c>
      <c r="E241" s="3" t="s">
        <v>64</v>
      </c>
      <c r="F241" s="3" t="s">
        <v>63</v>
      </c>
      <c r="G241" s="3" t="s">
        <v>17</v>
      </c>
      <c r="H241" s="3" t="n">
        <v>16</v>
      </c>
      <c r="I241" s="4" t="n">
        <v>115000</v>
      </c>
      <c r="J241" s="4" t="n">
        <v>139000</v>
      </c>
      <c r="K241" s="4" t="n">
        <f aca="false">H241*J241</f>
        <v>2224000</v>
      </c>
      <c r="L241" s="4" t="n">
        <f aca="false">H241*I241</f>
        <v>1840000</v>
      </c>
      <c r="M241" s="4" t="n">
        <f aca="false">K241-L241</f>
        <v>384000</v>
      </c>
    </row>
    <row r="242" customFormat="false" ht="15" hidden="false" customHeight="false" outlineLevel="0" collapsed="false">
      <c r="A242" s="6" t="s">
        <v>2386</v>
      </c>
      <c r="B242" s="6" t="s">
        <v>2387</v>
      </c>
      <c r="C242" s="6" t="s">
        <v>1247</v>
      </c>
      <c r="D242" s="6" t="s">
        <v>1248</v>
      </c>
      <c r="E242" s="6" t="s">
        <v>50</v>
      </c>
      <c r="F242" s="6" t="s">
        <v>49</v>
      </c>
      <c r="G242" s="6" t="s">
        <v>17</v>
      </c>
      <c r="H242" s="6" t="n">
        <v>44</v>
      </c>
      <c r="I242" s="7" t="n">
        <v>82000</v>
      </c>
      <c r="J242" s="7" t="n">
        <v>99000</v>
      </c>
      <c r="K242" s="7" t="n">
        <f aca="false">H242*J242</f>
        <v>4356000</v>
      </c>
      <c r="L242" s="7" t="n">
        <f aca="false">H242*I242</f>
        <v>3608000</v>
      </c>
      <c r="M242" s="7" t="n">
        <f aca="false">K242-L242</f>
        <v>748000</v>
      </c>
    </row>
    <row r="243" customFormat="false" ht="15" hidden="false" customHeight="false" outlineLevel="0" collapsed="false">
      <c r="A243" s="3" t="s">
        <v>2388</v>
      </c>
      <c r="B243" s="3" t="s">
        <v>2200</v>
      </c>
      <c r="C243" s="3" t="s">
        <v>1478</v>
      </c>
      <c r="D243" s="3" t="s">
        <v>1479</v>
      </c>
      <c r="E243" s="3" t="s">
        <v>298</v>
      </c>
      <c r="F243" s="3" t="s">
        <v>297</v>
      </c>
      <c r="G243" s="3" t="s">
        <v>169</v>
      </c>
      <c r="H243" s="3" t="n">
        <v>28</v>
      </c>
      <c r="I243" s="4" t="n">
        <v>185</v>
      </c>
      <c r="J243" s="4" t="n">
        <v>245</v>
      </c>
      <c r="K243" s="4" t="n">
        <f aca="false">H243*J243</f>
        <v>6860</v>
      </c>
      <c r="L243" s="4" t="n">
        <f aca="false">H243*I243</f>
        <v>5180</v>
      </c>
      <c r="M243" s="4" t="n">
        <f aca="false">K243-L243</f>
        <v>1680</v>
      </c>
    </row>
    <row r="244" customFormat="false" ht="15" hidden="false" customHeight="false" outlineLevel="0" collapsed="false">
      <c r="A244" s="6" t="s">
        <v>2389</v>
      </c>
      <c r="B244" s="6" t="s">
        <v>2390</v>
      </c>
      <c r="C244" s="6" t="s">
        <v>1344</v>
      </c>
      <c r="D244" s="6" t="s">
        <v>1345</v>
      </c>
      <c r="E244" s="6" t="s">
        <v>617</v>
      </c>
      <c r="F244" s="6" t="s">
        <v>616</v>
      </c>
      <c r="G244" s="6" t="s">
        <v>609</v>
      </c>
      <c r="H244" s="6" t="n">
        <v>11</v>
      </c>
      <c r="I244" s="7" t="n">
        <v>70</v>
      </c>
      <c r="J244" s="7" t="n">
        <v>100</v>
      </c>
      <c r="K244" s="7" t="n">
        <f aca="false">H244*J244</f>
        <v>1100</v>
      </c>
      <c r="L244" s="7" t="n">
        <f aca="false">H244*I244</f>
        <v>770</v>
      </c>
      <c r="M244" s="7" t="n">
        <f aca="false">K244-L244</f>
        <v>330</v>
      </c>
    </row>
    <row r="245" customFormat="false" ht="15" hidden="false" customHeight="false" outlineLevel="0" collapsed="false">
      <c r="A245" s="3" t="s">
        <v>2391</v>
      </c>
      <c r="B245" s="3" t="s">
        <v>2392</v>
      </c>
      <c r="C245" s="3" t="s">
        <v>1300</v>
      </c>
      <c r="D245" s="3" t="s">
        <v>1301</v>
      </c>
      <c r="E245" s="3" t="s">
        <v>839</v>
      </c>
      <c r="F245" s="3" t="s">
        <v>838</v>
      </c>
      <c r="G245" s="3" t="s">
        <v>816</v>
      </c>
      <c r="H245" s="3" t="n">
        <v>9</v>
      </c>
      <c r="I245" s="4" t="n">
        <v>550</v>
      </c>
      <c r="J245" s="4" t="n">
        <v>800</v>
      </c>
      <c r="K245" s="4" t="n">
        <f aca="false">H245*J245</f>
        <v>7200</v>
      </c>
      <c r="L245" s="4" t="n">
        <f aca="false">H245*I245</f>
        <v>4950</v>
      </c>
      <c r="M245" s="4" t="n">
        <f aca="false">K245-L245</f>
        <v>2250</v>
      </c>
    </row>
    <row r="246" customFormat="false" ht="15" hidden="false" customHeight="false" outlineLevel="0" collapsed="false">
      <c r="A246" s="6" t="s">
        <v>2393</v>
      </c>
      <c r="B246" s="6" t="s">
        <v>2345</v>
      </c>
      <c r="C246" s="6" t="s">
        <v>1252</v>
      </c>
      <c r="D246" s="6" t="s">
        <v>1253</v>
      </c>
      <c r="E246" s="6" t="s">
        <v>225</v>
      </c>
      <c r="F246" s="6" t="s">
        <v>224</v>
      </c>
      <c r="G246" s="6" t="s">
        <v>169</v>
      </c>
      <c r="H246" s="6" t="n">
        <v>34</v>
      </c>
      <c r="I246" s="7" t="n">
        <v>75</v>
      </c>
      <c r="J246" s="7" t="n">
        <v>110</v>
      </c>
      <c r="K246" s="7" t="n">
        <f aca="false">H246*J246</f>
        <v>3740</v>
      </c>
      <c r="L246" s="7" t="n">
        <f aca="false">H246*I246</f>
        <v>2550</v>
      </c>
      <c r="M246" s="7" t="n">
        <f aca="false">K246-L246</f>
        <v>1190</v>
      </c>
    </row>
    <row r="247" customFormat="false" ht="15" hidden="false" customHeight="false" outlineLevel="0" collapsed="false">
      <c r="A247" s="3" t="s">
        <v>2394</v>
      </c>
      <c r="B247" s="3" t="s">
        <v>2395</v>
      </c>
      <c r="C247" s="3" t="s">
        <v>1478</v>
      </c>
      <c r="D247" s="3" t="s">
        <v>1479</v>
      </c>
      <c r="E247" s="3" t="s">
        <v>513</v>
      </c>
      <c r="F247" s="3" t="s">
        <v>512</v>
      </c>
      <c r="G247" s="3" t="s">
        <v>469</v>
      </c>
      <c r="H247" s="3" t="n">
        <v>21</v>
      </c>
      <c r="I247" s="4" t="n">
        <v>2800</v>
      </c>
      <c r="J247" s="4" t="n">
        <v>3800</v>
      </c>
      <c r="K247" s="4" t="n">
        <f aca="false">H247*J247</f>
        <v>79800</v>
      </c>
      <c r="L247" s="4" t="n">
        <f aca="false">H247*I247</f>
        <v>58800</v>
      </c>
      <c r="M247" s="4" t="n">
        <f aca="false">K247-L247</f>
        <v>21000</v>
      </c>
    </row>
    <row r="248" customFormat="false" ht="15" hidden="false" customHeight="false" outlineLevel="0" collapsed="false">
      <c r="A248" s="6" t="s">
        <v>2396</v>
      </c>
      <c r="B248" s="6" t="s">
        <v>2128</v>
      </c>
      <c r="C248" s="6" t="s">
        <v>1394</v>
      </c>
      <c r="D248" s="6" t="s">
        <v>1395</v>
      </c>
      <c r="E248" s="6" t="s">
        <v>362</v>
      </c>
      <c r="F248" s="6" t="s">
        <v>361</v>
      </c>
      <c r="G248" s="6" t="s">
        <v>330</v>
      </c>
      <c r="H248" s="6" t="n">
        <v>49</v>
      </c>
      <c r="I248" s="7" t="n">
        <v>1600</v>
      </c>
      <c r="J248" s="7" t="n">
        <v>2400</v>
      </c>
      <c r="K248" s="7" t="n">
        <f aca="false">H248*J248</f>
        <v>117600</v>
      </c>
      <c r="L248" s="7" t="n">
        <f aca="false">H248*I248</f>
        <v>78400</v>
      </c>
      <c r="M248" s="7" t="n">
        <f aca="false">K248-L248</f>
        <v>39200</v>
      </c>
    </row>
    <row r="249" customFormat="false" ht="15" hidden="false" customHeight="false" outlineLevel="0" collapsed="false">
      <c r="A249" s="3" t="s">
        <v>2397</v>
      </c>
      <c r="B249" s="3" t="s">
        <v>2382</v>
      </c>
      <c r="C249" s="3" t="s">
        <v>1188</v>
      </c>
      <c r="D249" s="3" t="s">
        <v>1189</v>
      </c>
      <c r="E249" s="3" t="s">
        <v>132</v>
      </c>
      <c r="F249" s="3" t="s">
        <v>131</v>
      </c>
      <c r="G249" s="3" t="s">
        <v>17</v>
      </c>
      <c r="H249" s="3" t="n">
        <v>45</v>
      </c>
      <c r="I249" s="4" t="n">
        <v>95000</v>
      </c>
      <c r="J249" s="4" t="n">
        <v>118000</v>
      </c>
      <c r="K249" s="4" t="n">
        <f aca="false">H249*J249</f>
        <v>5310000</v>
      </c>
      <c r="L249" s="4" t="n">
        <f aca="false">H249*I249</f>
        <v>4275000</v>
      </c>
      <c r="M249" s="4" t="n">
        <f aca="false">K249-L249</f>
        <v>1035000</v>
      </c>
    </row>
    <row r="250" customFormat="false" ht="15" hidden="false" customHeight="false" outlineLevel="0" collapsed="false">
      <c r="A250" s="6" t="s">
        <v>2398</v>
      </c>
      <c r="B250" s="6" t="s">
        <v>2227</v>
      </c>
      <c r="C250" s="6" t="s">
        <v>1220</v>
      </c>
      <c r="D250" s="6" t="s">
        <v>1221</v>
      </c>
      <c r="E250" s="6" t="s">
        <v>214</v>
      </c>
      <c r="F250" s="6" t="s">
        <v>213</v>
      </c>
      <c r="G250" s="6" t="s">
        <v>169</v>
      </c>
      <c r="H250" s="6" t="n">
        <v>41</v>
      </c>
      <c r="I250" s="7" t="n">
        <v>65</v>
      </c>
      <c r="J250" s="7" t="n">
        <v>95</v>
      </c>
      <c r="K250" s="7" t="n">
        <f aca="false">H250*J250</f>
        <v>3895</v>
      </c>
      <c r="L250" s="7" t="n">
        <f aca="false">H250*I250</f>
        <v>2665</v>
      </c>
      <c r="M250" s="7" t="n">
        <f aca="false">K250-L250</f>
        <v>1230</v>
      </c>
    </row>
    <row r="251" customFormat="false" ht="15" hidden="false" customHeight="false" outlineLevel="0" collapsed="false">
      <c r="A251" s="3" t="s">
        <v>2399</v>
      </c>
      <c r="B251" s="3" t="s">
        <v>2249</v>
      </c>
      <c r="C251" s="3" t="s">
        <v>1458</v>
      </c>
      <c r="D251" s="3" t="s">
        <v>1459</v>
      </c>
      <c r="E251" s="3" t="s">
        <v>839</v>
      </c>
      <c r="F251" s="3" t="s">
        <v>838</v>
      </c>
      <c r="G251" s="3" t="s">
        <v>816</v>
      </c>
      <c r="H251" s="3" t="n">
        <v>36</v>
      </c>
      <c r="I251" s="4" t="n">
        <v>550</v>
      </c>
      <c r="J251" s="4" t="n">
        <v>800</v>
      </c>
      <c r="K251" s="4" t="n">
        <f aca="false">H251*J251</f>
        <v>28800</v>
      </c>
      <c r="L251" s="4" t="n">
        <f aca="false">H251*I251</f>
        <v>19800</v>
      </c>
      <c r="M251" s="4" t="n">
        <f aca="false">K251-L251</f>
        <v>9000</v>
      </c>
    </row>
    <row r="252" customFormat="false" ht="15" hidden="false" customHeight="false" outlineLevel="0" collapsed="false">
      <c r="A252" s="6" t="s">
        <v>2400</v>
      </c>
      <c r="B252" s="6" t="s">
        <v>1882</v>
      </c>
      <c r="C252" s="6" t="s">
        <v>1384</v>
      </c>
      <c r="D252" s="6" t="s">
        <v>1385</v>
      </c>
      <c r="E252" s="6" t="s">
        <v>230</v>
      </c>
      <c r="F252" s="6" t="s">
        <v>229</v>
      </c>
      <c r="G252" s="6" t="s">
        <v>169</v>
      </c>
      <c r="H252" s="6" t="n">
        <v>40</v>
      </c>
      <c r="I252" s="7" t="n">
        <v>55</v>
      </c>
      <c r="J252" s="7" t="n">
        <v>80</v>
      </c>
      <c r="K252" s="7" t="n">
        <f aca="false">H252*J252</f>
        <v>3200</v>
      </c>
      <c r="L252" s="7" t="n">
        <f aca="false">H252*I252</f>
        <v>2200</v>
      </c>
      <c r="M252" s="7" t="n">
        <f aca="false">K252-L252</f>
        <v>1000</v>
      </c>
    </row>
    <row r="253" customFormat="false" ht="15" hidden="false" customHeight="false" outlineLevel="0" collapsed="false">
      <c r="A253" s="3" t="s">
        <v>2401</v>
      </c>
      <c r="B253" s="3" t="s">
        <v>2105</v>
      </c>
      <c r="C253" s="3" t="s">
        <v>1454</v>
      </c>
      <c r="D253" s="3" t="s">
        <v>1455</v>
      </c>
      <c r="E253" s="3" t="s">
        <v>720</v>
      </c>
      <c r="F253" s="3" t="s">
        <v>719</v>
      </c>
      <c r="G253" s="3" t="s">
        <v>609</v>
      </c>
      <c r="H253" s="3" t="n">
        <v>40</v>
      </c>
      <c r="I253" s="4" t="n">
        <v>380</v>
      </c>
      <c r="J253" s="4" t="n">
        <v>540</v>
      </c>
      <c r="K253" s="4" t="n">
        <f aca="false">H253*J253</f>
        <v>21600</v>
      </c>
      <c r="L253" s="4" t="n">
        <f aca="false">H253*I253</f>
        <v>15200</v>
      </c>
      <c r="M253" s="4" t="n">
        <f aca="false">K253-L253</f>
        <v>6400</v>
      </c>
    </row>
    <row r="254" customFormat="false" ht="15" hidden="false" customHeight="false" outlineLevel="0" collapsed="false">
      <c r="A254" s="6" t="s">
        <v>2402</v>
      </c>
      <c r="B254" s="6" t="s">
        <v>2362</v>
      </c>
      <c r="C254" s="6" t="s">
        <v>1644</v>
      </c>
      <c r="D254" s="6" t="s">
        <v>1645</v>
      </c>
      <c r="E254" s="6" t="s">
        <v>807</v>
      </c>
      <c r="F254" s="6" t="s">
        <v>806</v>
      </c>
      <c r="G254" s="6" t="s">
        <v>731</v>
      </c>
      <c r="H254" s="6" t="n">
        <v>44</v>
      </c>
      <c r="I254" s="7" t="n">
        <v>120</v>
      </c>
      <c r="J254" s="7" t="n">
        <v>185</v>
      </c>
      <c r="K254" s="7" t="n">
        <f aca="false">H254*J254</f>
        <v>8140</v>
      </c>
      <c r="L254" s="7" t="n">
        <f aca="false">H254*I254</f>
        <v>5280</v>
      </c>
      <c r="M254" s="7" t="n">
        <f aca="false">K254-L254</f>
        <v>2860</v>
      </c>
    </row>
    <row r="255" customFormat="false" ht="15" hidden="false" customHeight="false" outlineLevel="0" collapsed="false">
      <c r="A255" s="3" t="s">
        <v>2403</v>
      </c>
      <c r="B255" s="3" t="s">
        <v>2062</v>
      </c>
      <c r="C255" s="3" t="s">
        <v>1204</v>
      </c>
      <c r="D255" s="3" t="s">
        <v>1205</v>
      </c>
      <c r="E255" s="3" t="s">
        <v>392</v>
      </c>
      <c r="F255" s="3" t="s">
        <v>391</v>
      </c>
      <c r="G255" s="3" t="s">
        <v>330</v>
      </c>
      <c r="H255" s="3" t="n">
        <v>44</v>
      </c>
      <c r="I255" s="4" t="n">
        <v>1500</v>
      </c>
      <c r="J255" s="4" t="n">
        <v>2300</v>
      </c>
      <c r="K255" s="4" t="n">
        <f aca="false">H255*J255</f>
        <v>101200</v>
      </c>
      <c r="L255" s="4" t="n">
        <f aca="false">H255*I255</f>
        <v>66000</v>
      </c>
      <c r="M255" s="4" t="n">
        <f aca="false">K255-L255</f>
        <v>35200</v>
      </c>
    </row>
    <row r="256" customFormat="false" ht="15" hidden="false" customHeight="false" outlineLevel="0" collapsed="false">
      <c r="A256" s="6" t="s">
        <v>2404</v>
      </c>
      <c r="B256" s="6" t="s">
        <v>1912</v>
      </c>
      <c r="C256" s="6" t="s">
        <v>1273</v>
      </c>
      <c r="D256" s="6" t="s">
        <v>1274</v>
      </c>
      <c r="E256" s="6" t="s">
        <v>630</v>
      </c>
      <c r="F256" s="6" t="s">
        <v>629</v>
      </c>
      <c r="G256" s="6" t="s">
        <v>609</v>
      </c>
      <c r="H256" s="6" t="n">
        <v>42</v>
      </c>
      <c r="I256" s="7" t="n">
        <v>120</v>
      </c>
      <c r="J256" s="7" t="n">
        <v>175</v>
      </c>
      <c r="K256" s="7" t="n">
        <f aca="false">H256*J256</f>
        <v>7350</v>
      </c>
      <c r="L256" s="7" t="n">
        <f aca="false">H256*I256</f>
        <v>5040</v>
      </c>
      <c r="M256" s="7" t="n">
        <f aca="false">K256-L256</f>
        <v>2310</v>
      </c>
    </row>
    <row r="257" customFormat="false" ht="15" hidden="false" customHeight="false" outlineLevel="0" collapsed="false">
      <c r="A257" s="3" t="s">
        <v>2405</v>
      </c>
      <c r="B257" s="3" t="s">
        <v>2092</v>
      </c>
      <c r="C257" s="3" t="s">
        <v>1403</v>
      </c>
      <c r="D257" s="3" t="s">
        <v>1404</v>
      </c>
      <c r="E257" s="3" t="s">
        <v>775</v>
      </c>
      <c r="F257" s="3" t="s">
        <v>774</v>
      </c>
      <c r="G257" s="3" t="s">
        <v>731</v>
      </c>
      <c r="H257" s="3" t="n">
        <v>46</v>
      </c>
      <c r="I257" s="4" t="n">
        <v>280</v>
      </c>
      <c r="J257" s="4" t="n">
        <v>430</v>
      </c>
      <c r="K257" s="4" t="n">
        <f aca="false">H257*J257</f>
        <v>19780</v>
      </c>
      <c r="L257" s="4" t="n">
        <f aca="false">H257*I257</f>
        <v>12880</v>
      </c>
      <c r="M257" s="4" t="n">
        <f aca="false">K257-L257</f>
        <v>6900</v>
      </c>
    </row>
    <row r="258" customFormat="false" ht="15" hidden="false" customHeight="false" outlineLevel="0" collapsed="false">
      <c r="A258" s="6" t="s">
        <v>2406</v>
      </c>
      <c r="B258" s="6" t="s">
        <v>2407</v>
      </c>
      <c r="C258" s="6" t="s">
        <v>1220</v>
      </c>
      <c r="D258" s="6" t="s">
        <v>1221</v>
      </c>
      <c r="E258" s="6" t="s">
        <v>301</v>
      </c>
      <c r="F258" s="6" t="s">
        <v>300</v>
      </c>
      <c r="G258" s="6" t="s">
        <v>169</v>
      </c>
      <c r="H258" s="6" t="n">
        <v>42</v>
      </c>
      <c r="I258" s="7" t="n">
        <v>1200</v>
      </c>
      <c r="J258" s="7" t="n">
        <v>1550</v>
      </c>
      <c r="K258" s="7" t="n">
        <f aca="false">H258*J258</f>
        <v>65100</v>
      </c>
      <c r="L258" s="7" t="n">
        <f aca="false">H258*I258</f>
        <v>50400</v>
      </c>
      <c r="M258" s="7" t="n">
        <f aca="false">K258-L258</f>
        <v>14700</v>
      </c>
    </row>
    <row r="259" customFormat="false" ht="15" hidden="false" customHeight="false" outlineLevel="0" collapsed="false">
      <c r="A259" s="3" t="s">
        <v>2408</v>
      </c>
      <c r="B259" s="3" t="s">
        <v>1824</v>
      </c>
      <c r="C259" s="3" t="s">
        <v>1424</v>
      </c>
      <c r="D259" s="3" t="s">
        <v>1425</v>
      </c>
      <c r="E259" s="3" t="s">
        <v>273</v>
      </c>
      <c r="F259" s="3" t="s">
        <v>272</v>
      </c>
      <c r="G259" s="3" t="s">
        <v>169</v>
      </c>
      <c r="H259" s="3" t="n">
        <v>32</v>
      </c>
      <c r="I259" s="4" t="n">
        <v>120</v>
      </c>
      <c r="J259" s="4" t="n">
        <v>165</v>
      </c>
      <c r="K259" s="4" t="n">
        <f aca="false">H259*J259</f>
        <v>5280</v>
      </c>
      <c r="L259" s="4" t="n">
        <f aca="false">H259*I259</f>
        <v>3840</v>
      </c>
      <c r="M259" s="4" t="n">
        <f aca="false">K259-L259</f>
        <v>1440</v>
      </c>
    </row>
    <row r="260" customFormat="false" ht="15" hidden="false" customHeight="false" outlineLevel="0" collapsed="false">
      <c r="A260" s="6" t="s">
        <v>2409</v>
      </c>
      <c r="B260" s="6" t="s">
        <v>1978</v>
      </c>
      <c r="C260" s="6" t="s">
        <v>1182</v>
      </c>
      <c r="D260" s="6" t="s">
        <v>1183</v>
      </c>
      <c r="E260" s="6" t="s">
        <v>658</v>
      </c>
      <c r="F260" s="6" t="s">
        <v>657</v>
      </c>
      <c r="G260" s="6" t="s">
        <v>609</v>
      </c>
      <c r="H260" s="6" t="n">
        <v>2</v>
      </c>
      <c r="I260" s="7" t="n">
        <v>380</v>
      </c>
      <c r="J260" s="7" t="n">
        <v>580</v>
      </c>
      <c r="K260" s="7" t="n">
        <f aca="false">H260*J260</f>
        <v>1160</v>
      </c>
      <c r="L260" s="7" t="n">
        <f aca="false">H260*I260</f>
        <v>760</v>
      </c>
      <c r="M260" s="7" t="n">
        <f aca="false">K260-L260</f>
        <v>400</v>
      </c>
    </row>
    <row r="261" customFormat="false" ht="15" hidden="false" customHeight="false" outlineLevel="0" collapsed="false">
      <c r="A261" s="3" t="s">
        <v>2410</v>
      </c>
      <c r="B261" s="3" t="s">
        <v>2173</v>
      </c>
      <c r="C261" s="3" t="s">
        <v>1621</v>
      </c>
      <c r="D261" s="3" t="s">
        <v>1622</v>
      </c>
      <c r="E261" s="3" t="s">
        <v>884</v>
      </c>
      <c r="F261" s="3" t="s">
        <v>883</v>
      </c>
      <c r="G261" s="3" t="s">
        <v>816</v>
      </c>
      <c r="H261" s="3" t="n">
        <v>45</v>
      </c>
      <c r="I261" s="4" t="n">
        <v>380</v>
      </c>
      <c r="J261" s="4" t="n">
        <v>600</v>
      </c>
      <c r="K261" s="4" t="n">
        <f aca="false">H261*J261</f>
        <v>27000</v>
      </c>
      <c r="L261" s="4" t="n">
        <f aca="false">H261*I261</f>
        <v>17100</v>
      </c>
      <c r="M261" s="4" t="n">
        <f aca="false">K261-L261</f>
        <v>9900</v>
      </c>
    </row>
    <row r="262" customFormat="false" ht="15" hidden="false" customHeight="false" outlineLevel="0" collapsed="false">
      <c r="A262" s="6" t="s">
        <v>2411</v>
      </c>
      <c r="B262" s="6" t="s">
        <v>1878</v>
      </c>
      <c r="C262" s="6" t="s">
        <v>1577</v>
      </c>
      <c r="D262" s="6" t="s">
        <v>1578</v>
      </c>
      <c r="E262" s="6" t="s">
        <v>652</v>
      </c>
      <c r="F262" s="6" t="s">
        <v>651</v>
      </c>
      <c r="G262" s="6" t="s">
        <v>609</v>
      </c>
      <c r="H262" s="6" t="n">
        <v>33</v>
      </c>
      <c r="I262" s="7" t="n">
        <v>145</v>
      </c>
      <c r="J262" s="7" t="n">
        <v>215</v>
      </c>
      <c r="K262" s="7" t="n">
        <f aca="false">H262*J262</f>
        <v>7095</v>
      </c>
      <c r="L262" s="7" t="n">
        <f aca="false">H262*I262</f>
        <v>4785</v>
      </c>
      <c r="M262" s="7" t="n">
        <f aca="false">K262-L262</f>
        <v>2310</v>
      </c>
    </row>
    <row r="263" customFormat="false" ht="15" hidden="false" customHeight="false" outlineLevel="0" collapsed="false">
      <c r="A263" s="3" t="s">
        <v>2412</v>
      </c>
      <c r="B263" s="3" t="s">
        <v>1766</v>
      </c>
      <c r="C263" s="3" t="s">
        <v>1521</v>
      </c>
      <c r="D263" s="3" t="s">
        <v>1522</v>
      </c>
      <c r="E263" s="3" t="s">
        <v>403</v>
      </c>
      <c r="F263" s="3" t="s">
        <v>402</v>
      </c>
      <c r="G263" s="3" t="s">
        <v>330</v>
      </c>
      <c r="H263" s="3" t="n">
        <v>43</v>
      </c>
      <c r="I263" s="4" t="n">
        <v>1800</v>
      </c>
      <c r="J263" s="4" t="n">
        <v>2700</v>
      </c>
      <c r="K263" s="4" t="n">
        <f aca="false">H263*J263</f>
        <v>116100</v>
      </c>
      <c r="L263" s="4" t="n">
        <f aca="false">H263*I263</f>
        <v>77400</v>
      </c>
      <c r="M263" s="4" t="n">
        <f aca="false">K263-L263</f>
        <v>38700</v>
      </c>
    </row>
    <row r="264" customFormat="false" ht="15" hidden="false" customHeight="false" outlineLevel="0" collapsed="false">
      <c r="A264" s="6" t="s">
        <v>2413</v>
      </c>
      <c r="B264" s="6" t="s">
        <v>2414</v>
      </c>
      <c r="C264" s="6" t="s">
        <v>1232</v>
      </c>
      <c r="D264" s="6" t="s">
        <v>1233</v>
      </c>
      <c r="E264" s="6" t="s">
        <v>435</v>
      </c>
      <c r="F264" s="6" t="s">
        <v>434</v>
      </c>
      <c r="G264" s="6" t="s">
        <v>330</v>
      </c>
      <c r="H264" s="6" t="n">
        <v>46</v>
      </c>
      <c r="I264" s="7" t="n">
        <v>1800</v>
      </c>
      <c r="J264" s="7" t="n">
        <v>2800</v>
      </c>
      <c r="K264" s="7" t="n">
        <f aca="false">H264*J264</f>
        <v>128800</v>
      </c>
      <c r="L264" s="7" t="n">
        <f aca="false">H264*I264</f>
        <v>82800</v>
      </c>
      <c r="M264" s="7" t="n">
        <f aca="false">K264-L264</f>
        <v>46000</v>
      </c>
    </row>
    <row r="265" customFormat="false" ht="15" hidden="false" customHeight="false" outlineLevel="0" collapsed="false">
      <c r="A265" s="3" t="s">
        <v>2415</v>
      </c>
      <c r="B265" s="3" t="s">
        <v>2359</v>
      </c>
      <c r="C265" s="3" t="s">
        <v>1384</v>
      </c>
      <c r="D265" s="3" t="s">
        <v>1385</v>
      </c>
      <c r="E265" s="3" t="s">
        <v>516</v>
      </c>
      <c r="F265" s="3" t="s">
        <v>515</v>
      </c>
      <c r="G265" s="3" t="s">
        <v>469</v>
      </c>
      <c r="H265" s="3" t="n">
        <v>37</v>
      </c>
      <c r="I265" s="4" t="n">
        <v>3600</v>
      </c>
      <c r="J265" s="4" t="n">
        <v>4800</v>
      </c>
      <c r="K265" s="4" t="n">
        <f aca="false">H265*J265</f>
        <v>177600</v>
      </c>
      <c r="L265" s="4" t="n">
        <f aca="false">H265*I265</f>
        <v>133200</v>
      </c>
      <c r="M265" s="4" t="n">
        <f aca="false">K265-L265</f>
        <v>44400</v>
      </c>
    </row>
    <row r="266" customFormat="false" ht="15" hidden="false" customHeight="false" outlineLevel="0" collapsed="false">
      <c r="A266" s="6" t="s">
        <v>2416</v>
      </c>
      <c r="B266" s="6" t="s">
        <v>2138</v>
      </c>
      <c r="C266" s="6" t="s">
        <v>1498</v>
      </c>
      <c r="D266" s="6" t="s">
        <v>1499</v>
      </c>
      <c r="E266" s="6" t="s">
        <v>739</v>
      </c>
      <c r="F266" s="6" t="s">
        <v>738</v>
      </c>
      <c r="G266" s="6" t="s">
        <v>731</v>
      </c>
      <c r="H266" s="6" t="n">
        <v>29</v>
      </c>
      <c r="I266" s="7" t="n">
        <v>180</v>
      </c>
      <c r="J266" s="7" t="n">
        <v>270</v>
      </c>
      <c r="K266" s="7" t="n">
        <f aca="false">H266*J266</f>
        <v>7830</v>
      </c>
      <c r="L266" s="7" t="n">
        <f aca="false">H266*I266</f>
        <v>5220</v>
      </c>
      <c r="M266" s="7" t="n">
        <f aca="false">K266-L266</f>
        <v>2610</v>
      </c>
    </row>
    <row r="267" customFormat="false" ht="15" hidden="false" customHeight="false" outlineLevel="0" collapsed="false">
      <c r="A267" s="3" t="s">
        <v>2417</v>
      </c>
      <c r="B267" s="3" t="s">
        <v>2173</v>
      </c>
      <c r="C267" s="3" t="s">
        <v>1434</v>
      </c>
      <c r="D267" s="3" t="s">
        <v>1435</v>
      </c>
      <c r="E267" s="3" t="s">
        <v>126</v>
      </c>
      <c r="F267" s="3" t="s">
        <v>125</v>
      </c>
      <c r="G267" s="3" t="s">
        <v>17</v>
      </c>
      <c r="H267" s="3" t="n">
        <v>6</v>
      </c>
      <c r="I267" s="4" t="n">
        <v>125000</v>
      </c>
      <c r="J267" s="4" t="n">
        <v>155000</v>
      </c>
      <c r="K267" s="4" t="n">
        <f aca="false">H267*J267</f>
        <v>930000</v>
      </c>
      <c r="L267" s="4" t="n">
        <f aca="false">H267*I267</f>
        <v>750000</v>
      </c>
      <c r="M267" s="4" t="n">
        <f aca="false">K267-L267</f>
        <v>180000</v>
      </c>
    </row>
    <row r="268" customFormat="false" ht="15" hidden="false" customHeight="false" outlineLevel="0" collapsed="false">
      <c r="A268" s="6" t="s">
        <v>2418</v>
      </c>
      <c r="B268" s="6" t="s">
        <v>2407</v>
      </c>
      <c r="C268" s="6" t="s">
        <v>1247</v>
      </c>
      <c r="D268" s="6" t="s">
        <v>1248</v>
      </c>
      <c r="E268" s="6" t="s">
        <v>756</v>
      </c>
      <c r="F268" s="6" t="s">
        <v>755</v>
      </c>
      <c r="G268" s="6" t="s">
        <v>731</v>
      </c>
      <c r="H268" s="6" t="n">
        <v>38</v>
      </c>
      <c r="I268" s="7" t="n">
        <v>320</v>
      </c>
      <c r="J268" s="7" t="n">
        <v>480</v>
      </c>
      <c r="K268" s="7" t="n">
        <f aca="false">H268*J268</f>
        <v>18240</v>
      </c>
      <c r="L268" s="7" t="n">
        <f aca="false">H268*I268</f>
        <v>12160</v>
      </c>
      <c r="M268" s="7" t="n">
        <f aca="false">K268-L268</f>
        <v>6080</v>
      </c>
    </row>
    <row r="269" customFormat="false" ht="15" hidden="false" customHeight="false" outlineLevel="0" collapsed="false">
      <c r="A269" s="3" t="s">
        <v>2419</v>
      </c>
      <c r="B269" s="3" t="s">
        <v>2420</v>
      </c>
      <c r="C269" s="3" t="s">
        <v>1300</v>
      </c>
      <c r="D269" s="3" t="s">
        <v>1301</v>
      </c>
      <c r="E269" s="3" t="s">
        <v>810</v>
      </c>
      <c r="F269" s="3" t="s">
        <v>809</v>
      </c>
      <c r="G269" s="3" t="s">
        <v>731</v>
      </c>
      <c r="H269" s="3" t="n">
        <v>28</v>
      </c>
      <c r="I269" s="4" t="n">
        <v>250</v>
      </c>
      <c r="J269" s="4" t="n">
        <v>390</v>
      </c>
      <c r="K269" s="4" t="n">
        <f aca="false">H269*J269</f>
        <v>10920</v>
      </c>
      <c r="L269" s="4" t="n">
        <f aca="false">H269*I269</f>
        <v>7000</v>
      </c>
      <c r="M269" s="4" t="n">
        <f aca="false">K269-L269</f>
        <v>3920</v>
      </c>
    </row>
    <row r="270" customFormat="false" ht="15" hidden="false" customHeight="false" outlineLevel="0" collapsed="false">
      <c r="A270" s="6" t="s">
        <v>2421</v>
      </c>
      <c r="B270" s="6" t="s">
        <v>1805</v>
      </c>
      <c r="C270" s="6" t="s">
        <v>1639</v>
      </c>
      <c r="D270" s="6" t="s">
        <v>1640</v>
      </c>
      <c r="E270" s="6" t="s">
        <v>177</v>
      </c>
      <c r="F270" s="6" t="s">
        <v>176</v>
      </c>
      <c r="G270" s="6" t="s">
        <v>169</v>
      </c>
      <c r="H270" s="6" t="n">
        <v>20</v>
      </c>
      <c r="I270" s="7" t="n">
        <v>800</v>
      </c>
      <c r="J270" s="7" t="n">
        <v>1050</v>
      </c>
      <c r="K270" s="7" t="n">
        <f aca="false">H270*J270</f>
        <v>21000</v>
      </c>
      <c r="L270" s="7" t="n">
        <f aca="false">H270*I270</f>
        <v>16000</v>
      </c>
      <c r="M270" s="7" t="n">
        <f aca="false">K270-L270</f>
        <v>5000</v>
      </c>
    </row>
    <row r="271" customFormat="false" ht="15" hidden="false" customHeight="false" outlineLevel="0" collapsed="false">
      <c r="A271" s="3" t="s">
        <v>2422</v>
      </c>
      <c r="B271" s="3" t="s">
        <v>1733</v>
      </c>
      <c r="C271" s="3" t="s">
        <v>1545</v>
      </c>
      <c r="D271" s="3" t="s">
        <v>1546</v>
      </c>
      <c r="E271" s="3" t="s">
        <v>625</v>
      </c>
      <c r="F271" s="3" t="s">
        <v>624</v>
      </c>
      <c r="G271" s="3" t="s">
        <v>609</v>
      </c>
      <c r="H271" s="3" t="n">
        <v>45</v>
      </c>
      <c r="I271" s="4" t="n">
        <v>45</v>
      </c>
      <c r="J271" s="4" t="n">
        <v>70</v>
      </c>
      <c r="K271" s="4" t="n">
        <f aca="false">H271*J271</f>
        <v>3150</v>
      </c>
      <c r="L271" s="4" t="n">
        <f aca="false">H271*I271</f>
        <v>2025</v>
      </c>
      <c r="M271" s="4" t="n">
        <f aca="false">K271-L271</f>
        <v>1125</v>
      </c>
    </row>
    <row r="272" customFormat="false" ht="15" hidden="false" customHeight="false" outlineLevel="0" collapsed="false">
      <c r="A272" s="6" t="s">
        <v>2423</v>
      </c>
      <c r="B272" s="6" t="s">
        <v>2231</v>
      </c>
      <c r="C272" s="6" t="s">
        <v>1596</v>
      </c>
      <c r="D272" s="6" t="s">
        <v>1597</v>
      </c>
      <c r="E272" s="6" t="s">
        <v>862</v>
      </c>
      <c r="F272" s="6" t="s">
        <v>861</v>
      </c>
      <c r="G272" s="6" t="s">
        <v>816</v>
      </c>
      <c r="H272" s="6" t="n">
        <v>19</v>
      </c>
      <c r="I272" s="7" t="n">
        <v>14000</v>
      </c>
      <c r="J272" s="7" t="n">
        <v>18500</v>
      </c>
      <c r="K272" s="7" t="n">
        <f aca="false">H272*J272</f>
        <v>351500</v>
      </c>
      <c r="L272" s="7" t="n">
        <f aca="false">H272*I272</f>
        <v>266000</v>
      </c>
      <c r="M272" s="7" t="n">
        <f aca="false">K272-L272</f>
        <v>85500</v>
      </c>
    </row>
    <row r="273" customFormat="false" ht="15" hidden="false" customHeight="false" outlineLevel="0" collapsed="false">
      <c r="A273" s="3" t="s">
        <v>2424</v>
      </c>
      <c r="B273" s="3" t="s">
        <v>1697</v>
      </c>
      <c r="C273" s="3" t="s">
        <v>1582</v>
      </c>
      <c r="D273" s="3" t="s">
        <v>1583</v>
      </c>
      <c r="E273" s="3" t="s">
        <v>630</v>
      </c>
      <c r="F273" s="3" t="s">
        <v>629</v>
      </c>
      <c r="G273" s="3" t="s">
        <v>609</v>
      </c>
      <c r="H273" s="3" t="n">
        <v>12</v>
      </c>
      <c r="I273" s="4" t="n">
        <v>120</v>
      </c>
      <c r="J273" s="4" t="n">
        <v>175</v>
      </c>
      <c r="K273" s="4" t="n">
        <f aca="false">H273*J273</f>
        <v>2100</v>
      </c>
      <c r="L273" s="4" t="n">
        <f aca="false">H273*I273</f>
        <v>1440</v>
      </c>
      <c r="M273" s="4" t="n">
        <f aca="false">K273-L273</f>
        <v>660</v>
      </c>
    </row>
    <row r="274" customFormat="false" ht="15" hidden="false" customHeight="false" outlineLevel="0" collapsed="false">
      <c r="A274" s="6" t="s">
        <v>2425</v>
      </c>
      <c r="B274" s="6" t="s">
        <v>2020</v>
      </c>
      <c r="C274" s="6" t="s">
        <v>1399</v>
      </c>
      <c r="D274" s="6" t="s">
        <v>1400</v>
      </c>
      <c r="E274" s="6" t="s">
        <v>411</v>
      </c>
      <c r="F274" s="6" t="s">
        <v>410</v>
      </c>
      <c r="G274" s="6" t="s">
        <v>330</v>
      </c>
      <c r="H274" s="6" t="n">
        <v>44</v>
      </c>
      <c r="I274" s="7" t="n">
        <v>3500</v>
      </c>
      <c r="J274" s="7" t="n">
        <v>5200</v>
      </c>
      <c r="K274" s="7" t="n">
        <f aca="false">H274*J274</f>
        <v>228800</v>
      </c>
      <c r="L274" s="7" t="n">
        <f aca="false">H274*I274</f>
        <v>154000</v>
      </c>
      <c r="M274" s="7" t="n">
        <f aca="false">K274-L274</f>
        <v>74800</v>
      </c>
    </row>
    <row r="275" customFormat="false" ht="15" hidden="false" customHeight="false" outlineLevel="0" collapsed="false">
      <c r="A275" s="3" t="s">
        <v>2426</v>
      </c>
      <c r="B275" s="3" t="s">
        <v>1711</v>
      </c>
      <c r="C275" s="3" t="s">
        <v>1334</v>
      </c>
      <c r="D275" s="3" t="s">
        <v>1335</v>
      </c>
      <c r="E275" s="3" t="s">
        <v>242</v>
      </c>
      <c r="F275" s="3" t="s">
        <v>241</v>
      </c>
      <c r="G275" s="3" t="s">
        <v>169</v>
      </c>
      <c r="H275" s="3" t="n">
        <v>22</v>
      </c>
      <c r="I275" s="4" t="n">
        <v>70</v>
      </c>
      <c r="J275" s="4" t="n">
        <v>100</v>
      </c>
      <c r="K275" s="4" t="n">
        <f aca="false">H275*J275</f>
        <v>2200</v>
      </c>
      <c r="L275" s="4" t="n">
        <f aca="false">H275*I275</f>
        <v>1540</v>
      </c>
      <c r="M275" s="4" t="n">
        <f aca="false">K275-L275</f>
        <v>660</v>
      </c>
    </row>
    <row r="276" customFormat="false" ht="15" hidden="false" customHeight="false" outlineLevel="0" collapsed="false">
      <c r="A276" s="6" t="s">
        <v>2427</v>
      </c>
      <c r="B276" s="6" t="s">
        <v>1741</v>
      </c>
      <c r="C276" s="6" t="s">
        <v>1364</v>
      </c>
      <c r="D276" s="6" t="s">
        <v>1365</v>
      </c>
      <c r="E276" s="6" t="s">
        <v>26</v>
      </c>
      <c r="F276" s="6" t="s">
        <v>25</v>
      </c>
      <c r="G276" s="6" t="s">
        <v>17</v>
      </c>
      <c r="H276" s="6" t="n">
        <v>32</v>
      </c>
      <c r="I276" s="7" t="n">
        <v>55000</v>
      </c>
      <c r="J276" s="7" t="n">
        <v>68000</v>
      </c>
      <c r="K276" s="7" t="n">
        <f aca="false">H276*J276</f>
        <v>2176000</v>
      </c>
      <c r="L276" s="7" t="n">
        <f aca="false">H276*I276</f>
        <v>1760000</v>
      </c>
      <c r="M276" s="7" t="n">
        <f aca="false">K276-L276</f>
        <v>416000</v>
      </c>
    </row>
    <row r="277" customFormat="false" ht="15" hidden="false" customHeight="false" outlineLevel="0" collapsed="false">
      <c r="A277" s="3" t="s">
        <v>2428</v>
      </c>
      <c r="B277" s="3" t="s">
        <v>2331</v>
      </c>
      <c r="C277" s="3" t="s">
        <v>1478</v>
      </c>
      <c r="D277" s="3" t="s">
        <v>1479</v>
      </c>
      <c r="E277" s="3" t="s">
        <v>380</v>
      </c>
      <c r="F277" s="3" t="s">
        <v>379</v>
      </c>
      <c r="G277" s="3" t="s">
        <v>330</v>
      </c>
      <c r="H277" s="3" t="n">
        <v>14</v>
      </c>
      <c r="I277" s="4" t="n">
        <v>2200</v>
      </c>
      <c r="J277" s="4" t="n">
        <v>3400</v>
      </c>
      <c r="K277" s="4" t="n">
        <f aca="false">H277*J277</f>
        <v>47600</v>
      </c>
      <c r="L277" s="4" t="n">
        <f aca="false">H277*I277</f>
        <v>30800</v>
      </c>
      <c r="M277" s="4" t="n">
        <f aca="false">K277-L277</f>
        <v>16800</v>
      </c>
    </row>
    <row r="278" customFormat="false" ht="15" hidden="false" customHeight="false" outlineLevel="0" collapsed="false">
      <c r="A278" s="6" t="s">
        <v>2429</v>
      </c>
      <c r="B278" s="6" t="s">
        <v>1852</v>
      </c>
      <c r="C278" s="6" t="s">
        <v>1630</v>
      </c>
      <c r="D278" s="6" t="s">
        <v>1631</v>
      </c>
      <c r="E278" s="6" t="s">
        <v>894</v>
      </c>
      <c r="F278" s="6" t="s">
        <v>893</v>
      </c>
      <c r="G278" s="6" t="s">
        <v>816</v>
      </c>
      <c r="H278" s="6" t="n">
        <v>36</v>
      </c>
      <c r="I278" s="7" t="n">
        <v>1800</v>
      </c>
      <c r="J278" s="7" t="n">
        <v>2800</v>
      </c>
      <c r="K278" s="7" t="n">
        <f aca="false">H278*J278</f>
        <v>100800</v>
      </c>
      <c r="L278" s="7" t="n">
        <f aca="false">H278*I278</f>
        <v>64800</v>
      </c>
      <c r="M278" s="7" t="n">
        <f aca="false">K278-L278</f>
        <v>36000</v>
      </c>
    </row>
    <row r="279" customFormat="false" ht="15" hidden="false" customHeight="false" outlineLevel="0" collapsed="false">
      <c r="A279" s="3" t="s">
        <v>2430</v>
      </c>
      <c r="B279" s="3" t="s">
        <v>2431</v>
      </c>
      <c r="C279" s="3" t="s">
        <v>1541</v>
      </c>
      <c r="D279" s="3" t="s">
        <v>1542</v>
      </c>
      <c r="E279" s="3" t="s">
        <v>807</v>
      </c>
      <c r="F279" s="3" t="s">
        <v>806</v>
      </c>
      <c r="G279" s="3" t="s">
        <v>731</v>
      </c>
      <c r="H279" s="3" t="n">
        <v>20</v>
      </c>
      <c r="I279" s="4" t="n">
        <v>120</v>
      </c>
      <c r="J279" s="4" t="n">
        <v>185</v>
      </c>
      <c r="K279" s="4" t="n">
        <f aca="false">H279*J279</f>
        <v>3700</v>
      </c>
      <c r="L279" s="4" t="n">
        <f aca="false">H279*I279</f>
        <v>2400</v>
      </c>
      <c r="M279" s="4" t="n">
        <f aca="false">K279-L279</f>
        <v>1300</v>
      </c>
    </row>
    <row r="280" customFormat="false" ht="15" hidden="false" customHeight="false" outlineLevel="0" collapsed="false">
      <c r="A280" s="6" t="s">
        <v>2432</v>
      </c>
      <c r="B280" s="6" t="s">
        <v>2433</v>
      </c>
      <c r="C280" s="6" t="s">
        <v>1394</v>
      </c>
      <c r="D280" s="6" t="s">
        <v>1395</v>
      </c>
      <c r="E280" s="6" t="s">
        <v>625</v>
      </c>
      <c r="F280" s="6" t="s">
        <v>624</v>
      </c>
      <c r="G280" s="6" t="s">
        <v>609</v>
      </c>
      <c r="H280" s="6" t="n">
        <v>19</v>
      </c>
      <c r="I280" s="7" t="n">
        <v>45</v>
      </c>
      <c r="J280" s="7" t="n">
        <v>70</v>
      </c>
      <c r="K280" s="7" t="n">
        <f aca="false">H280*J280</f>
        <v>1330</v>
      </c>
      <c r="L280" s="7" t="n">
        <f aca="false">H280*I280</f>
        <v>855</v>
      </c>
      <c r="M280" s="7" t="n">
        <f aca="false">K280-L280</f>
        <v>475</v>
      </c>
    </row>
    <row r="281" customFormat="false" ht="15" hidden="false" customHeight="false" outlineLevel="0" collapsed="false">
      <c r="A281" s="3" t="s">
        <v>2434</v>
      </c>
      <c r="B281" s="3" t="s">
        <v>2435</v>
      </c>
      <c r="C281" s="3" t="s">
        <v>1550</v>
      </c>
      <c r="D281" s="3" t="s">
        <v>1551</v>
      </c>
      <c r="E281" s="3" t="s">
        <v>703</v>
      </c>
      <c r="F281" s="3" t="s">
        <v>702</v>
      </c>
      <c r="G281" s="3" t="s">
        <v>609</v>
      </c>
      <c r="H281" s="3" t="n">
        <v>41</v>
      </c>
      <c r="I281" s="4" t="n">
        <v>680</v>
      </c>
      <c r="J281" s="4" t="n">
        <v>980</v>
      </c>
      <c r="K281" s="4" t="n">
        <f aca="false">H281*J281</f>
        <v>40180</v>
      </c>
      <c r="L281" s="4" t="n">
        <f aca="false">H281*I281</f>
        <v>27880</v>
      </c>
      <c r="M281" s="4" t="n">
        <f aca="false">K281-L281</f>
        <v>12300</v>
      </c>
    </row>
    <row r="282" customFormat="false" ht="15" hidden="false" customHeight="false" outlineLevel="0" collapsed="false">
      <c r="A282" s="6" t="s">
        <v>2436</v>
      </c>
      <c r="B282" s="6" t="s">
        <v>1848</v>
      </c>
      <c r="C282" s="6" t="s">
        <v>1349</v>
      </c>
      <c r="D282" s="6" t="s">
        <v>1350</v>
      </c>
      <c r="E282" s="6" t="s">
        <v>185</v>
      </c>
      <c r="F282" s="6" t="s">
        <v>184</v>
      </c>
      <c r="G282" s="6" t="s">
        <v>169</v>
      </c>
      <c r="H282" s="6" t="n">
        <v>7</v>
      </c>
      <c r="I282" s="7" t="n">
        <v>580</v>
      </c>
      <c r="J282" s="7" t="n">
        <v>750</v>
      </c>
      <c r="K282" s="7" t="n">
        <f aca="false">H282*J282</f>
        <v>5250</v>
      </c>
      <c r="L282" s="7" t="n">
        <f aca="false">H282*I282</f>
        <v>4060</v>
      </c>
      <c r="M282" s="7" t="n">
        <f aca="false">K282-L282</f>
        <v>1190</v>
      </c>
    </row>
    <row r="283" customFormat="false" ht="15" hidden="false" customHeight="false" outlineLevel="0" collapsed="false">
      <c r="A283" s="3" t="s">
        <v>2437</v>
      </c>
      <c r="B283" s="3" t="s">
        <v>2438</v>
      </c>
      <c r="C283" s="3" t="s">
        <v>1488</v>
      </c>
      <c r="D283" s="3" t="s">
        <v>1489</v>
      </c>
      <c r="E283" s="3" t="s">
        <v>239</v>
      </c>
      <c r="F283" s="3" t="s">
        <v>238</v>
      </c>
      <c r="G283" s="3" t="s">
        <v>169</v>
      </c>
      <c r="H283" s="3" t="n">
        <v>6</v>
      </c>
      <c r="I283" s="4" t="n">
        <v>50</v>
      </c>
      <c r="J283" s="4" t="n">
        <v>72</v>
      </c>
      <c r="K283" s="4" t="n">
        <f aca="false">H283*J283</f>
        <v>432</v>
      </c>
      <c r="L283" s="4" t="n">
        <f aca="false">H283*I283</f>
        <v>300</v>
      </c>
      <c r="M283" s="4" t="n">
        <f aca="false">K283-L283</f>
        <v>132</v>
      </c>
    </row>
    <row r="284" customFormat="false" ht="15" hidden="false" customHeight="false" outlineLevel="0" collapsed="false">
      <c r="A284" s="6" t="s">
        <v>2439</v>
      </c>
      <c r="B284" s="6" t="s">
        <v>2440</v>
      </c>
      <c r="C284" s="6" t="s">
        <v>1601</v>
      </c>
      <c r="D284" s="6" t="s">
        <v>1602</v>
      </c>
      <c r="E284" s="6" t="s">
        <v>783</v>
      </c>
      <c r="F284" s="6" t="s">
        <v>782</v>
      </c>
      <c r="G284" s="6" t="s">
        <v>731</v>
      </c>
      <c r="H284" s="6" t="n">
        <v>18</v>
      </c>
      <c r="I284" s="7" t="n">
        <v>50</v>
      </c>
      <c r="J284" s="7" t="n">
        <v>80</v>
      </c>
      <c r="K284" s="7" t="n">
        <f aca="false">H284*J284</f>
        <v>1440</v>
      </c>
      <c r="L284" s="7" t="n">
        <f aca="false">H284*I284</f>
        <v>900</v>
      </c>
      <c r="M284" s="7" t="n">
        <f aca="false">K284-L284</f>
        <v>540</v>
      </c>
    </row>
    <row r="285" customFormat="false" ht="15" hidden="false" customHeight="false" outlineLevel="0" collapsed="false">
      <c r="A285" s="3" t="s">
        <v>2441</v>
      </c>
      <c r="B285" s="3" t="s">
        <v>2442</v>
      </c>
      <c r="C285" s="3" t="s">
        <v>1420</v>
      </c>
      <c r="D285" s="3" t="s">
        <v>1421</v>
      </c>
      <c r="E285" s="3" t="s">
        <v>165</v>
      </c>
      <c r="F285" s="3" t="s">
        <v>164</v>
      </c>
      <c r="G285" s="3" t="s">
        <v>17</v>
      </c>
      <c r="H285" s="3" t="n">
        <v>6</v>
      </c>
      <c r="I285" s="4" t="n">
        <v>3500</v>
      </c>
      <c r="J285" s="4" t="n">
        <v>5000</v>
      </c>
      <c r="K285" s="4" t="n">
        <f aca="false">H285*J285</f>
        <v>30000</v>
      </c>
      <c r="L285" s="4" t="n">
        <f aca="false">H285*I285</f>
        <v>21000</v>
      </c>
      <c r="M285" s="4" t="n">
        <f aca="false">K285-L285</f>
        <v>9000</v>
      </c>
    </row>
    <row r="286" customFormat="false" ht="15" hidden="false" customHeight="false" outlineLevel="0" collapsed="false">
      <c r="A286" s="6" t="s">
        <v>2443</v>
      </c>
      <c r="B286" s="6" t="s">
        <v>2345</v>
      </c>
      <c r="C286" s="6" t="s">
        <v>1568</v>
      </c>
      <c r="D286" s="6" t="s">
        <v>1569</v>
      </c>
      <c r="E286" s="6" t="s">
        <v>53</v>
      </c>
      <c r="F286" s="6" t="s">
        <v>52</v>
      </c>
      <c r="G286" s="6" t="s">
        <v>17</v>
      </c>
      <c r="H286" s="6" t="n">
        <v>20</v>
      </c>
      <c r="I286" s="7" t="n">
        <v>52000</v>
      </c>
      <c r="J286" s="7" t="n">
        <v>65000</v>
      </c>
      <c r="K286" s="7" t="n">
        <f aca="false">H286*J286</f>
        <v>1300000</v>
      </c>
      <c r="L286" s="7" t="n">
        <f aca="false">H286*I286</f>
        <v>1040000</v>
      </c>
      <c r="M286" s="7" t="n">
        <f aca="false">K286-L286</f>
        <v>260000</v>
      </c>
    </row>
    <row r="287" customFormat="false" ht="15" hidden="false" customHeight="false" outlineLevel="0" collapsed="false">
      <c r="A287" s="3" t="s">
        <v>2444</v>
      </c>
      <c r="B287" s="3" t="s">
        <v>1711</v>
      </c>
      <c r="C287" s="3" t="s">
        <v>1198</v>
      </c>
      <c r="D287" s="3" t="s">
        <v>1199</v>
      </c>
      <c r="E287" s="3" t="s">
        <v>185</v>
      </c>
      <c r="F287" s="3" t="s">
        <v>184</v>
      </c>
      <c r="G287" s="3" t="s">
        <v>169</v>
      </c>
      <c r="H287" s="3" t="n">
        <v>34</v>
      </c>
      <c r="I287" s="4" t="n">
        <v>580</v>
      </c>
      <c r="J287" s="4" t="n">
        <v>750</v>
      </c>
      <c r="K287" s="4" t="n">
        <f aca="false">H287*J287</f>
        <v>25500</v>
      </c>
      <c r="L287" s="4" t="n">
        <f aca="false">H287*I287</f>
        <v>19720</v>
      </c>
      <c r="M287" s="4" t="n">
        <f aca="false">K287-L287</f>
        <v>5780</v>
      </c>
    </row>
    <row r="288" customFormat="false" ht="15" hidden="false" customHeight="false" outlineLevel="0" collapsed="false">
      <c r="A288" s="6" t="s">
        <v>2445</v>
      </c>
      <c r="B288" s="6" t="s">
        <v>1724</v>
      </c>
      <c r="C288" s="6" t="s">
        <v>1573</v>
      </c>
      <c r="D288" s="6" t="s">
        <v>1574</v>
      </c>
      <c r="E288" s="6" t="s">
        <v>377</v>
      </c>
      <c r="F288" s="6" t="s">
        <v>376</v>
      </c>
      <c r="G288" s="6" t="s">
        <v>330</v>
      </c>
      <c r="H288" s="6" t="n">
        <v>44</v>
      </c>
      <c r="I288" s="7" t="n">
        <v>4500</v>
      </c>
      <c r="J288" s="7" t="n">
        <v>6800</v>
      </c>
      <c r="K288" s="7" t="n">
        <f aca="false">H288*J288</f>
        <v>299200</v>
      </c>
      <c r="L288" s="7" t="n">
        <f aca="false">H288*I288</f>
        <v>198000</v>
      </c>
      <c r="M288" s="7" t="n">
        <f aca="false">K288-L288</f>
        <v>101200</v>
      </c>
    </row>
    <row r="289" customFormat="false" ht="15" hidden="false" customHeight="false" outlineLevel="0" collapsed="false">
      <c r="A289" s="3" t="s">
        <v>2446</v>
      </c>
      <c r="B289" s="3" t="s">
        <v>1842</v>
      </c>
      <c r="C289" s="3" t="s">
        <v>1344</v>
      </c>
      <c r="D289" s="3" t="s">
        <v>1345</v>
      </c>
      <c r="E289" s="3" t="s">
        <v>690</v>
      </c>
      <c r="F289" s="3" t="s">
        <v>689</v>
      </c>
      <c r="G289" s="3" t="s">
        <v>609</v>
      </c>
      <c r="H289" s="3" t="n">
        <v>44</v>
      </c>
      <c r="I289" s="4" t="n">
        <v>750</v>
      </c>
      <c r="J289" s="4" t="n">
        <v>1050</v>
      </c>
      <c r="K289" s="4" t="n">
        <f aca="false">H289*J289</f>
        <v>46200</v>
      </c>
      <c r="L289" s="4" t="n">
        <f aca="false">H289*I289</f>
        <v>33000</v>
      </c>
      <c r="M289" s="4" t="n">
        <f aca="false">K289-L289</f>
        <v>13200</v>
      </c>
    </row>
    <row r="290" customFormat="false" ht="15" hidden="false" customHeight="false" outlineLevel="0" collapsed="false">
      <c r="A290" s="6" t="s">
        <v>2447</v>
      </c>
      <c r="B290" s="6" t="s">
        <v>2170</v>
      </c>
      <c r="C290" s="6" t="s">
        <v>1449</v>
      </c>
      <c r="D290" s="6" t="s">
        <v>1450</v>
      </c>
      <c r="E290" s="6" t="s">
        <v>287</v>
      </c>
      <c r="F290" s="6" t="s">
        <v>286</v>
      </c>
      <c r="G290" s="6" t="s">
        <v>169</v>
      </c>
      <c r="H290" s="6" t="n">
        <v>44</v>
      </c>
      <c r="I290" s="7" t="n">
        <v>180</v>
      </c>
      <c r="J290" s="7" t="n">
        <v>240</v>
      </c>
      <c r="K290" s="7" t="n">
        <f aca="false">H290*J290</f>
        <v>10560</v>
      </c>
      <c r="L290" s="7" t="n">
        <f aca="false">H290*I290</f>
        <v>7920</v>
      </c>
      <c r="M290" s="7" t="n">
        <f aca="false">K290-L290</f>
        <v>2640</v>
      </c>
    </row>
    <row r="291" customFormat="false" ht="15" hidden="false" customHeight="false" outlineLevel="0" collapsed="false">
      <c r="A291" s="3" t="s">
        <v>2448</v>
      </c>
      <c r="B291" s="3" t="s">
        <v>2449</v>
      </c>
      <c r="C291" s="3" t="s">
        <v>1573</v>
      </c>
      <c r="D291" s="3" t="s">
        <v>1574</v>
      </c>
      <c r="E291" s="3" t="s">
        <v>69</v>
      </c>
      <c r="F291" s="3" t="s">
        <v>68</v>
      </c>
      <c r="G291" s="3" t="s">
        <v>17</v>
      </c>
      <c r="H291" s="3" t="n">
        <v>47</v>
      </c>
      <c r="I291" s="4" t="n">
        <v>108000</v>
      </c>
      <c r="J291" s="4" t="n">
        <v>130000</v>
      </c>
      <c r="K291" s="4" t="n">
        <f aca="false">H291*J291</f>
        <v>6110000</v>
      </c>
      <c r="L291" s="4" t="n">
        <f aca="false">H291*I291</f>
        <v>5076000</v>
      </c>
      <c r="M291" s="4" t="n">
        <f aca="false">K291-L291</f>
        <v>1034000</v>
      </c>
    </row>
    <row r="292" customFormat="false" ht="15" hidden="false" customHeight="false" outlineLevel="0" collapsed="false">
      <c r="A292" s="6" t="s">
        <v>2450</v>
      </c>
      <c r="B292" s="6" t="s">
        <v>2451</v>
      </c>
      <c r="C292" s="6" t="s">
        <v>1582</v>
      </c>
      <c r="D292" s="6" t="s">
        <v>1583</v>
      </c>
      <c r="E292" s="6" t="s">
        <v>161</v>
      </c>
      <c r="F292" s="6" t="s">
        <v>160</v>
      </c>
      <c r="G292" s="6" t="s">
        <v>17</v>
      </c>
      <c r="H292" s="6" t="n">
        <v>3</v>
      </c>
      <c r="I292" s="7" t="n">
        <v>22000</v>
      </c>
      <c r="J292" s="7" t="n">
        <v>28000</v>
      </c>
      <c r="K292" s="7" t="n">
        <f aca="false">H292*J292</f>
        <v>84000</v>
      </c>
      <c r="L292" s="7" t="n">
        <f aca="false">H292*I292</f>
        <v>66000</v>
      </c>
      <c r="M292" s="7" t="n">
        <f aca="false">K292-L292</f>
        <v>18000</v>
      </c>
    </row>
    <row r="293" customFormat="false" ht="15" hidden="false" customHeight="false" outlineLevel="0" collapsed="false">
      <c r="A293" s="3" t="s">
        <v>2452</v>
      </c>
      <c r="B293" s="3" t="s">
        <v>1915</v>
      </c>
      <c r="C293" s="3" t="s">
        <v>1630</v>
      </c>
      <c r="D293" s="3" t="s">
        <v>1631</v>
      </c>
      <c r="E293" s="3" t="s">
        <v>165</v>
      </c>
      <c r="F293" s="3" t="s">
        <v>164</v>
      </c>
      <c r="G293" s="3" t="s">
        <v>17</v>
      </c>
      <c r="H293" s="3" t="n">
        <v>44</v>
      </c>
      <c r="I293" s="4" t="n">
        <v>3500</v>
      </c>
      <c r="J293" s="4" t="n">
        <v>5000</v>
      </c>
      <c r="K293" s="4" t="n">
        <f aca="false">H293*J293</f>
        <v>220000</v>
      </c>
      <c r="L293" s="4" t="n">
        <f aca="false">H293*I293</f>
        <v>154000</v>
      </c>
      <c r="M293" s="4" t="n">
        <f aca="false">K293-L293</f>
        <v>66000</v>
      </c>
    </row>
    <row r="294" customFormat="false" ht="15" hidden="false" customHeight="false" outlineLevel="0" collapsed="false">
      <c r="A294" s="6" t="s">
        <v>2453</v>
      </c>
      <c r="B294" s="6" t="s">
        <v>2454</v>
      </c>
      <c r="C294" s="6" t="s">
        <v>1606</v>
      </c>
      <c r="D294" s="6" t="s">
        <v>1607</v>
      </c>
      <c r="E294" s="6" t="s">
        <v>772</v>
      </c>
      <c r="F294" s="6" t="s">
        <v>771</v>
      </c>
      <c r="G294" s="6" t="s">
        <v>731</v>
      </c>
      <c r="H294" s="6" t="n">
        <v>2</v>
      </c>
      <c r="I294" s="7" t="n">
        <v>350</v>
      </c>
      <c r="J294" s="7" t="n">
        <v>540</v>
      </c>
      <c r="K294" s="7" t="n">
        <f aca="false">H294*J294</f>
        <v>1080</v>
      </c>
      <c r="L294" s="7" t="n">
        <f aca="false">H294*I294</f>
        <v>700</v>
      </c>
      <c r="M294" s="7" t="n">
        <f aca="false">K294-L294</f>
        <v>380</v>
      </c>
    </row>
    <row r="295" customFormat="false" ht="15" hidden="false" customHeight="false" outlineLevel="0" collapsed="false">
      <c r="A295" s="3" t="s">
        <v>2455</v>
      </c>
      <c r="B295" s="3" t="s">
        <v>2456</v>
      </c>
      <c r="C295" s="3" t="s">
        <v>1573</v>
      </c>
      <c r="D295" s="3" t="s">
        <v>1574</v>
      </c>
      <c r="E295" s="3" t="s">
        <v>314</v>
      </c>
      <c r="F295" s="3" t="s">
        <v>313</v>
      </c>
      <c r="G295" s="3" t="s">
        <v>169</v>
      </c>
      <c r="H295" s="3" t="n">
        <v>8</v>
      </c>
      <c r="I295" s="4" t="n">
        <v>350</v>
      </c>
      <c r="J295" s="4" t="n">
        <v>480</v>
      </c>
      <c r="K295" s="4" t="n">
        <f aca="false">H295*J295</f>
        <v>3840</v>
      </c>
      <c r="L295" s="4" t="n">
        <f aca="false">H295*I295</f>
        <v>2800</v>
      </c>
      <c r="M295" s="4" t="n">
        <f aca="false">K295-L295</f>
        <v>1040</v>
      </c>
    </row>
    <row r="296" customFormat="false" ht="15" hidden="false" customHeight="false" outlineLevel="0" collapsed="false">
      <c r="A296" s="6" t="s">
        <v>2457</v>
      </c>
      <c r="B296" s="6" t="s">
        <v>2458</v>
      </c>
      <c r="C296" s="6" t="s">
        <v>1289</v>
      </c>
      <c r="D296" s="6" t="s">
        <v>1290</v>
      </c>
      <c r="E296" s="6" t="s">
        <v>84</v>
      </c>
      <c r="F296" s="6" t="s">
        <v>83</v>
      </c>
      <c r="G296" s="6" t="s">
        <v>17</v>
      </c>
      <c r="H296" s="6" t="n">
        <v>4</v>
      </c>
      <c r="I296" s="7" t="n">
        <v>175000</v>
      </c>
      <c r="J296" s="7" t="n">
        <v>210000</v>
      </c>
      <c r="K296" s="7" t="n">
        <f aca="false">H296*J296</f>
        <v>840000</v>
      </c>
      <c r="L296" s="7" t="n">
        <f aca="false">H296*I296</f>
        <v>700000</v>
      </c>
      <c r="M296" s="7" t="n">
        <f aca="false">K296-L296</f>
        <v>140000</v>
      </c>
    </row>
    <row r="297" customFormat="false" ht="15" hidden="false" customHeight="false" outlineLevel="0" collapsed="false">
      <c r="A297" s="3" t="s">
        <v>2459</v>
      </c>
      <c r="B297" s="3" t="s">
        <v>2460</v>
      </c>
      <c r="C297" s="3" t="s">
        <v>1364</v>
      </c>
      <c r="D297" s="3" t="s">
        <v>1365</v>
      </c>
      <c r="E297" s="3" t="s">
        <v>319</v>
      </c>
      <c r="F297" s="3" t="s">
        <v>318</v>
      </c>
      <c r="G297" s="3" t="s">
        <v>169</v>
      </c>
      <c r="H297" s="3" t="n">
        <v>10</v>
      </c>
      <c r="I297" s="4" t="n">
        <v>680</v>
      </c>
      <c r="J297" s="4" t="n">
        <v>900</v>
      </c>
      <c r="K297" s="4" t="n">
        <f aca="false">H297*J297</f>
        <v>9000</v>
      </c>
      <c r="L297" s="4" t="n">
        <f aca="false">H297*I297</f>
        <v>6800</v>
      </c>
      <c r="M297" s="4" t="n">
        <f aca="false">K297-L297</f>
        <v>2200</v>
      </c>
    </row>
    <row r="298" customFormat="false" ht="15" hidden="false" customHeight="false" outlineLevel="0" collapsed="false">
      <c r="A298" s="6" t="s">
        <v>2461</v>
      </c>
      <c r="B298" s="6" t="s">
        <v>1932</v>
      </c>
      <c r="C298" s="6" t="s">
        <v>1379</v>
      </c>
      <c r="D298" s="6" t="s">
        <v>1380</v>
      </c>
      <c r="E298" s="6" t="s">
        <v>147</v>
      </c>
      <c r="F298" s="6" t="s">
        <v>146</v>
      </c>
      <c r="G298" s="6" t="s">
        <v>17</v>
      </c>
      <c r="H298" s="6" t="n">
        <v>39</v>
      </c>
      <c r="I298" s="7" t="n">
        <v>72000</v>
      </c>
      <c r="J298" s="7" t="n">
        <v>90000</v>
      </c>
      <c r="K298" s="7" t="n">
        <f aca="false">H298*J298</f>
        <v>3510000</v>
      </c>
      <c r="L298" s="7" t="n">
        <f aca="false">H298*I298</f>
        <v>2808000</v>
      </c>
      <c r="M298" s="7" t="n">
        <f aca="false">K298-L298</f>
        <v>702000</v>
      </c>
    </row>
    <row r="299" customFormat="false" ht="15" hidden="false" customHeight="false" outlineLevel="0" collapsed="false">
      <c r="A299" s="3" t="s">
        <v>2462</v>
      </c>
      <c r="B299" s="3" t="s">
        <v>1756</v>
      </c>
      <c r="C299" s="3" t="s">
        <v>1439</v>
      </c>
      <c r="D299" s="3" t="s">
        <v>1440</v>
      </c>
      <c r="E299" s="3" t="s">
        <v>593</v>
      </c>
      <c r="F299" s="3" t="s">
        <v>592</v>
      </c>
      <c r="G299" s="3" t="s">
        <v>469</v>
      </c>
      <c r="H299" s="3" t="n">
        <v>8</v>
      </c>
      <c r="I299" s="4" t="n">
        <v>450</v>
      </c>
      <c r="J299" s="4" t="n">
        <v>680</v>
      </c>
      <c r="K299" s="4" t="n">
        <f aca="false">H299*J299</f>
        <v>5440</v>
      </c>
      <c r="L299" s="4" t="n">
        <f aca="false">H299*I299</f>
        <v>3600</v>
      </c>
      <c r="M299" s="4" t="n">
        <f aca="false">K299-L299</f>
        <v>1840</v>
      </c>
    </row>
    <row r="300" customFormat="false" ht="15" hidden="false" customHeight="false" outlineLevel="0" collapsed="false">
      <c r="A300" s="6" t="s">
        <v>2463</v>
      </c>
      <c r="B300" s="6" t="s">
        <v>1919</v>
      </c>
      <c r="C300" s="6" t="s">
        <v>1220</v>
      </c>
      <c r="D300" s="6" t="s">
        <v>1221</v>
      </c>
      <c r="E300" s="6" t="s">
        <v>132</v>
      </c>
      <c r="F300" s="6" t="s">
        <v>131</v>
      </c>
      <c r="G300" s="6" t="s">
        <v>17</v>
      </c>
      <c r="H300" s="6" t="n">
        <v>11</v>
      </c>
      <c r="I300" s="7" t="n">
        <v>95000</v>
      </c>
      <c r="J300" s="7" t="n">
        <v>118000</v>
      </c>
      <c r="K300" s="7" t="n">
        <f aca="false">H300*J300</f>
        <v>1298000</v>
      </c>
      <c r="L300" s="7" t="n">
        <f aca="false">H300*I300</f>
        <v>1045000</v>
      </c>
      <c r="M300" s="7" t="n">
        <f aca="false">K300-L300</f>
        <v>253000</v>
      </c>
    </row>
    <row r="301" customFormat="false" ht="15" hidden="false" customHeight="false" outlineLevel="0" collapsed="false">
      <c r="A301" s="3" t="s">
        <v>2464</v>
      </c>
      <c r="B301" s="3" t="s">
        <v>1842</v>
      </c>
      <c r="C301" s="3" t="s">
        <v>1621</v>
      </c>
      <c r="D301" s="3" t="s">
        <v>1622</v>
      </c>
      <c r="E301" s="3" t="s">
        <v>451</v>
      </c>
      <c r="F301" s="3" t="s">
        <v>450</v>
      </c>
      <c r="G301" s="3" t="s">
        <v>330</v>
      </c>
      <c r="H301" s="3" t="n">
        <v>45</v>
      </c>
      <c r="I301" s="4" t="n">
        <v>200</v>
      </c>
      <c r="J301" s="4" t="n">
        <v>310</v>
      </c>
      <c r="K301" s="4" t="n">
        <f aca="false">H301*J301</f>
        <v>13950</v>
      </c>
      <c r="L301" s="4" t="n">
        <f aca="false">H301*I301</f>
        <v>9000</v>
      </c>
      <c r="M301" s="4" t="n">
        <f aca="false">K301-L301</f>
        <v>4950</v>
      </c>
    </row>
    <row r="302" customFormat="false" ht="15" hidden="false" customHeight="false" outlineLevel="0" collapsed="false">
      <c r="A302" s="6" t="s">
        <v>2465</v>
      </c>
      <c r="B302" s="6" t="s">
        <v>2018</v>
      </c>
      <c r="C302" s="6" t="s">
        <v>1616</v>
      </c>
      <c r="D302" s="6" t="s">
        <v>1617</v>
      </c>
      <c r="E302" s="6" t="s">
        <v>50</v>
      </c>
      <c r="F302" s="6" t="s">
        <v>49</v>
      </c>
      <c r="G302" s="6" t="s">
        <v>17</v>
      </c>
      <c r="H302" s="6" t="n">
        <v>4</v>
      </c>
      <c r="I302" s="7" t="n">
        <v>82000</v>
      </c>
      <c r="J302" s="7" t="n">
        <v>99000</v>
      </c>
      <c r="K302" s="7" t="n">
        <f aca="false">H302*J302</f>
        <v>396000</v>
      </c>
      <c r="L302" s="7" t="n">
        <f aca="false">H302*I302</f>
        <v>328000</v>
      </c>
      <c r="M302" s="7" t="n">
        <f aca="false">K302-L302</f>
        <v>68000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9" min="7" style="0" width="12"/>
    <col collapsed="false" customWidth="true" hidden="false" outlineLevel="0" max="10" min="10" style="0" width="20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1" t="s">
        <v>2466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6.85" hidden="false" customHeight="false" outlineLevel="0" collapsed="false">
      <c r="A2" s="2" t="s">
        <v>1</v>
      </c>
      <c r="B2" s="2" t="s">
        <v>4</v>
      </c>
      <c r="C2" s="2" t="s">
        <v>2</v>
      </c>
      <c r="D2" s="2" t="s">
        <v>3</v>
      </c>
      <c r="E2" s="2" t="s">
        <v>5</v>
      </c>
      <c r="F2" s="2" t="s">
        <v>6</v>
      </c>
      <c r="G2" s="2" t="s">
        <v>2467</v>
      </c>
      <c r="H2" s="2" t="s">
        <v>7</v>
      </c>
      <c r="I2" s="2" t="s">
        <v>8</v>
      </c>
      <c r="J2" s="2" t="s">
        <v>2468</v>
      </c>
      <c r="K2" s="2" t="s">
        <v>2469</v>
      </c>
    </row>
    <row r="3" customFormat="false" ht="15" hidden="false" customHeight="false" outlineLevel="0" collapsed="false">
      <c r="A3" s="3" t="s">
        <v>16</v>
      </c>
      <c r="B3" s="3" t="s">
        <v>19</v>
      </c>
      <c r="C3" s="3" t="s">
        <v>17</v>
      </c>
      <c r="D3" s="3" t="s">
        <v>18</v>
      </c>
      <c r="E3" s="3" t="s">
        <v>20</v>
      </c>
      <c r="F3" s="3" t="s">
        <v>6</v>
      </c>
      <c r="G3" s="3" t="n">
        <v>138</v>
      </c>
      <c r="H3" s="3" t="n">
        <v>1</v>
      </c>
      <c r="I3" s="3" t="n">
        <v>10</v>
      </c>
      <c r="J3" s="4" t="n">
        <f aca="false">G3*75000</f>
        <v>10350000</v>
      </c>
      <c r="K3" s="3" t="s">
        <v>2470</v>
      </c>
    </row>
    <row r="4" customFormat="false" ht="15" hidden="false" customHeight="false" outlineLevel="0" collapsed="false">
      <c r="A4" s="6" t="s">
        <v>24</v>
      </c>
      <c r="B4" s="6" t="s">
        <v>25</v>
      </c>
      <c r="C4" s="6" t="s">
        <v>17</v>
      </c>
      <c r="D4" s="6" t="s">
        <v>18</v>
      </c>
      <c r="E4" s="6" t="s">
        <v>26</v>
      </c>
      <c r="F4" s="6" t="s">
        <v>6</v>
      </c>
      <c r="G4" s="6" t="n">
        <v>74</v>
      </c>
      <c r="H4" s="6" t="n">
        <v>2</v>
      </c>
      <c r="I4" s="6" t="n">
        <v>10</v>
      </c>
      <c r="J4" s="7" t="n">
        <f aca="false">G4*55000</f>
        <v>4070000</v>
      </c>
      <c r="K4" s="6" t="s">
        <v>2470</v>
      </c>
    </row>
    <row r="5" customFormat="false" ht="15" hidden="false" customHeight="false" outlineLevel="0" collapsed="false">
      <c r="A5" s="3" t="s">
        <v>27</v>
      </c>
      <c r="B5" s="3" t="s">
        <v>28</v>
      </c>
      <c r="C5" s="3" t="s">
        <v>17</v>
      </c>
      <c r="D5" s="3" t="s">
        <v>18</v>
      </c>
      <c r="E5" s="3" t="s">
        <v>29</v>
      </c>
      <c r="F5" s="3" t="s">
        <v>6</v>
      </c>
      <c r="G5" s="3" t="n">
        <v>7</v>
      </c>
      <c r="H5" s="3" t="n">
        <v>1</v>
      </c>
      <c r="I5" s="3" t="n">
        <v>5</v>
      </c>
      <c r="J5" s="4" t="n">
        <f aca="false">G5*240000</f>
        <v>1680000</v>
      </c>
      <c r="K5" s="3" t="s">
        <v>2470</v>
      </c>
    </row>
    <row r="6" customFormat="false" ht="15" hidden="false" customHeight="false" outlineLevel="0" collapsed="false">
      <c r="A6" s="6" t="s">
        <v>32</v>
      </c>
      <c r="B6" s="6" t="s">
        <v>33</v>
      </c>
      <c r="C6" s="6" t="s">
        <v>17</v>
      </c>
      <c r="D6" s="6" t="s">
        <v>18</v>
      </c>
      <c r="E6" s="6" t="s">
        <v>34</v>
      </c>
      <c r="F6" s="6" t="s">
        <v>6</v>
      </c>
      <c r="G6" s="6" t="n">
        <v>53</v>
      </c>
      <c r="H6" s="6" t="n">
        <v>1</v>
      </c>
      <c r="I6" s="6" t="n">
        <v>5</v>
      </c>
      <c r="J6" s="7" t="n">
        <f aca="false">G6*185000</f>
        <v>9805000</v>
      </c>
      <c r="K6" s="6" t="s">
        <v>2470</v>
      </c>
    </row>
    <row r="7" customFormat="false" ht="15" hidden="false" customHeight="false" outlineLevel="0" collapsed="false">
      <c r="A7" s="3" t="s">
        <v>35</v>
      </c>
      <c r="B7" s="3" t="s">
        <v>36</v>
      </c>
      <c r="C7" s="3" t="s">
        <v>17</v>
      </c>
      <c r="D7" s="3" t="s">
        <v>18</v>
      </c>
      <c r="E7" s="3" t="s">
        <v>37</v>
      </c>
      <c r="F7" s="3" t="s">
        <v>6</v>
      </c>
      <c r="G7" s="3" t="n">
        <v>65</v>
      </c>
      <c r="H7" s="3" t="n">
        <v>3</v>
      </c>
      <c r="I7" s="3" t="n">
        <v>15</v>
      </c>
      <c r="J7" s="4" t="n">
        <f aca="false">G7*42000</f>
        <v>2730000</v>
      </c>
      <c r="K7" s="3" t="s">
        <v>2470</v>
      </c>
    </row>
    <row r="8" customFormat="false" ht="15" hidden="false" customHeight="false" outlineLevel="0" collapsed="false">
      <c r="A8" s="6" t="s">
        <v>40</v>
      </c>
      <c r="B8" s="6" t="s">
        <v>41</v>
      </c>
      <c r="C8" s="6" t="s">
        <v>17</v>
      </c>
      <c r="D8" s="6" t="s">
        <v>18</v>
      </c>
      <c r="E8" s="6" t="s">
        <v>42</v>
      </c>
      <c r="F8" s="6" t="s">
        <v>6</v>
      </c>
      <c r="G8" s="6" t="n">
        <v>12</v>
      </c>
      <c r="H8" s="6" t="n">
        <v>2</v>
      </c>
      <c r="I8" s="6" t="n">
        <v>10</v>
      </c>
      <c r="J8" s="7" t="n">
        <f aca="false">G8*65000</f>
        <v>780000</v>
      </c>
      <c r="K8" s="6" t="s">
        <v>2470</v>
      </c>
    </row>
    <row r="9" customFormat="false" ht="15" hidden="false" customHeight="false" outlineLevel="0" collapsed="false">
      <c r="A9" s="3" t="s">
        <v>43</v>
      </c>
      <c r="B9" s="3" t="s">
        <v>44</v>
      </c>
      <c r="C9" s="3" t="s">
        <v>17</v>
      </c>
      <c r="D9" s="3" t="s">
        <v>18</v>
      </c>
      <c r="E9" s="3" t="s">
        <v>45</v>
      </c>
      <c r="F9" s="3" t="s">
        <v>6</v>
      </c>
      <c r="G9" s="3" t="n">
        <v>101</v>
      </c>
      <c r="H9" s="3" t="n">
        <v>3</v>
      </c>
      <c r="I9" s="3" t="n">
        <v>15</v>
      </c>
      <c r="J9" s="4" t="n">
        <f aca="false">G9*38000</f>
        <v>3838000</v>
      </c>
      <c r="K9" s="3" t="s">
        <v>2470</v>
      </c>
    </row>
    <row r="10" customFormat="false" ht="15" hidden="false" customHeight="false" outlineLevel="0" collapsed="false">
      <c r="A10" s="6" t="s">
        <v>48</v>
      </c>
      <c r="B10" s="6" t="s">
        <v>49</v>
      </c>
      <c r="C10" s="6" t="s">
        <v>17</v>
      </c>
      <c r="D10" s="6" t="s">
        <v>18</v>
      </c>
      <c r="E10" s="6" t="s">
        <v>50</v>
      </c>
      <c r="F10" s="6" t="s">
        <v>6</v>
      </c>
      <c r="G10" s="6" t="n">
        <v>96</v>
      </c>
      <c r="H10" s="6" t="n">
        <v>1</v>
      </c>
      <c r="I10" s="6" t="n">
        <v>8</v>
      </c>
      <c r="J10" s="7" t="n">
        <f aca="false">G10*82000</f>
        <v>7872000</v>
      </c>
      <c r="K10" s="6" t="s">
        <v>2470</v>
      </c>
    </row>
    <row r="11" customFormat="false" ht="15" hidden="false" customHeight="false" outlineLevel="0" collapsed="false">
      <c r="A11" s="3" t="s">
        <v>51</v>
      </c>
      <c r="B11" s="3" t="s">
        <v>52</v>
      </c>
      <c r="C11" s="3" t="s">
        <v>17</v>
      </c>
      <c r="D11" s="3" t="s">
        <v>18</v>
      </c>
      <c r="E11" s="3" t="s">
        <v>53</v>
      </c>
      <c r="F11" s="3" t="s">
        <v>6</v>
      </c>
      <c r="G11" s="3" t="n">
        <v>34</v>
      </c>
      <c r="H11" s="3" t="n">
        <v>3</v>
      </c>
      <c r="I11" s="3" t="n">
        <v>15</v>
      </c>
      <c r="J11" s="4" t="n">
        <f aca="false">G11*52000</f>
        <v>1768000</v>
      </c>
      <c r="K11" s="3" t="s">
        <v>2470</v>
      </c>
    </row>
    <row r="12" customFormat="false" ht="15" hidden="false" customHeight="false" outlineLevel="0" collapsed="false">
      <c r="A12" s="6" t="s">
        <v>56</v>
      </c>
      <c r="B12" s="6" t="s">
        <v>57</v>
      </c>
      <c r="C12" s="6" t="s">
        <v>17</v>
      </c>
      <c r="D12" s="6" t="s">
        <v>18</v>
      </c>
      <c r="E12" s="6" t="s">
        <v>58</v>
      </c>
      <c r="F12" s="6" t="s">
        <v>6</v>
      </c>
      <c r="G12" s="6" t="n">
        <v>20</v>
      </c>
      <c r="H12" s="6" t="n">
        <v>4</v>
      </c>
      <c r="I12" s="6" t="n">
        <v>20</v>
      </c>
      <c r="J12" s="7" t="n">
        <f aca="false">G12*34000</f>
        <v>680000</v>
      </c>
      <c r="K12" s="6" t="s">
        <v>2470</v>
      </c>
    </row>
    <row r="13" customFormat="false" ht="15" hidden="false" customHeight="false" outlineLevel="0" collapsed="false">
      <c r="A13" s="3" t="s">
        <v>61</v>
      </c>
      <c r="B13" s="3" t="s">
        <v>63</v>
      </c>
      <c r="C13" s="3" t="s">
        <v>17</v>
      </c>
      <c r="D13" s="3" t="s">
        <v>62</v>
      </c>
      <c r="E13" s="3" t="s">
        <v>64</v>
      </c>
      <c r="F13" s="3" t="s">
        <v>6</v>
      </c>
      <c r="G13" s="3" t="n">
        <v>118</v>
      </c>
      <c r="H13" s="3" t="n">
        <v>1</v>
      </c>
      <c r="I13" s="3" t="n">
        <v>5</v>
      </c>
      <c r="J13" s="4" t="n">
        <f aca="false">G13*115000</f>
        <v>13570000</v>
      </c>
      <c r="K13" s="3" t="s">
        <v>2470</v>
      </c>
    </row>
    <row r="14" customFormat="false" ht="15" hidden="false" customHeight="false" outlineLevel="0" collapsed="false">
      <c r="A14" s="6" t="s">
        <v>67</v>
      </c>
      <c r="B14" s="6" t="s">
        <v>68</v>
      </c>
      <c r="C14" s="6" t="s">
        <v>17</v>
      </c>
      <c r="D14" s="6" t="s">
        <v>62</v>
      </c>
      <c r="E14" s="6" t="s">
        <v>69</v>
      </c>
      <c r="F14" s="6" t="s">
        <v>6</v>
      </c>
      <c r="G14" s="6" t="n">
        <v>1</v>
      </c>
      <c r="H14" s="6" t="n">
        <v>1</v>
      </c>
      <c r="I14" s="6" t="n">
        <v>5</v>
      </c>
      <c r="J14" s="7" t="n">
        <f aca="false">G14*108000</f>
        <v>108000</v>
      </c>
      <c r="K14" s="6" t="s">
        <v>2470</v>
      </c>
    </row>
    <row r="15" customFormat="false" ht="15" hidden="false" customHeight="false" outlineLevel="0" collapsed="false">
      <c r="A15" s="3" t="s">
        <v>72</v>
      </c>
      <c r="B15" s="3" t="s">
        <v>73</v>
      </c>
      <c r="C15" s="3" t="s">
        <v>17</v>
      </c>
      <c r="D15" s="3" t="s">
        <v>62</v>
      </c>
      <c r="E15" s="3" t="s">
        <v>74</v>
      </c>
      <c r="F15" s="3" t="s">
        <v>6</v>
      </c>
      <c r="G15" s="3" t="n">
        <v>133</v>
      </c>
      <c r="H15" s="3" t="n">
        <v>1</v>
      </c>
      <c r="I15" s="3" t="n">
        <v>5</v>
      </c>
      <c r="J15" s="4" t="n">
        <f aca="false">G15*95000</f>
        <v>12635000</v>
      </c>
      <c r="K15" s="3" t="s">
        <v>2470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17</v>
      </c>
      <c r="D16" s="6" t="s">
        <v>62</v>
      </c>
      <c r="E16" s="6" t="s">
        <v>79</v>
      </c>
      <c r="F16" s="6" t="s">
        <v>6</v>
      </c>
      <c r="G16" s="6" t="n">
        <v>62</v>
      </c>
      <c r="H16" s="6" t="n">
        <v>1</v>
      </c>
      <c r="I16" s="6" t="n">
        <v>5</v>
      </c>
      <c r="J16" s="7" t="n">
        <f aca="false">G16*105000</f>
        <v>6510000</v>
      </c>
      <c r="K16" s="6" t="s">
        <v>2470</v>
      </c>
    </row>
    <row r="17" customFormat="false" ht="15" hidden="false" customHeight="false" outlineLevel="0" collapsed="false">
      <c r="A17" s="3" t="s">
        <v>82</v>
      </c>
      <c r="B17" s="3" t="s">
        <v>83</v>
      </c>
      <c r="C17" s="3" t="s">
        <v>17</v>
      </c>
      <c r="D17" s="3" t="s">
        <v>62</v>
      </c>
      <c r="E17" s="3" t="s">
        <v>84</v>
      </c>
      <c r="F17" s="3" t="s">
        <v>6</v>
      </c>
      <c r="G17" s="3" t="n">
        <v>6</v>
      </c>
      <c r="H17" s="3" t="n">
        <v>1</v>
      </c>
      <c r="I17" s="3" t="n">
        <v>3</v>
      </c>
      <c r="J17" s="4" t="n">
        <f aca="false">G17*175000</f>
        <v>1050000</v>
      </c>
      <c r="K17" s="3" t="s">
        <v>2470</v>
      </c>
    </row>
    <row r="18" customFormat="false" ht="15" hidden="false" customHeight="false" outlineLevel="0" collapsed="false">
      <c r="A18" s="6" t="s">
        <v>85</v>
      </c>
      <c r="B18" s="6" t="s">
        <v>86</v>
      </c>
      <c r="C18" s="6" t="s">
        <v>17</v>
      </c>
      <c r="D18" s="6" t="s">
        <v>62</v>
      </c>
      <c r="E18" s="6" t="s">
        <v>87</v>
      </c>
      <c r="F18" s="6" t="s">
        <v>6</v>
      </c>
      <c r="G18" s="6" t="n">
        <v>18</v>
      </c>
      <c r="H18" s="6" t="n">
        <v>1</v>
      </c>
      <c r="I18" s="6" t="n">
        <v>3</v>
      </c>
      <c r="J18" s="7" t="n">
        <f aca="false">G18*155000</f>
        <v>2790000</v>
      </c>
      <c r="K18" s="6" t="s">
        <v>2470</v>
      </c>
    </row>
    <row r="19" customFormat="false" ht="15" hidden="false" customHeight="false" outlineLevel="0" collapsed="false">
      <c r="A19" s="3" t="s">
        <v>88</v>
      </c>
      <c r="B19" s="3" t="s">
        <v>89</v>
      </c>
      <c r="C19" s="3" t="s">
        <v>17</v>
      </c>
      <c r="D19" s="3" t="s">
        <v>62</v>
      </c>
      <c r="E19" s="3" t="s">
        <v>90</v>
      </c>
      <c r="F19" s="3" t="s">
        <v>6</v>
      </c>
      <c r="G19" s="3" t="n">
        <v>40</v>
      </c>
      <c r="H19" s="3" t="n">
        <v>1</v>
      </c>
      <c r="I19" s="3" t="n">
        <v>3</v>
      </c>
      <c r="J19" s="4" t="n">
        <f aca="false">G19*290000</f>
        <v>11600000</v>
      </c>
      <c r="K19" s="3" t="s">
        <v>2470</v>
      </c>
    </row>
    <row r="20" customFormat="false" ht="15" hidden="false" customHeight="false" outlineLevel="0" collapsed="false">
      <c r="A20" s="6" t="s">
        <v>91</v>
      </c>
      <c r="B20" s="6" t="s">
        <v>92</v>
      </c>
      <c r="C20" s="6" t="s">
        <v>17</v>
      </c>
      <c r="D20" s="6" t="s">
        <v>62</v>
      </c>
      <c r="E20" s="6" t="s">
        <v>93</v>
      </c>
      <c r="F20" s="6" t="s">
        <v>6</v>
      </c>
      <c r="G20" s="6" t="n">
        <v>135</v>
      </c>
      <c r="H20" s="6" t="n">
        <v>2</v>
      </c>
      <c r="I20" s="6" t="n">
        <v>8</v>
      </c>
      <c r="J20" s="7" t="n">
        <f aca="false">G20*120000</f>
        <v>16200000</v>
      </c>
      <c r="K20" s="6" t="s">
        <v>2470</v>
      </c>
    </row>
    <row r="21" customFormat="false" ht="15" hidden="false" customHeight="false" outlineLevel="0" collapsed="false">
      <c r="A21" s="3" t="s">
        <v>96</v>
      </c>
      <c r="B21" s="3" t="s">
        <v>98</v>
      </c>
      <c r="C21" s="3" t="s">
        <v>17</v>
      </c>
      <c r="D21" s="3" t="s">
        <v>97</v>
      </c>
      <c r="E21" s="3" t="s">
        <v>99</v>
      </c>
      <c r="F21" s="3" t="s">
        <v>6</v>
      </c>
      <c r="G21" s="3" t="n">
        <v>102</v>
      </c>
      <c r="H21" s="3" t="n">
        <v>1</v>
      </c>
      <c r="I21" s="3" t="n">
        <v>5</v>
      </c>
      <c r="J21" s="4" t="n">
        <f aca="false">G21*78000</f>
        <v>7956000</v>
      </c>
      <c r="K21" s="3" t="s">
        <v>2470</v>
      </c>
    </row>
    <row r="22" customFormat="false" ht="15" hidden="false" customHeight="false" outlineLevel="0" collapsed="false">
      <c r="A22" s="6" t="s">
        <v>100</v>
      </c>
      <c r="B22" s="6" t="s">
        <v>101</v>
      </c>
      <c r="C22" s="6" t="s">
        <v>17</v>
      </c>
      <c r="D22" s="6" t="s">
        <v>97</v>
      </c>
      <c r="E22" s="6" t="s">
        <v>102</v>
      </c>
      <c r="F22" s="6" t="s">
        <v>6</v>
      </c>
      <c r="G22" s="6" t="n">
        <v>89</v>
      </c>
      <c r="H22" s="6" t="n">
        <v>1</v>
      </c>
      <c r="I22" s="6" t="n">
        <v>3</v>
      </c>
      <c r="J22" s="7" t="n">
        <f aca="false">G22*150000</f>
        <v>13350000</v>
      </c>
      <c r="K22" s="6" t="s">
        <v>2470</v>
      </c>
    </row>
    <row r="23" customFormat="false" ht="15" hidden="false" customHeight="false" outlineLevel="0" collapsed="false">
      <c r="A23" s="3" t="s">
        <v>103</v>
      </c>
      <c r="B23" s="3" t="s">
        <v>104</v>
      </c>
      <c r="C23" s="3" t="s">
        <v>17</v>
      </c>
      <c r="D23" s="3" t="s">
        <v>97</v>
      </c>
      <c r="E23" s="3" t="s">
        <v>105</v>
      </c>
      <c r="F23" s="3" t="s">
        <v>6</v>
      </c>
      <c r="G23" s="3" t="n">
        <v>137</v>
      </c>
      <c r="H23" s="3" t="n">
        <v>2</v>
      </c>
      <c r="I23" s="3" t="n">
        <v>8</v>
      </c>
      <c r="J23" s="4" t="n">
        <f aca="false">G23*42000</f>
        <v>5754000</v>
      </c>
      <c r="K23" s="3" t="s">
        <v>2470</v>
      </c>
    </row>
    <row r="24" customFormat="false" ht="15" hidden="false" customHeight="false" outlineLevel="0" collapsed="false">
      <c r="A24" s="6" t="s">
        <v>108</v>
      </c>
      <c r="B24" s="6" t="s">
        <v>109</v>
      </c>
      <c r="C24" s="6" t="s">
        <v>17</v>
      </c>
      <c r="D24" s="6" t="s">
        <v>97</v>
      </c>
      <c r="E24" s="6" t="s">
        <v>110</v>
      </c>
      <c r="F24" s="6" t="s">
        <v>6</v>
      </c>
      <c r="G24" s="6" t="n">
        <v>17</v>
      </c>
      <c r="H24" s="6" t="n">
        <v>1</v>
      </c>
      <c r="I24" s="6" t="n">
        <v>5</v>
      </c>
      <c r="J24" s="7" t="n">
        <f aca="false">G24*68000</f>
        <v>1156000</v>
      </c>
      <c r="K24" s="6" t="s">
        <v>2470</v>
      </c>
    </row>
    <row r="25" customFormat="false" ht="15" hidden="false" customHeight="false" outlineLevel="0" collapsed="false">
      <c r="A25" s="3" t="s">
        <v>111</v>
      </c>
      <c r="B25" s="3" t="s">
        <v>112</v>
      </c>
      <c r="C25" s="3" t="s">
        <v>17</v>
      </c>
      <c r="D25" s="3" t="s">
        <v>97</v>
      </c>
      <c r="E25" s="3" t="s">
        <v>113</v>
      </c>
      <c r="F25" s="3" t="s">
        <v>6</v>
      </c>
      <c r="G25" s="3" t="n">
        <v>102</v>
      </c>
      <c r="H25" s="3" t="n">
        <v>3</v>
      </c>
      <c r="I25" s="3" t="n">
        <v>10</v>
      </c>
      <c r="J25" s="4" t="n">
        <f aca="false">G25*28000</f>
        <v>2856000</v>
      </c>
      <c r="K25" s="3" t="s">
        <v>2470</v>
      </c>
    </row>
    <row r="26" customFormat="false" ht="15" hidden="false" customHeight="false" outlineLevel="0" collapsed="false">
      <c r="A26" s="6" t="s">
        <v>116</v>
      </c>
      <c r="B26" s="6" t="s">
        <v>117</v>
      </c>
      <c r="C26" s="6" t="s">
        <v>17</v>
      </c>
      <c r="D26" s="6" t="s">
        <v>97</v>
      </c>
      <c r="E26" s="6" t="s">
        <v>118</v>
      </c>
      <c r="F26" s="6" t="s">
        <v>6</v>
      </c>
      <c r="G26" s="6" t="n">
        <v>6</v>
      </c>
      <c r="H26" s="6" t="n">
        <v>2</v>
      </c>
      <c r="I26" s="6" t="n">
        <v>8</v>
      </c>
      <c r="J26" s="7" t="n">
        <f aca="false">G26*55000</f>
        <v>330000</v>
      </c>
      <c r="K26" s="6" t="s">
        <v>2470</v>
      </c>
    </row>
    <row r="27" customFormat="false" ht="15" hidden="false" customHeight="false" outlineLevel="0" collapsed="false">
      <c r="A27" s="3" t="s">
        <v>119</v>
      </c>
      <c r="B27" s="3" t="s">
        <v>120</v>
      </c>
      <c r="C27" s="3" t="s">
        <v>17</v>
      </c>
      <c r="D27" s="3" t="s">
        <v>97</v>
      </c>
      <c r="E27" s="3" t="s">
        <v>121</v>
      </c>
      <c r="F27" s="3" t="s">
        <v>6</v>
      </c>
      <c r="G27" s="3" t="n">
        <v>63</v>
      </c>
      <c r="H27" s="3" t="n">
        <v>1</v>
      </c>
      <c r="I27" s="3" t="n">
        <v>3</v>
      </c>
      <c r="J27" s="4" t="n">
        <f aca="false">G27*195000</f>
        <v>12285000</v>
      </c>
      <c r="K27" s="3" t="s">
        <v>2470</v>
      </c>
    </row>
    <row r="28" customFormat="false" ht="15" hidden="false" customHeight="false" outlineLevel="0" collapsed="false">
      <c r="A28" s="6" t="s">
        <v>124</v>
      </c>
      <c r="B28" s="6" t="s">
        <v>125</v>
      </c>
      <c r="C28" s="6" t="s">
        <v>17</v>
      </c>
      <c r="D28" s="6" t="s">
        <v>97</v>
      </c>
      <c r="E28" s="6" t="s">
        <v>126</v>
      </c>
      <c r="F28" s="6" t="s">
        <v>6</v>
      </c>
      <c r="G28" s="6" t="n">
        <v>144</v>
      </c>
      <c r="H28" s="6" t="n">
        <v>1</v>
      </c>
      <c r="I28" s="6" t="n">
        <v>3</v>
      </c>
      <c r="J28" s="7" t="n">
        <f aca="false">G28*125000</f>
        <v>18000000</v>
      </c>
      <c r="K28" s="6" t="s">
        <v>2470</v>
      </c>
    </row>
    <row r="29" customFormat="false" ht="15" hidden="false" customHeight="false" outlineLevel="0" collapsed="false">
      <c r="A29" s="3" t="s">
        <v>129</v>
      </c>
      <c r="B29" s="3" t="s">
        <v>131</v>
      </c>
      <c r="C29" s="3" t="s">
        <v>17</v>
      </c>
      <c r="D29" s="3" t="s">
        <v>130</v>
      </c>
      <c r="E29" s="3" t="s">
        <v>132</v>
      </c>
      <c r="F29" s="3" t="s">
        <v>6</v>
      </c>
      <c r="G29" s="3" t="n">
        <v>71</v>
      </c>
      <c r="H29" s="3" t="n">
        <v>2</v>
      </c>
      <c r="I29" s="3" t="n">
        <v>5</v>
      </c>
      <c r="J29" s="4" t="n">
        <f aca="false">G29*95000</f>
        <v>6745000</v>
      </c>
      <c r="K29" s="3" t="s">
        <v>2470</v>
      </c>
    </row>
    <row r="30" customFormat="false" ht="15" hidden="false" customHeight="false" outlineLevel="0" collapsed="false">
      <c r="A30" s="6" t="s">
        <v>134</v>
      </c>
      <c r="B30" s="6" t="s">
        <v>135</v>
      </c>
      <c r="C30" s="6" t="s">
        <v>17</v>
      </c>
      <c r="D30" s="6" t="s">
        <v>130</v>
      </c>
      <c r="E30" s="6" t="s">
        <v>136</v>
      </c>
      <c r="F30" s="6" t="s">
        <v>6</v>
      </c>
      <c r="G30" s="6" t="n">
        <v>109</v>
      </c>
      <c r="H30" s="6" t="n">
        <v>2</v>
      </c>
      <c r="I30" s="6" t="n">
        <v>5</v>
      </c>
      <c r="J30" s="7" t="n">
        <f aca="false">G30*75000</f>
        <v>8175000</v>
      </c>
      <c r="K30" s="6" t="s">
        <v>2470</v>
      </c>
    </row>
    <row r="31" customFormat="false" ht="15" hidden="false" customHeight="false" outlineLevel="0" collapsed="false">
      <c r="A31" s="3" t="s">
        <v>137</v>
      </c>
      <c r="B31" s="3" t="s">
        <v>138</v>
      </c>
      <c r="C31" s="3" t="s">
        <v>17</v>
      </c>
      <c r="D31" s="3" t="s">
        <v>130</v>
      </c>
      <c r="E31" s="3" t="s">
        <v>139</v>
      </c>
      <c r="F31" s="3" t="s">
        <v>6</v>
      </c>
      <c r="G31" s="3" t="n">
        <v>144</v>
      </c>
      <c r="H31" s="3" t="n">
        <v>2</v>
      </c>
      <c r="I31" s="3" t="n">
        <v>5</v>
      </c>
      <c r="J31" s="4" t="n">
        <f aca="false">G31*80000</f>
        <v>11520000</v>
      </c>
      <c r="K31" s="3" t="s">
        <v>2470</v>
      </c>
    </row>
    <row r="32" customFormat="false" ht="15" hidden="false" customHeight="false" outlineLevel="0" collapsed="false">
      <c r="A32" s="6" t="s">
        <v>142</v>
      </c>
      <c r="B32" s="6" t="s">
        <v>143</v>
      </c>
      <c r="C32" s="6" t="s">
        <v>17</v>
      </c>
      <c r="D32" s="6" t="s">
        <v>130</v>
      </c>
      <c r="E32" s="6" t="s">
        <v>144</v>
      </c>
      <c r="F32" s="6" t="s">
        <v>6</v>
      </c>
      <c r="G32" s="6" t="n">
        <v>24</v>
      </c>
      <c r="H32" s="6" t="n">
        <v>1</v>
      </c>
      <c r="I32" s="6" t="n">
        <v>4</v>
      </c>
      <c r="J32" s="7" t="n">
        <f aca="false">G32*65000</f>
        <v>1560000</v>
      </c>
      <c r="K32" s="6" t="s">
        <v>2470</v>
      </c>
    </row>
    <row r="33" customFormat="false" ht="15" hidden="false" customHeight="false" outlineLevel="0" collapsed="false">
      <c r="A33" s="3" t="s">
        <v>145</v>
      </c>
      <c r="B33" s="3" t="s">
        <v>146</v>
      </c>
      <c r="C33" s="3" t="s">
        <v>17</v>
      </c>
      <c r="D33" s="3" t="s">
        <v>130</v>
      </c>
      <c r="E33" s="3" t="s">
        <v>147</v>
      </c>
      <c r="F33" s="3" t="s">
        <v>6</v>
      </c>
      <c r="G33" s="3" t="n">
        <v>71</v>
      </c>
      <c r="H33" s="3" t="n">
        <v>1</v>
      </c>
      <c r="I33" s="3" t="n">
        <v>4</v>
      </c>
      <c r="J33" s="4" t="n">
        <f aca="false">G33*72000</f>
        <v>5112000</v>
      </c>
      <c r="K33" s="3" t="s">
        <v>2470</v>
      </c>
    </row>
    <row r="34" customFormat="false" ht="15" hidden="false" customHeight="false" outlineLevel="0" collapsed="false">
      <c r="A34" s="6" t="s">
        <v>148</v>
      </c>
      <c r="B34" s="6" t="s">
        <v>149</v>
      </c>
      <c r="C34" s="6" t="s">
        <v>17</v>
      </c>
      <c r="D34" s="6" t="s">
        <v>130</v>
      </c>
      <c r="E34" s="6" t="s">
        <v>150</v>
      </c>
      <c r="F34" s="6" t="s">
        <v>6</v>
      </c>
      <c r="G34" s="6" t="n">
        <v>143</v>
      </c>
      <c r="H34" s="6" t="n">
        <v>1</v>
      </c>
      <c r="I34" s="6" t="n">
        <v>4</v>
      </c>
      <c r="J34" s="7" t="n">
        <f aca="false">G34*82000</f>
        <v>11726000</v>
      </c>
      <c r="K34" s="6" t="s">
        <v>2470</v>
      </c>
    </row>
    <row r="35" customFormat="false" ht="15" hidden="false" customHeight="false" outlineLevel="0" collapsed="false">
      <c r="A35" s="3" t="s">
        <v>153</v>
      </c>
      <c r="B35" s="3" t="s">
        <v>154</v>
      </c>
      <c r="C35" s="3" t="s">
        <v>17</v>
      </c>
      <c r="D35" s="3" t="s">
        <v>130</v>
      </c>
      <c r="E35" s="3" t="s">
        <v>155</v>
      </c>
      <c r="F35" s="3" t="s">
        <v>6</v>
      </c>
      <c r="G35" s="3" t="n">
        <v>28</v>
      </c>
      <c r="H35" s="3" t="n">
        <v>2</v>
      </c>
      <c r="I35" s="3" t="n">
        <v>5</v>
      </c>
      <c r="J35" s="4" t="n">
        <f aca="false">G35*45000</f>
        <v>1260000</v>
      </c>
      <c r="K35" s="3" t="s">
        <v>2470</v>
      </c>
    </row>
    <row r="36" customFormat="false" ht="15" hidden="false" customHeight="false" outlineLevel="0" collapsed="false">
      <c r="A36" s="6" t="s">
        <v>156</v>
      </c>
      <c r="B36" s="6" t="s">
        <v>157</v>
      </c>
      <c r="C36" s="6" t="s">
        <v>17</v>
      </c>
      <c r="D36" s="6" t="s">
        <v>130</v>
      </c>
      <c r="E36" s="6" t="s">
        <v>158</v>
      </c>
      <c r="F36" s="6" t="s">
        <v>6</v>
      </c>
      <c r="G36" s="6" t="n">
        <v>126</v>
      </c>
      <c r="H36" s="6" t="n">
        <v>1</v>
      </c>
      <c r="I36" s="6" t="n">
        <v>4</v>
      </c>
      <c r="J36" s="7" t="n">
        <f aca="false">G36*75000</f>
        <v>9450000</v>
      </c>
      <c r="K36" s="6" t="s">
        <v>2470</v>
      </c>
    </row>
    <row r="37" customFormat="false" ht="15" hidden="false" customHeight="false" outlineLevel="0" collapsed="false">
      <c r="A37" s="3" t="s">
        <v>159</v>
      </c>
      <c r="B37" s="3" t="s">
        <v>160</v>
      </c>
      <c r="C37" s="3" t="s">
        <v>17</v>
      </c>
      <c r="D37" s="3" t="s">
        <v>130</v>
      </c>
      <c r="E37" s="3" t="s">
        <v>161</v>
      </c>
      <c r="F37" s="3" t="s">
        <v>6</v>
      </c>
      <c r="G37" s="3" t="n">
        <v>79</v>
      </c>
      <c r="H37" s="3" t="n">
        <v>3</v>
      </c>
      <c r="I37" s="3" t="n">
        <v>8</v>
      </c>
      <c r="J37" s="4" t="n">
        <f aca="false">G37*22000</f>
        <v>1738000</v>
      </c>
      <c r="K37" s="3" t="s">
        <v>2470</v>
      </c>
    </row>
    <row r="38" customFormat="false" ht="15" hidden="false" customHeight="false" outlineLevel="0" collapsed="false">
      <c r="A38" s="6" t="s">
        <v>163</v>
      </c>
      <c r="B38" s="6" t="s">
        <v>164</v>
      </c>
      <c r="C38" s="6" t="s">
        <v>17</v>
      </c>
      <c r="D38" s="6" t="s">
        <v>130</v>
      </c>
      <c r="E38" s="6" t="s">
        <v>165</v>
      </c>
      <c r="F38" s="6" t="s">
        <v>6</v>
      </c>
      <c r="G38" s="6" t="n">
        <v>33</v>
      </c>
      <c r="H38" s="6" t="n">
        <v>5</v>
      </c>
      <c r="I38" s="6" t="n">
        <v>15</v>
      </c>
      <c r="J38" s="7" t="n">
        <f aca="false">G38*3500</f>
        <v>115500</v>
      </c>
      <c r="K38" s="6" t="s">
        <v>2470</v>
      </c>
    </row>
    <row r="39" customFormat="false" ht="15" hidden="false" customHeight="false" outlineLevel="0" collapsed="false">
      <c r="A39" s="3" t="s">
        <v>168</v>
      </c>
      <c r="B39" s="3" t="s">
        <v>171</v>
      </c>
      <c r="C39" s="3" t="s">
        <v>169</v>
      </c>
      <c r="D39" s="3" t="s">
        <v>170</v>
      </c>
      <c r="E39" s="3" t="s">
        <v>172</v>
      </c>
      <c r="F39" s="3" t="s">
        <v>6</v>
      </c>
      <c r="G39" s="3" t="n">
        <v>79</v>
      </c>
      <c r="H39" s="3" t="n">
        <v>10</v>
      </c>
      <c r="I39" s="3" t="n">
        <v>50</v>
      </c>
      <c r="J39" s="4" t="n">
        <f aca="false">G39*3800</f>
        <v>300200</v>
      </c>
      <c r="K39" s="3" t="s">
        <v>2470</v>
      </c>
    </row>
    <row r="40" customFormat="false" ht="15" hidden="false" customHeight="false" outlineLevel="0" collapsed="false">
      <c r="A40" s="6" t="s">
        <v>175</v>
      </c>
      <c r="B40" s="6" t="s">
        <v>176</v>
      </c>
      <c r="C40" s="6" t="s">
        <v>169</v>
      </c>
      <c r="D40" s="6" t="s">
        <v>170</v>
      </c>
      <c r="E40" s="6" t="s">
        <v>177</v>
      </c>
      <c r="F40" s="6" t="s">
        <v>6</v>
      </c>
      <c r="G40" s="6" t="n">
        <v>79</v>
      </c>
      <c r="H40" s="6" t="n">
        <v>20</v>
      </c>
      <c r="I40" s="6" t="n">
        <v>100</v>
      </c>
      <c r="J40" s="7" t="n">
        <f aca="false">G40*800</f>
        <v>63200</v>
      </c>
      <c r="K40" s="6" t="s">
        <v>2470</v>
      </c>
    </row>
    <row r="41" customFormat="false" ht="15" hidden="false" customHeight="false" outlineLevel="0" collapsed="false">
      <c r="A41" s="3" t="s">
        <v>178</v>
      </c>
      <c r="B41" s="3" t="s">
        <v>179</v>
      </c>
      <c r="C41" s="3" t="s">
        <v>169</v>
      </c>
      <c r="D41" s="3" t="s">
        <v>170</v>
      </c>
      <c r="E41" s="3" t="s">
        <v>180</v>
      </c>
      <c r="F41" s="3" t="s">
        <v>6</v>
      </c>
      <c r="G41" s="3" t="n">
        <v>64</v>
      </c>
      <c r="H41" s="3" t="n">
        <v>15</v>
      </c>
      <c r="I41" s="3" t="n">
        <v>75</v>
      </c>
      <c r="J41" s="4" t="n">
        <f aca="false">G41*1100</f>
        <v>70400</v>
      </c>
      <c r="K41" s="3" t="s">
        <v>2470</v>
      </c>
    </row>
    <row r="42" customFormat="false" ht="15" hidden="false" customHeight="false" outlineLevel="0" collapsed="false">
      <c r="A42" s="6" t="s">
        <v>183</v>
      </c>
      <c r="B42" s="6" t="s">
        <v>184</v>
      </c>
      <c r="C42" s="6" t="s">
        <v>169</v>
      </c>
      <c r="D42" s="6" t="s">
        <v>170</v>
      </c>
      <c r="E42" s="6" t="s">
        <v>185</v>
      </c>
      <c r="F42" s="6" t="s">
        <v>6</v>
      </c>
      <c r="G42" s="6" t="n">
        <v>129</v>
      </c>
      <c r="H42" s="6" t="n">
        <v>25</v>
      </c>
      <c r="I42" s="6" t="n">
        <v>100</v>
      </c>
      <c r="J42" s="7" t="n">
        <f aca="false">G42*580</f>
        <v>74820</v>
      </c>
      <c r="K42" s="6" t="s">
        <v>2470</v>
      </c>
    </row>
    <row r="43" customFormat="false" ht="15" hidden="false" customHeight="false" outlineLevel="0" collapsed="false">
      <c r="A43" s="3" t="s">
        <v>186</v>
      </c>
      <c r="B43" s="3" t="s">
        <v>187</v>
      </c>
      <c r="C43" s="3" t="s">
        <v>169</v>
      </c>
      <c r="D43" s="3" t="s">
        <v>170</v>
      </c>
      <c r="E43" s="3" t="s">
        <v>188</v>
      </c>
      <c r="F43" s="3" t="s">
        <v>6</v>
      </c>
      <c r="G43" s="3" t="n">
        <v>20</v>
      </c>
      <c r="H43" s="3" t="n">
        <v>20</v>
      </c>
      <c r="I43" s="3" t="n">
        <v>100</v>
      </c>
      <c r="J43" s="4" t="n">
        <f aca="false">G43*600</f>
        <v>12000</v>
      </c>
      <c r="K43" s="3" t="s">
        <v>2470</v>
      </c>
    </row>
    <row r="44" customFormat="false" ht="15" hidden="false" customHeight="false" outlineLevel="0" collapsed="false">
      <c r="A44" s="6" t="s">
        <v>190</v>
      </c>
      <c r="B44" s="6" t="s">
        <v>191</v>
      </c>
      <c r="C44" s="6" t="s">
        <v>169</v>
      </c>
      <c r="D44" s="6" t="s">
        <v>170</v>
      </c>
      <c r="E44" s="6" t="s">
        <v>192</v>
      </c>
      <c r="F44" s="6" t="s">
        <v>6</v>
      </c>
      <c r="G44" s="6" t="n">
        <v>35</v>
      </c>
      <c r="H44" s="6" t="n">
        <v>30</v>
      </c>
      <c r="I44" s="6" t="n">
        <v>150</v>
      </c>
      <c r="J44" s="7" t="n">
        <f aca="false">G44*125</f>
        <v>4375</v>
      </c>
      <c r="K44" s="6" t="s">
        <v>2470</v>
      </c>
    </row>
    <row r="45" customFormat="false" ht="15" hidden="false" customHeight="false" outlineLevel="0" collapsed="false">
      <c r="A45" s="3" t="s">
        <v>193</v>
      </c>
      <c r="B45" s="3" t="s">
        <v>194</v>
      </c>
      <c r="C45" s="3" t="s">
        <v>169</v>
      </c>
      <c r="D45" s="3" t="s">
        <v>170</v>
      </c>
      <c r="E45" s="3" t="s">
        <v>195</v>
      </c>
      <c r="F45" s="3" t="s">
        <v>6</v>
      </c>
      <c r="G45" s="3" t="n">
        <v>62</v>
      </c>
      <c r="H45" s="3" t="n">
        <v>15</v>
      </c>
      <c r="I45" s="3" t="n">
        <v>60</v>
      </c>
      <c r="J45" s="4" t="n">
        <f aca="false">G45*2000</f>
        <v>124000</v>
      </c>
      <c r="K45" s="3" t="s">
        <v>2470</v>
      </c>
    </row>
    <row r="46" customFormat="false" ht="15" hidden="false" customHeight="false" outlineLevel="0" collapsed="false">
      <c r="A46" s="6" t="s">
        <v>198</v>
      </c>
      <c r="B46" s="6" t="s">
        <v>199</v>
      </c>
      <c r="C46" s="6" t="s">
        <v>169</v>
      </c>
      <c r="D46" s="6" t="s">
        <v>170</v>
      </c>
      <c r="E46" s="6" t="s">
        <v>200</v>
      </c>
      <c r="F46" s="6" t="s">
        <v>6</v>
      </c>
      <c r="G46" s="6" t="n">
        <v>80</v>
      </c>
      <c r="H46" s="6" t="n">
        <v>30</v>
      </c>
      <c r="I46" s="6" t="n">
        <v>120</v>
      </c>
      <c r="J46" s="7" t="n">
        <f aca="false">G46*430</f>
        <v>34400</v>
      </c>
      <c r="K46" s="6" t="s">
        <v>2470</v>
      </c>
    </row>
    <row r="47" customFormat="false" ht="15" hidden="false" customHeight="false" outlineLevel="0" collapsed="false">
      <c r="A47" s="3" t="s">
        <v>201</v>
      </c>
      <c r="B47" s="3" t="s">
        <v>202</v>
      </c>
      <c r="C47" s="3" t="s">
        <v>169</v>
      </c>
      <c r="D47" s="3" t="s">
        <v>170</v>
      </c>
      <c r="E47" s="3" t="s">
        <v>203</v>
      </c>
      <c r="F47" s="3" t="s">
        <v>6</v>
      </c>
      <c r="G47" s="3" t="n">
        <v>30</v>
      </c>
      <c r="H47" s="3" t="n">
        <v>15</v>
      </c>
      <c r="I47" s="3" t="n">
        <v>60</v>
      </c>
      <c r="J47" s="4" t="n">
        <f aca="false">G47*1900</f>
        <v>57000</v>
      </c>
      <c r="K47" s="3" t="s">
        <v>2470</v>
      </c>
    </row>
    <row r="48" customFormat="false" ht="15" hidden="false" customHeight="false" outlineLevel="0" collapsed="false">
      <c r="A48" s="6" t="s">
        <v>206</v>
      </c>
      <c r="B48" s="6" t="s">
        <v>207</v>
      </c>
      <c r="C48" s="6" t="s">
        <v>169</v>
      </c>
      <c r="D48" s="6" t="s">
        <v>170</v>
      </c>
      <c r="E48" s="6" t="s">
        <v>208</v>
      </c>
      <c r="F48" s="6" t="s">
        <v>6</v>
      </c>
      <c r="G48" s="6" t="n">
        <v>7</v>
      </c>
      <c r="H48" s="6" t="n">
        <v>20</v>
      </c>
      <c r="I48" s="6" t="n">
        <v>80</v>
      </c>
      <c r="J48" s="7" t="n">
        <f aca="false">G48*1100</f>
        <v>7700</v>
      </c>
      <c r="K48" s="9" t="s">
        <v>2471</v>
      </c>
    </row>
    <row r="49" customFormat="false" ht="15" hidden="false" customHeight="false" outlineLevel="0" collapsed="false">
      <c r="A49" s="3" t="s">
        <v>211</v>
      </c>
      <c r="B49" s="3" t="s">
        <v>213</v>
      </c>
      <c r="C49" s="3" t="s">
        <v>169</v>
      </c>
      <c r="D49" s="3" t="s">
        <v>212</v>
      </c>
      <c r="E49" s="3" t="s">
        <v>214</v>
      </c>
      <c r="F49" s="3" t="s">
        <v>6</v>
      </c>
      <c r="G49" s="3" t="n">
        <v>104</v>
      </c>
      <c r="H49" s="3" t="n">
        <v>20</v>
      </c>
      <c r="I49" s="3" t="n">
        <v>80</v>
      </c>
      <c r="J49" s="4" t="n">
        <f aca="false">G49*65</f>
        <v>6760</v>
      </c>
      <c r="K49" s="3" t="s">
        <v>2470</v>
      </c>
    </row>
    <row r="50" customFormat="false" ht="15" hidden="false" customHeight="false" outlineLevel="0" collapsed="false">
      <c r="A50" s="6" t="s">
        <v>215</v>
      </c>
      <c r="B50" s="6" t="s">
        <v>216</v>
      </c>
      <c r="C50" s="6" t="s">
        <v>169</v>
      </c>
      <c r="D50" s="6" t="s">
        <v>212</v>
      </c>
      <c r="E50" s="6" t="s">
        <v>217</v>
      </c>
      <c r="F50" s="6" t="s">
        <v>6</v>
      </c>
      <c r="G50" s="6" t="n">
        <v>129</v>
      </c>
      <c r="H50" s="6" t="n">
        <v>20</v>
      </c>
      <c r="I50" s="6" t="n">
        <v>80</v>
      </c>
      <c r="J50" s="7" t="n">
        <f aca="false">G50*70</f>
        <v>9030</v>
      </c>
      <c r="K50" s="6" t="s">
        <v>2470</v>
      </c>
    </row>
    <row r="51" customFormat="false" ht="15" hidden="false" customHeight="false" outlineLevel="0" collapsed="false">
      <c r="A51" s="3" t="s">
        <v>220</v>
      </c>
      <c r="B51" s="3" t="s">
        <v>221</v>
      </c>
      <c r="C51" s="3" t="s">
        <v>169</v>
      </c>
      <c r="D51" s="3" t="s">
        <v>212</v>
      </c>
      <c r="E51" s="3" t="s">
        <v>222</v>
      </c>
      <c r="F51" s="3" t="s">
        <v>6</v>
      </c>
      <c r="G51" s="3" t="n">
        <v>77</v>
      </c>
      <c r="H51" s="3" t="n">
        <v>20</v>
      </c>
      <c r="I51" s="3" t="n">
        <v>80</v>
      </c>
      <c r="J51" s="4" t="n">
        <f aca="false">G51*95</f>
        <v>7315</v>
      </c>
      <c r="K51" s="3" t="s">
        <v>2470</v>
      </c>
    </row>
    <row r="52" customFormat="false" ht="15" hidden="false" customHeight="false" outlineLevel="0" collapsed="false">
      <c r="A52" s="6" t="s">
        <v>223</v>
      </c>
      <c r="B52" s="6" t="s">
        <v>224</v>
      </c>
      <c r="C52" s="6" t="s">
        <v>169</v>
      </c>
      <c r="D52" s="6" t="s">
        <v>212</v>
      </c>
      <c r="E52" s="6" t="s">
        <v>225</v>
      </c>
      <c r="F52" s="6" t="s">
        <v>6</v>
      </c>
      <c r="G52" s="6" t="n">
        <v>45</v>
      </c>
      <c r="H52" s="6" t="n">
        <v>20</v>
      </c>
      <c r="I52" s="6" t="n">
        <v>80</v>
      </c>
      <c r="J52" s="7" t="n">
        <f aca="false">G52*75</f>
        <v>3375</v>
      </c>
      <c r="K52" s="6" t="s">
        <v>2470</v>
      </c>
    </row>
    <row r="53" customFormat="false" ht="15" hidden="false" customHeight="false" outlineLevel="0" collapsed="false">
      <c r="A53" s="3" t="s">
        <v>228</v>
      </c>
      <c r="B53" s="3" t="s">
        <v>229</v>
      </c>
      <c r="C53" s="3" t="s">
        <v>169</v>
      </c>
      <c r="D53" s="3" t="s">
        <v>212</v>
      </c>
      <c r="E53" s="3" t="s">
        <v>230</v>
      </c>
      <c r="F53" s="3" t="s">
        <v>6</v>
      </c>
      <c r="G53" s="3" t="n">
        <v>134</v>
      </c>
      <c r="H53" s="3" t="n">
        <v>25</v>
      </c>
      <c r="I53" s="3" t="n">
        <v>100</v>
      </c>
      <c r="J53" s="4" t="n">
        <f aca="false">G53*55</f>
        <v>7370</v>
      </c>
      <c r="K53" s="3" t="s">
        <v>2470</v>
      </c>
    </row>
    <row r="54" customFormat="false" ht="15" hidden="false" customHeight="false" outlineLevel="0" collapsed="false">
      <c r="A54" s="6" t="s">
        <v>231</v>
      </c>
      <c r="B54" s="6" t="s">
        <v>232</v>
      </c>
      <c r="C54" s="6" t="s">
        <v>169</v>
      </c>
      <c r="D54" s="6" t="s">
        <v>212</v>
      </c>
      <c r="E54" s="6" t="s">
        <v>233</v>
      </c>
      <c r="F54" s="6" t="s">
        <v>6</v>
      </c>
      <c r="G54" s="6" t="n">
        <v>47</v>
      </c>
      <c r="H54" s="6" t="n">
        <v>25</v>
      </c>
      <c r="I54" s="6" t="n">
        <v>100</v>
      </c>
      <c r="J54" s="7" t="n">
        <f aca="false">G54*65</f>
        <v>3055</v>
      </c>
      <c r="K54" s="6" t="s">
        <v>2470</v>
      </c>
    </row>
    <row r="55" customFormat="false" ht="15" hidden="false" customHeight="false" outlineLevel="0" collapsed="false">
      <c r="A55" s="3" t="s">
        <v>234</v>
      </c>
      <c r="B55" s="3" t="s">
        <v>235</v>
      </c>
      <c r="C55" s="3" t="s">
        <v>169</v>
      </c>
      <c r="D55" s="3" t="s">
        <v>212</v>
      </c>
      <c r="E55" s="3" t="s">
        <v>236</v>
      </c>
      <c r="F55" s="3" t="s">
        <v>6</v>
      </c>
      <c r="G55" s="3" t="n">
        <v>120</v>
      </c>
      <c r="H55" s="3" t="n">
        <v>25</v>
      </c>
      <c r="I55" s="3" t="n">
        <v>100</v>
      </c>
      <c r="J55" s="4" t="n">
        <f aca="false">G55*75</f>
        <v>9000</v>
      </c>
      <c r="K55" s="3" t="s">
        <v>2470</v>
      </c>
    </row>
    <row r="56" customFormat="false" ht="15" hidden="false" customHeight="false" outlineLevel="0" collapsed="false">
      <c r="A56" s="6" t="s">
        <v>237</v>
      </c>
      <c r="B56" s="6" t="s">
        <v>238</v>
      </c>
      <c r="C56" s="6" t="s">
        <v>169</v>
      </c>
      <c r="D56" s="6" t="s">
        <v>212</v>
      </c>
      <c r="E56" s="6" t="s">
        <v>239</v>
      </c>
      <c r="F56" s="6" t="s">
        <v>6</v>
      </c>
      <c r="G56" s="6" t="n">
        <v>84</v>
      </c>
      <c r="H56" s="6" t="n">
        <v>30</v>
      </c>
      <c r="I56" s="6" t="n">
        <v>100</v>
      </c>
      <c r="J56" s="7" t="n">
        <f aca="false">G56*50</f>
        <v>4200</v>
      </c>
      <c r="K56" s="6" t="s">
        <v>2470</v>
      </c>
    </row>
    <row r="57" customFormat="false" ht="15" hidden="false" customHeight="false" outlineLevel="0" collapsed="false">
      <c r="A57" s="3" t="s">
        <v>240</v>
      </c>
      <c r="B57" s="3" t="s">
        <v>241</v>
      </c>
      <c r="C57" s="3" t="s">
        <v>169</v>
      </c>
      <c r="D57" s="3" t="s">
        <v>212</v>
      </c>
      <c r="E57" s="3" t="s">
        <v>242</v>
      </c>
      <c r="F57" s="3" t="s">
        <v>6</v>
      </c>
      <c r="G57" s="3" t="n">
        <v>131</v>
      </c>
      <c r="H57" s="3" t="n">
        <v>30</v>
      </c>
      <c r="I57" s="3" t="n">
        <v>100</v>
      </c>
      <c r="J57" s="4" t="n">
        <f aca="false">G57*70</f>
        <v>9170</v>
      </c>
      <c r="K57" s="3" t="s">
        <v>2470</v>
      </c>
    </row>
    <row r="58" customFormat="false" ht="15" hidden="false" customHeight="false" outlineLevel="0" collapsed="false">
      <c r="A58" s="6" t="s">
        <v>243</v>
      </c>
      <c r="B58" s="6" t="s">
        <v>244</v>
      </c>
      <c r="C58" s="6" t="s">
        <v>169</v>
      </c>
      <c r="D58" s="6" t="s">
        <v>212</v>
      </c>
      <c r="E58" s="6" t="s">
        <v>245</v>
      </c>
      <c r="F58" s="6" t="s">
        <v>6</v>
      </c>
      <c r="G58" s="6" t="n">
        <v>115</v>
      </c>
      <c r="H58" s="6" t="n">
        <v>25</v>
      </c>
      <c r="I58" s="6" t="n">
        <v>100</v>
      </c>
      <c r="J58" s="7" t="n">
        <f aca="false">G58*58</f>
        <v>6670</v>
      </c>
      <c r="K58" s="6" t="s">
        <v>2470</v>
      </c>
    </row>
    <row r="59" customFormat="false" ht="15" hidden="false" customHeight="false" outlineLevel="0" collapsed="false">
      <c r="A59" s="3" t="s">
        <v>246</v>
      </c>
      <c r="B59" s="3" t="s">
        <v>248</v>
      </c>
      <c r="C59" s="3" t="s">
        <v>169</v>
      </c>
      <c r="D59" s="3" t="s">
        <v>247</v>
      </c>
      <c r="E59" s="3" t="s">
        <v>249</v>
      </c>
      <c r="F59" s="3" t="s">
        <v>6</v>
      </c>
      <c r="G59" s="3" t="n">
        <v>85</v>
      </c>
      <c r="H59" s="3" t="n">
        <v>10</v>
      </c>
      <c r="I59" s="3" t="n">
        <v>40</v>
      </c>
      <c r="J59" s="4" t="n">
        <f aca="false">G59*1350</f>
        <v>114750</v>
      </c>
      <c r="K59" s="3" t="s">
        <v>2470</v>
      </c>
    </row>
    <row r="60" customFormat="false" ht="15" hidden="false" customHeight="false" outlineLevel="0" collapsed="false">
      <c r="A60" s="6" t="s">
        <v>252</v>
      </c>
      <c r="B60" s="6" t="s">
        <v>253</v>
      </c>
      <c r="C60" s="6" t="s">
        <v>169</v>
      </c>
      <c r="D60" s="6" t="s">
        <v>247</v>
      </c>
      <c r="E60" s="6" t="s">
        <v>254</v>
      </c>
      <c r="F60" s="6" t="s">
        <v>6</v>
      </c>
      <c r="G60" s="6" t="n">
        <v>133</v>
      </c>
      <c r="H60" s="6" t="n">
        <v>15</v>
      </c>
      <c r="I60" s="6" t="n">
        <v>60</v>
      </c>
      <c r="J60" s="7" t="n">
        <f aca="false">G60*580</f>
        <v>77140</v>
      </c>
      <c r="K60" s="6" t="s">
        <v>2470</v>
      </c>
    </row>
    <row r="61" customFormat="false" ht="15" hidden="false" customHeight="false" outlineLevel="0" collapsed="false">
      <c r="A61" s="3" t="s">
        <v>257</v>
      </c>
      <c r="B61" s="3" t="s">
        <v>258</v>
      </c>
      <c r="C61" s="3" t="s">
        <v>169</v>
      </c>
      <c r="D61" s="3" t="s">
        <v>247</v>
      </c>
      <c r="E61" s="3" t="s">
        <v>259</v>
      </c>
      <c r="F61" s="3" t="s">
        <v>6</v>
      </c>
      <c r="G61" s="3" t="n">
        <v>86</v>
      </c>
      <c r="H61" s="3" t="n">
        <v>15</v>
      </c>
      <c r="I61" s="3" t="n">
        <v>60</v>
      </c>
      <c r="J61" s="4" t="n">
        <f aca="false">G61*650</f>
        <v>55900</v>
      </c>
      <c r="K61" s="3" t="s">
        <v>2470</v>
      </c>
    </row>
    <row r="62" customFormat="false" ht="15" hidden="false" customHeight="false" outlineLevel="0" collapsed="false">
      <c r="A62" s="6" t="s">
        <v>262</v>
      </c>
      <c r="B62" s="6" t="s">
        <v>263</v>
      </c>
      <c r="C62" s="6" t="s">
        <v>169</v>
      </c>
      <c r="D62" s="6" t="s">
        <v>247</v>
      </c>
      <c r="E62" s="6" t="s">
        <v>264</v>
      </c>
      <c r="F62" s="6" t="s">
        <v>6</v>
      </c>
      <c r="G62" s="6" t="n">
        <v>17</v>
      </c>
      <c r="H62" s="6" t="n">
        <v>15</v>
      </c>
      <c r="I62" s="6" t="n">
        <v>60</v>
      </c>
      <c r="J62" s="7" t="n">
        <f aca="false">G62*350</f>
        <v>5950</v>
      </c>
      <c r="K62" s="6" t="s">
        <v>2470</v>
      </c>
    </row>
    <row r="63" customFormat="false" ht="15" hidden="false" customHeight="false" outlineLevel="0" collapsed="false">
      <c r="A63" s="3" t="s">
        <v>267</v>
      </c>
      <c r="B63" s="3" t="s">
        <v>268</v>
      </c>
      <c r="C63" s="3" t="s">
        <v>169</v>
      </c>
      <c r="D63" s="3" t="s">
        <v>247</v>
      </c>
      <c r="E63" s="3" t="s">
        <v>269</v>
      </c>
      <c r="F63" s="3" t="s">
        <v>6</v>
      </c>
      <c r="G63" s="3" t="n">
        <v>5</v>
      </c>
      <c r="H63" s="3" t="n">
        <v>10</v>
      </c>
      <c r="I63" s="3" t="n">
        <v>40</v>
      </c>
      <c r="J63" s="4" t="n">
        <f aca="false">G63*480</f>
        <v>2400</v>
      </c>
      <c r="K63" s="9" t="s">
        <v>2471</v>
      </c>
    </row>
    <row r="64" customFormat="false" ht="15" hidden="false" customHeight="false" outlineLevel="0" collapsed="false">
      <c r="A64" s="6" t="s">
        <v>271</v>
      </c>
      <c r="B64" s="6" t="s">
        <v>272</v>
      </c>
      <c r="C64" s="6" t="s">
        <v>169</v>
      </c>
      <c r="D64" s="6" t="s">
        <v>247</v>
      </c>
      <c r="E64" s="6" t="s">
        <v>273</v>
      </c>
      <c r="F64" s="6" t="s">
        <v>6</v>
      </c>
      <c r="G64" s="6" t="n">
        <v>26</v>
      </c>
      <c r="H64" s="6" t="n">
        <v>30</v>
      </c>
      <c r="I64" s="6" t="n">
        <v>120</v>
      </c>
      <c r="J64" s="7" t="n">
        <f aca="false">G64*120</f>
        <v>3120</v>
      </c>
      <c r="K64" s="9" t="s">
        <v>2471</v>
      </c>
    </row>
    <row r="65" customFormat="false" ht="15" hidden="false" customHeight="false" outlineLevel="0" collapsed="false">
      <c r="A65" s="3" t="s">
        <v>276</v>
      </c>
      <c r="B65" s="3" t="s">
        <v>277</v>
      </c>
      <c r="C65" s="3" t="s">
        <v>169</v>
      </c>
      <c r="D65" s="3" t="s">
        <v>247</v>
      </c>
      <c r="E65" s="3" t="s">
        <v>278</v>
      </c>
      <c r="F65" s="3" t="s">
        <v>6</v>
      </c>
      <c r="G65" s="3" t="n">
        <v>121</v>
      </c>
      <c r="H65" s="3" t="n">
        <v>30</v>
      </c>
      <c r="I65" s="3" t="n">
        <v>120</v>
      </c>
      <c r="J65" s="4" t="n">
        <f aca="false">G65*120</f>
        <v>14520</v>
      </c>
      <c r="K65" s="3" t="s">
        <v>2470</v>
      </c>
    </row>
    <row r="66" customFormat="false" ht="15" hidden="false" customHeight="false" outlineLevel="0" collapsed="false">
      <c r="A66" s="6" t="s">
        <v>281</v>
      </c>
      <c r="B66" s="6" t="s">
        <v>282</v>
      </c>
      <c r="C66" s="6" t="s">
        <v>169</v>
      </c>
      <c r="D66" s="6" t="s">
        <v>247</v>
      </c>
      <c r="E66" s="6" t="s">
        <v>283</v>
      </c>
      <c r="F66" s="6" t="s">
        <v>6</v>
      </c>
      <c r="G66" s="6" t="n">
        <v>124</v>
      </c>
      <c r="H66" s="6" t="n">
        <v>20</v>
      </c>
      <c r="I66" s="6" t="n">
        <v>80</v>
      </c>
      <c r="J66" s="7" t="n">
        <f aca="false">G66*150</f>
        <v>18600</v>
      </c>
      <c r="K66" s="6" t="s">
        <v>2470</v>
      </c>
    </row>
    <row r="67" customFormat="false" ht="15" hidden="false" customHeight="false" outlineLevel="0" collapsed="false">
      <c r="A67" s="3" t="s">
        <v>285</v>
      </c>
      <c r="B67" s="3" t="s">
        <v>286</v>
      </c>
      <c r="C67" s="3" t="s">
        <v>169</v>
      </c>
      <c r="D67" s="3" t="s">
        <v>247</v>
      </c>
      <c r="E67" s="3" t="s">
        <v>287</v>
      </c>
      <c r="F67" s="3" t="s">
        <v>6</v>
      </c>
      <c r="G67" s="3" t="n">
        <v>66</v>
      </c>
      <c r="H67" s="3" t="n">
        <v>40</v>
      </c>
      <c r="I67" s="3" t="n">
        <v>200</v>
      </c>
      <c r="J67" s="4" t="n">
        <f aca="false">G67*180</f>
        <v>11880</v>
      </c>
      <c r="K67" s="3" t="s">
        <v>2470</v>
      </c>
    </row>
    <row r="68" customFormat="false" ht="15" hidden="false" customHeight="false" outlineLevel="0" collapsed="false">
      <c r="A68" s="6" t="s">
        <v>290</v>
      </c>
      <c r="B68" s="6" t="s">
        <v>291</v>
      </c>
      <c r="C68" s="6" t="s">
        <v>169</v>
      </c>
      <c r="D68" s="6" t="s">
        <v>247</v>
      </c>
      <c r="E68" s="6" t="s">
        <v>292</v>
      </c>
      <c r="F68" s="6" t="s">
        <v>6</v>
      </c>
      <c r="G68" s="6" t="n">
        <v>122</v>
      </c>
      <c r="H68" s="6" t="n">
        <v>20</v>
      </c>
      <c r="I68" s="6" t="n">
        <v>80</v>
      </c>
      <c r="J68" s="7" t="n">
        <f aca="false">G68*250</f>
        <v>30500</v>
      </c>
      <c r="K68" s="6" t="s">
        <v>2470</v>
      </c>
    </row>
    <row r="69" customFormat="false" ht="15" hidden="false" customHeight="false" outlineLevel="0" collapsed="false">
      <c r="A69" s="3" t="s">
        <v>295</v>
      </c>
      <c r="B69" s="3" t="s">
        <v>297</v>
      </c>
      <c r="C69" s="3" t="s">
        <v>169</v>
      </c>
      <c r="D69" s="3" t="s">
        <v>296</v>
      </c>
      <c r="E69" s="3" t="s">
        <v>298</v>
      </c>
      <c r="F69" s="3" t="s">
        <v>6</v>
      </c>
      <c r="G69" s="3" t="n">
        <v>64</v>
      </c>
      <c r="H69" s="3" t="n">
        <v>40</v>
      </c>
      <c r="I69" s="3" t="n">
        <v>200</v>
      </c>
      <c r="J69" s="4" t="n">
        <f aca="false">G69*185</f>
        <v>11840</v>
      </c>
      <c r="K69" s="3" t="s">
        <v>2470</v>
      </c>
    </row>
    <row r="70" customFormat="false" ht="15" hidden="false" customHeight="false" outlineLevel="0" collapsed="false">
      <c r="A70" s="6" t="s">
        <v>299</v>
      </c>
      <c r="B70" s="6" t="s">
        <v>300</v>
      </c>
      <c r="C70" s="6" t="s">
        <v>169</v>
      </c>
      <c r="D70" s="6" t="s">
        <v>296</v>
      </c>
      <c r="E70" s="6" t="s">
        <v>301</v>
      </c>
      <c r="F70" s="6" t="s">
        <v>6</v>
      </c>
      <c r="G70" s="6" t="n">
        <v>148</v>
      </c>
      <c r="H70" s="6" t="n">
        <v>10</v>
      </c>
      <c r="I70" s="6" t="n">
        <v>40</v>
      </c>
      <c r="J70" s="7" t="n">
        <f aca="false">G70*1200</f>
        <v>177600</v>
      </c>
      <c r="K70" s="6" t="s">
        <v>2470</v>
      </c>
    </row>
    <row r="71" customFormat="false" ht="15" hidden="false" customHeight="false" outlineLevel="0" collapsed="false">
      <c r="A71" s="3" t="s">
        <v>302</v>
      </c>
      <c r="B71" s="3" t="s">
        <v>303</v>
      </c>
      <c r="C71" s="3" t="s">
        <v>169</v>
      </c>
      <c r="D71" s="3" t="s">
        <v>296</v>
      </c>
      <c r="E71" s="3" t="s">
        <v>304</v>
      </c>
      <c r="F71" s="3" t="s">
        <v>6</v>
      </c>
      <c r="G71" s="3" t="n">
        <v>65</v>
      </c>
      <c r="H71" s="3" t="n">
        <v>40</v>
      </c>
      <c r="I71" s="3" t="n">
        <v>200</v>
      </c>
      <c r="J71" s="4" t="n">
        <f aca="false">G71*180</f>
        <v>11700</v>
      </c>
      <c r="K71" s="3" t="s">
        <v>2470</v>
      </c>
    </row>
    <row r="72" customFormat="false" ht="15" hidden="false" customHeight="false" outlineLevel="0" collapsed="false">
      <c r="A72" s="6" t="s">
        <v>307</v>
      </c>
      <c r="B72" s="6" t="s">
        <v>308</v>
      </c>
      <c r="C72" s="6" t="s">
        <v>169</v>
      </c>
      <c r="D72" s="6" t="s">
        <v>296</v>
      </c>
      <c r="E72" s="6" t="s">
        <v>309</v>
      </c>
      <c r="F72" s="6" t="s">
        <v>6</v>
      </c>
      <c r="G72" s="6" t="n">
        <v>43</v>
      </c>
      <c r="H72" s="6" t="n">
        <v>20</v>
      </c>
      <c r="I72" s="6" t="n">
        <v>80</v>
      </c>
      <c r="J72" s="7" t="n">
        <f aca="false">G72*280</f>
        <v>12040</v>
      </c>
      <c r="K72" s="6" t="s">
        <v>2470</v>
      </c>
    </row>
    <row r="73" customFormat="false" ht="15" hidden="false" customHeight="false" outlineLevel="0" collapsed="false">
      <c r="A73" s="3" t="s">
        <v>312</v>
      </c>
      <c r="B73" s="3" t="s">
        <v>313</v>
      </c>
      <c r="C73" s="3" t="s">
        <v>169</v>
      </c>
      <c r="D73" s="3" t="s">
        <v>296</v>
      </c>
      <c r="E73" s="3" t="s">
        <v>314</v>
      </c>
      <c r="F73" s="3" t="s">
        <v>6</v>
      </c>
      <c r="G73" s="3" t="n">
        <v>47</v>
      </c>
      <c r="H73" s="3" t="n">
        <v>15</v>
      </c>
      <c r="I73" s="3" t="n">
        <v>60</v>
      </c>
      <c r="J73" s="4" t="n">
        <f aca="false">G73*350</f>
        <v>16450</v>
      </c>
      <c r="K73" s="3" t="s">
        <v>2470</v>
      </c>
    </row>
    <row r="74" customFormat="false" ht="15" hidden="false" customHeight="false" outlineLevel="0" collapsed="false">
      <c r="A74" s="6" t="s">
        <v>317</v>
      </c>
      <c r="B74" s="6" t="s">
        <v>318</v>
      </c>
      <c r="C74" s="6" t="s">
        <v>169</v>
      </c>
      <c r="D74" s="6" t="s">
        <v>296</v>
      </c>
      <c r="E74" s="6" t="s">
        <v>319</v>
      </c>
      <c r="F74" s="6" t="s">
        <v>6</v>
      </c>
      <c r="G74" s="6" t="n">
        <v>47</v>
      </c>
      <c r="H74" s="6" t="n">
        <v>15</v>
      </c>
      <c r="I74" s="6" t="n">
        <v>60</v>
      </c>
      <c r="J74" s="7" t="n">
        <f aca="false">G74*680</f>
        <v>31960</v>
      </c>
      <c r="K74" s="6" t="s">
        <v>2470</v>
      </c>
    </row>
    <row r="75" customFormat="false" ht="15" hidden="false" customHeight="false" outlineLevel="0" collapsed="false">
      <c r="A75" s="3" t="s">
        <v>322</v>
      </c>
      <c r="B75" s="3" t="s">
        <v>323</v>
      </c>
      <c r="C75" s="3" t="s">
        <v>169</v>
      </c>
      <c r="D75" s="3" t="s">
        <v>296</v>
      </c>
      <c r="E75" s="3" t="s">
        <v>324</v>
      </c>
      <c r="F75" s="3" t="s">
        <v>6</v>
      </c>
      <c r="G75" s="3" t="n">
        <v>131</v>
      </c>
      <c r="H75" s="3" t="n">
        <v>15</v>
      </c>
      <c r="I75" s="3" t="n">
        <v>60</v>
      </c>
      <c r="J75" s="4" t="n">
        <f aca="false">G75*750</f>
        <v>98250</v>
      </c>
      <c r="K75" s="3" t="s">
        <v>2470</v>
      </c>
    </row>
    <row r="76" customFormat="false" ht="15" hidden="false" customHeight="false" outlineLevel="0" collapsed="false">
      <c r="A76" s="6" t="s">
        <v>325</v>
      </c>
      <c r="B76" s="6" t="s">
        <v>326</v>
      </c>
      <c r="C76" s="6" t="s">
        <v>169</v>
      </c>
      <c r="D76" s="6" t="s">
        <v>296</v>
      </c>
      <c r="E76" s="6" t="s">
        <v>327</v>
      </c>
      <c r="F76" s="6" t="s">
        <v>6</v>
      </c>
      <c r="G76" s="6" t="n">
        <v>72</v>
      </c>
      <c r="H76" s="6" t="n">
        <v>20</v>
      </c>
      <c r="I76" s="6" t="n">
        <v>80</v>
      </c>
      <c r="J76" s="7" t="n">
        <f aca="false">G76*280</f>
        <v>20160</v>
      </c>
      <c r="K76" s="6" t="s">
        <v>2470</v>
      </c>
    </row>
    <row r="77" customFormat="false" ht="15" hidden="false" customHeight="false" outlineLevel="0" collapsed="false">
      <c r="A77" s="3" t="s">
        <v>329</v>
      </c>
      <c r="B77" s="3" t="s">
        <v>332</v>
      </c>
      <c r="C77" s="3" t="s">
        <v>330</v>
      </c>
      <c r="D77" s="3" t="s">
        <v>331</v>
      </c>
      <c r="E77" s="3" t="s">
        <v>333</v>
      </c>
      <c r="F77" s="3" t="s">
        <v>6</v>
      </c>
      <c r="G77" s="3" t="n">
        <v>107</v>
      </c>
      <c r="H77" s="3" t="n">
        <v>10</v>
      </c>
      <c r="I77" s="3" t="n">
        <v>30</v>
      </c>
      <c r="J77" s="4" t="n">
        <f aca="false">G77*1200</f>
        <v>128400</v>
      </c>
      <c r="K77" s="3" t="s">
        <v>2470</v>
      </c>
    </row>
    <row r="78" customFormat="false" ht="15" hidden="false" customHeight="false" outlineLevel="0" collapsed="false">
      <c r="A78" s="6" t="s">
        <v>335</v>
      </c>
      <c r="B78" s="6" t="s">
        <v>336</v>
      </c>
      <c r="C78" s="6" t="s">
        <v>330</v>
      </c>
      <c r="D78" s="6" t="s">
        <v>331</v>
      </c>
      <c r="E78" s="6" t="s">
        <v>337</v>
      </c>
      <c r="F78" s="6" t="s">
        <v>6</v>
      </c>
      <c r="G78" s="6" t="n">
        <v>57</v>
      </c>
      <c r="H78" s="6" t="n">
        <v>10</v>
      </c>
      <c r="I78" s="6" t="n">
        <v>30</v>
      </c>
      <c r="J78" s="7" t="n">
        <f aca="false">G78*1500</f>
        <v>85500</v>
      </c>
      <c r="K78" s="6" t="s">
        <v>2470</v>
      </c>
    </row>
    <row r="79" customFormat="false" ht="15" hidden="false" customHeight="false" outlineLevel="0" collapsed="false">
      <c r="A79" s="3" t="s">
        <v>339</v>
      </c>
      <c r="B79" s="3" t="s">
        <v>340</v>
      </c>
      <c r="C79" s="3" t="s">
        <v>330</v>
      </c>
      <c r="D79" s="3" t="s">
        <v>331</v>
      </c>
      <c r="E79" s="3" t="s">
        <v>341</v>
      </c>
      <c r="F79" s="3" t="s">
        <v>6</v>
      </c>
      <c r="G79" s="3" t="n">
        <v>54</v>
      </c>
      <c r="H79" s="3" t="n">
        <v>10</v>
      </c>
      <c r="I79" s="3" t="n">
        <v>30</v>
      </c>
      <c r="J79" s="4" t="n">
        <f aca="false">G79*2500</f>
        <v>135000</v>
      </c>
      <c r="K79" s="3" t="s">
        <v>2470</v>
      </c>
    </row>
    <row r="80" customFormat="false" ht="15" hidden="false" customHeight="false" outlineLevel="0" collapsed="false">
      <c r="A80" s="6" t="s">
        <v>343</v>
      </c>
      <c r="B80" s="6" t="s">
        <v>344</v>
      </c>
      <c r="C80" s="6" t="s">
        <v>330</v>
      </c>
      <c r="D80" s="6" t="s">
        <v>331</v>
      </c>
      <c r="E80" s="6" t="s">
        <v>345</v>
      </c>
      <c r="F80" s="6" t="s">
        <v>6</v>
      </c>
      <c r="G80" s="6" t="n">
        <v>122</v>
      </c>
      <c r="H80" s="6" t="n">
        <v>10</v>
      </c>
      <c r="I80" s="6" t="n">
        <v>30</v>
      </c>
      <c r="J80" s="7" t="n">
        <f aca="false">G80*1800</f>
        <v>219600</v>
      </c>
      <c r="K80" s="6" t="s">
        <v>2470</v>
      </c>
    </row>
    <row r="81" customFormat="false" ht="15" hidden="false" customHeight="false" outlineLevel="0" collapsed="false">
      <c r="A81" s="3" t="s">
        <v>348</v>
      </c>
      <c r="B81" s="3" t="s">
        <v>349</v>
      </c>
      <c r="C81" s="3" t="s">
        <v>330</v>
      </c>
      <c r="D81" s="3" t="s">
        <v>331</v>
      </c>
      <c r="E81" s="3" t="s">
        <v>350</v>
      </c>
      <c r="F81" s="3" t="s">
        <v>6</v>
      </c>
      <c r="G81" s="3" t="n">
        <v>94</v>
      </c>
      <c r="H81" s="3" t="n">
        <v>5</v>
      </c>
      <c r="I81" s="3" t="n">
        <v>20</v>
      </c>
      <c r="J81" s="4" t="n">
        <f aca="false">G81*2200</f>
        <v>206800</v>
      </c>
      <c r="K81" s="3" t="s">
        <v>2470</v>
      </c>
    </row>
    <row r="82" customFormat="false" ht="15" hidden="false" customHeight="false" outlineLevel="0" collapsed="false">
      <c r="A82" s="6" t="s">
        <v>353</v>
      </c>
      <c r="B82" s="6" t="s">
        <v>354</v>
      </c>
      <c r="C82" s="6" t="s">
        <v>330</v>
      </c>
      <c r="D82" s="6" t="s">
        <v>331</v>
      </c>
      <c r="E82" s="6" t="s">
        <v>355</v>
      </c>
      <c r="F82" s="6" t="s">
        <v>6</v>
      </c>
      <c r="G82" s="6" t="n">
        <v>110</v>
      </c>
      <c r="H82" s="6" t="n">
        <v>10</v>
      </c>
      <c r="I82" s="6" t="n">
        <v>30</v>
      </c>
      <c r="J82" s="7" t="n">
        <f aca="false">G82*1400</f>
        <v>154000</v>
      </c>
      <c r="K82" s="6" t="s">
        <v>2470</v>
      </c>
    </row>
    <row r="83" customFormat="false" ht="15" hidden="false" customHeight="false" outlineLevel="0" collapsed="false">
      <c r="A83" s="3" t="s">
        <v>357</v>
      </c>
      <c r="B83" s="3" t="s">
        <v>358</v>
      </c>
      <c r="C83" s="3" t="s">
        <v>330</v>
      </c>
      <c r="D83" s="3" t="s">
        <v>331</v>
      </c>
      <c r="E83" s="3" t="s">
        <v>359</v>
      </c>
      <c r="F83" s="3" t="s">
        <v>6</v>
      </c>
      <c r="G83" s="3" t="n">
        <v>76</v>
      </c>
      <c r="H83" s="3" t="n">
        <v>10</v>
      </c>
      <c r="I83" s="3" t="n">
        <v>30</v>
      </c>
      <c r="J83" s="4" t="n">
        <f aca="false">G83*1400</f>
        <v>106400</v>
      </c>
      <c r="K83" s="3" t="s">
        <v>2470</v>
      </c>
    </row>
    <row r="84" customFormat="false" ht="15" hidden="false" customHeight="false" outlineLevel="0" collapsed="false">
      <c r="A84" s="6" t="s">
        <v>360</v>
      </c>
      <c r="B84" s="6" t="s">
        <v>361</v>
      </c>
      <c r="C84" s="6" t="s">
        <v>330</v>
      </c>
      <c r="D84" s="6" t="s">
        <v>331</v>
      </c>
      <c r="E84" s="6" t="s">
        <v>362</v>
      </c>
      <c r="F84" s="6" t="s">
        <v>6</v>
      </c>
      <c r="G84" s="6" t="n">
        <v>130</v>
      </c>
      <c r="H84" s="6" t="n">
        <v>10</v>
      </c>
      <c r="I84" s="6" t="n">
        <v>30</v>
      </c>
      <c r="J84" s="7" t="n">
        <f aca="false">G84*1600</f>
        <v>208000</v>
      </c>
      <c r="K84" s="6" t="s">
        <v>2470</v>
      </c>
    </row>
    <row r="85" customFormat="false" ht="15" hidden="false" customHeight="false" outlineLevel="0" collapsed="false">
      <c r="A85" s="3" t="s">
        <v>364</v>
      </c>
      <c r="B85" s="3" t="s">
        <v>365</v>
      </c>
      <c r="C85" s="3" t="s">
        <v>330</v>
      </c>
      <c r="D85" s="3" t="s">
        <v>331</v>
      </c>
      <c r="E85" s="3" t="s">
        <v>366</v>
      </c>
      <c r="F85" s="3" t="s">
        <v>6</v>
      </c>
      <c r="G85" s="3" t="n">
        <v>97</v>
      </c>
      <c r="H85" s="3" t="n">
        <v>15</v>
      </c>
      <c r="I85" s="3" t="n">
        <v>40</v>
      </c>
      <c r="J85" s="4" t="n">
        <f aca="false">G85*650</f>
        <v>63050</v>
      </c>
      <c r="K85" s="3" t="s">
        <v>2470</v>
      </c>
    </row>
    <row r="86" customFormat="false" ht="15" hidden="false" customHeight="false" outlineLevel="0" collapsed="false">
      <c r="A86" s="6" t="s">
        <v>368</v>
      </c>
      <c r="B86" s="6" t="s">
        <v>369</v>
      </c>
      <c r="C86" s="6" t="s">
        <v>330</v>
      </c>
      <c r="D86" s="6" t="s">
        <v>331</v>
      </c>
      <c r="E86" s="6" t="s">
        <v>370</v>
      </c>
      <c r="F86" s="6" t="s">
        <v>6</v>
      </c>
      <c r="G86" s="6" t="n">
        <v>97</v>
      </c>
      <c r="H86" s="6" t="n">
        <v>15</v>
      </c>
      <c r="I86" s="6" t="n">
        <v>40</v>
      </c>
      <c r="J86" s="7" t="n">
        <f aca="false">G86*700</f>
        <v>67900</v>
      </c>
      <c r="K86" s="6" t="s">
        <v>2470</v>
      </c>
    </row>
    <row r="87" customFormat="false" ht="15" hidden="false" customHeight="false" outlineLevel="0" collapsed="false">
      <c r="A87" s="3" t="s">
        <v>371</v>
      </c>
      <c r="B87" s="3" t="s">
        <v>373</v>
      </c>
      <c r="C87" s="3" t="s">
        <v>330</v>
      </c>
      <c r="D87" s="3" t="s">
        <v>372</v>
      </c>
      <c r="E87" s="3" t="s">
        <v>374</v>
      </c>
      <c r="F87" s="3" t="s">
        <v>6</v>
      </c>
      <c r="G87" s="3" t="n">
        <v>77</v>
      </c>
      <c r="H87" s="3" t="n">
        <v>10</v>
      </c>
      <c r="I87" s="3" t="n">
        <v>25</v>
      </c>
      <c r="J87" s="4" t="n">
        <f aca="false">G87*1800</f>
        <v>138600</v>
      </c>
      <c r="K87" s="3" t="s">
        <v>2470</v>
      </c>
    </row>
    <row r="88" customFormat="false" ht="15" hidden="false" customHeight="false" outlineLevel="0" collapsed="false">
      <c r="A88" s="6" t="s">
        <v>375</v>
      </c>
      <c r="B88" s="6" t="s">
        <v>376</v>
      </c>
      <c r="C88" s="6" t="s">
        <v>330</v>
      </c>
      <c r="D88" s="6" t="s">
        <v>372</v>
      </c>
      <c r="E88" s="6" t="s">
        <v>377</v>
      </c>
      <c r="F88" s="6" t="s">
        <v>6</v>
      </c>
      <c r="G88" s="6" t="n">
        <v>120</v>
      </c>
      <c r="H88" s="6" t="n">
        <v>5</v>
      </c>
      <c r="I88" s="6" t="n">
        <v>15</v>
      </c>
      <c r="J88" s="7" t="n">
        <f aca="false">G88*4500</f>
        <v>540000</v>
      </c>
      <c r="K88" s="6" t="s">
        <v>2470</v>
      </c>
    </row>
    <row r="89" customFormat="false" ht="15" hidden="false" customHeight="false" outlineLevel="0" collapsed="false">
      <c r="A89" s="3" t="s">
        <v>378</v>
      </c>
      <c r="B89" s="3" t="s">
        <v>379</v>
      </c>
      <c r="C89" s="3" t="s">
        <v>330</v>
      </c>
      <c r="D89" s="3" t="s">
        <v>372</v>
      </c>
      <c r="E89" s="3" t="s">
        <v>380</v>
      </c>
      <c r="F89" s="3" t="s">
        <v>6</v>
      </c>
      <c r="G89" s="3" t="n">
        <v>95</v>
      </c>
      <c r="H89" s="3" t="n">
        <v>8</v>
      </c>
      <c r="I89" s="3" t="n">
        <v>20</v>
      </c>
      <c r="J89" s="4" t="n">
        <f aca="false">G89*2200</f>
        <v>209000</v>
      </c>
      <c r="K89" s="3" t="s">
        <v>2470</v>
      </c>
    </row>
    <row r="90" customFormat="false" ht="15" hidden="false" customHeight="false" outlineLevel="0" collapsed="false">
      <c r="A90" s="6" t="s">
        <v>381</v>
      </c>
      <c r="B90" s="6" t="s">
        <v>382</v>
      </c>
      <c r="C90" s="6" t="s">
        <v>330</v>
      </c>
      <c r="D90" s="6" t="s">
        <v>372</v>
      </c>
      <c r="E90" s="6" t="s">
        <v>383</v>
      </c>
      <c r="F90" s="6" t="s">
        <v>6</v>
      </c>
      <c r="G90" s="6" t="n">
        <v>79</v>
      </c>
      <c r="H90" s="6" t="n">
        <v>8</v>
      </c>
      <c r="I90" s="6" t="n">
        <v>20</v>
      </c>
      <c r="J90" s="7" t="n">
        <f aca="false">G90*3200</f>
        <v>252800</v>
      </c>
      <c r="K90" s="6" t="s">
        <v>2470</v>
      </c>
    </row>
    <row r="91" customFormat="false" ht="15" hidden="false" customHeight="false" outlineLevel="0" collapsed="false">
      <c r="A91" s="3" t="s">
        <v>385</v>
      </c>
      <c r="B91" s="3" t="s">
        <v>386</v>
      </c>
      <c r="C91" s="3" t="s">
        <v>330</v>
      </c>
      <c r="D91" s="3" t="s">
        <v>372</v>
      </c>
      <c r="E91" s="3" t="s">
        <v>387</v>
      </c>
      <c r="F91" s="3" t="s">
        <v>6</v>
      </c>
      <c r="G91" s="3" t="n">
        <v>132</v>
      </c>
      <c r="H91" s="3" t="n">
        <v>8</v>
      </c>
      <c r="I91" s="3" t="n">
        <v>20</v>
      </c>
      <c r="J91" s="4" t="n">
        <f aca="false">G91*2800</f>
        <v>369600</v>
      </c>
      <c r="K91" s="3" t="s">
        <v>2470</v>
      </c>
    </row>
    <row r="92" customFormat="false" ht="15" hidden="false" customHeight="false" outlineLevel="0" collapsed="false">
      <c r="A92" s="6" t="s">
        <v>390</v>
      </c>
      <c r="B92" s="6" t="s">
        <v>391</v>
      </c>
      <c r="C92" s="6" t="s">
        <v>330</v>
      </c>
      <c r="D92" s="6" t="s">
        <v>372</v>
      </c>
      <c r="E92" s="6" t="s">
        <v>392</v>
      </c>
      <c r="F92" s="6" t="s">
        <v>6</v>
      </c>
      <c r="G92" s="6" t="n">
        <v>35</v>
      </c>
      <c r="H92" s="6" t="n">
        <v>10</v>
      </c>
      <c r="I92" s="6" t="n">
        <v>25</v>
      </c>
      <c r="J92" s="7" t="n">
        <f aca="false">G92*1500</f>
        <v>52500</v>
      </c>
      <c r="K92" s="6" t="s">
        <v>2470</v>
      </c>
    </row>
    <row r="93" customFormat="false" ht="15" hidden="false" customHeight="false" outlineLevel="0" collapsed="false">
      <c r="A93" s="3" t="s">
        <v>394</v>
      </c>
      <c r="B93" s="3" t="s">
        <v>395</v>
      </c>
      <c r="C93" s="3" t="s">
        <v>330</v>
      </c>
      <c r="D93" s="3" t="s">
        <v>372</v>
      </c>
      <c r="E93" s="3" t="s">
        <v>396</v>
      </c>
      <c r="F93" s="3" t="s">
        <v>6</v>
      </c>
      <c r="G93" s="3" t="n">
        <v>40</v>
      </c>
      <c r="H93" s="3" t="n">
        <v>15</v>
      </c>
      <c r="I93" s="3" t="n">
        <v>40</v>
      </c>
      <c r="J93" s="4" t="n">
        <f aca="false">G93*800</f>
        <v>32000</v>
      </c>
      <c r="K93" s="3" t="s">
        <v>2470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s">
        <v>330</v>
      </c>
      <c r="D94" s="6" t="s">
        <v>372</v>
      </c>
      <c r="E94" s="6" t="s">
        <v>400</v>
      </c>
      <c r="F94" s="6" t="s">
        <v>6</v>
      </c>
      <c r="G94" s="6" t="n">
        <v>75</v>
      </c>
      <c r="H94" s="6" t="n">
        <v>10</v>
      </c>
      <c r="I94" s="6" t="n">
        <v>25</v>
      </c>
      <c r="J94" s="7" t="n">
        <f aca="false">G94*1500</f>
        <v>112500</v>
      </c>
      <c r="K94" s="6" t="s">
        <v>2470</v>
      </c>
    </row>
    <row r="95" customFormat="false" ht="15" hidden="false" customHeight="false" outlineLevel="0" collapsed="false">
      <c r="A95" s="3" t="s">
        <v>401</v>
      </c>
      <c r="B95" s="3" t="s">
        <v>402</v>
      </c>
      <c r="C95" s="3" t="s">
        <v>330</v>
      </c>
      <c r="D95" s="3" t="s">
        <v>372</v>
      </c>
      <c r="E95" s="3" t="s">
        <v>403</v>
      </c>
      <c r="F95" s="3" t="s">
        <v>6</v>
      </c>
      <c r="G95" s="3" t="n">
        <v>135</v>
      </c>
      <c r="H95" s="3" t="n">
        <v>8</v>
      </c>
      <c r="I95" s="3" t="n">
        <v>20</v>
      </c>
      <c r="J95" s="4" t="n">
        <f aca="false">G95*1800</f>
        <v>243000</v>
      </c>
      <c r="K95" s="3" t="s">
        <v>2470</v>
      </c>
    </row>
    <row r="96" customFormat="false" ht="15" hidden="false" customHeight="false" outlineLevel="0" collapsed="false">
      <c r="A96" s="6" t="s">
        <v>405</v>
      </c>
      <c r="B96" s="6" t="s">
        <v>406</v>
      </c>
      <c r="C96" s="6" t="s">
        <v>330</v>
      </c>
      <c r="D96" s="6" t="s">
        <v>372</v>
      </c>
      <c r="E96" s="6" t="s">
        <v>407</v>
      </c>
      <c r="F96" s="6" t="s">
        <v>6</v>
      </c>
      <c r="G96" s="6" t="n">
        <v>82</v>
      </c>
      <c r="H96" s="6" t="n">
        <v>20</v>
      </c>
      <c r="I96" s="6" t="n">
        <v>60</v>
      </c>
      <c r="J96" s="7" t="n">
        <f aca="false">G96*500</f>
        <v>41000</v>
      </c>
      <c r="K96" s="6" t="s">
        <v>2470</v>
      </c>
    </row>
    <row r="97" customFormat="false" ht="15" hidden="false" customHeight="false" outlineLevel="0" collapsed="false">
      <c r="A97" s="3" t="s">
        <v>408</v>
      </c>
      <c r="B97" s="3" t="s">
        <v>410</v>
      </c>
      <c r="C97" s="3" t="s">
        <v>330</v>
      </c>
      <c r="D97" s="3" t="s">
        <v>409</v>
      </c>
      <c r="E97" s="3" t="s">
        <v>411</v>
      </c>
      <c r="F97" s="3" t="s">
        <v>6</v>
      </c>
      <c r="G97" s="3" t="n">
        <v>5</v>
      </c>
      <c r="H97" s="3" t="n">
        <v>5</v>
      </c>
      <c r="I97" s="3" t="n">
        <v>15</v>
      </c>
      <c r="J97" s="4" t="n">
        <f aca="false">G97*3500</f>
        <v>17500</v>
      </c>
      <c r="K97" s="3" t="s">
        <v>2470</v>
      </c>
    </row>
    <row r="98" customFormat="false" ht="15" hidden="false" customHeight="false" outlineLevel="0" collapsed="false">
      <c r="A98" s="6" t="s">
        <v>414</v>
      </c>
      <c r="B98" s="6" t="s">
        <v>415</v>
      </c>
      <c r="C98" s="6" t="s">
        <v>330</v>
      </c>
      <c r="D98" s="6" t="s">
        <v>409</v>
      </c>
      <c r="E98" s="6" t="s">
        <v>416</v>
      </c>
      <c r="F98" s="6" t="s">
        <v>6</v>
      </c>
      <c r="G98" s="6" t="n">
        <v>48</v>
      </c>
      <c r="H98" s="6" t="n">
        <v>5</v>
      </c>
      <c r="I98" s="6" t="n">
        <v>15</v>
      </c>
      <c r="J98" s="7" t="n">
        <f aca="false">G98*2800</f>
        <v>134400</v>
      </c>
      <c r="K98" s="6" t="s">
        <v>2470</v>
      </c>
    </row>
    <row r="99" customFormat="false" ht="15" hidden="false" customHeight="false" outlineLevel="0" collapsed="false">
      <c r="A99" s="3" t="s">
        <v>417</v>
      </c>
      <c r="B99" s="3" t="s">
        <v>418</v>
      </c>
      <c r="C99" s="3" t="s">
        <v>330</v>
      </c>
      <c r="D99" s="3" t="s">
        <v>409</v>
      </c>
      <c r="E99" s="3" t="s">
        <v>419</v>
      </c>
      <c r="F99" s="3" t="s">
        <v>6</v>
      </c>
      <c r="G99" s="3" t="n">
        <v>30</v>
      </c>
      <c r="H99" s="3" t="n">
        <v>10</v>
      </c>
      <c r="I99" s="3" t="n">
        <v>20</v>
      </c>
      <c r="J99" s="4" t="n">
        <f aca="false">G99*1200</f>
        <v>36000</v>
      </c>
      <c r="K99" s="3" t="s">
        <v>2470</v>
      </c>
    </row>
    <row r="100" customFormat="false" ht="15" hidden="false" customHeight="false" outlineLevel="0" collapsed="false">
      <c r="A100" s="6" t="s">
        <v>421</v>
      </c>
      <c r="B100" s="6" t="s">
        <v>422</v>
      </c>
      <c r="C100" s="6" t="s">
        <v>330</v>
      </c>
      <c r="D100" s="6" t="s">
        <v>409</v>
      </c>
      <c r="E100" s="6" t="s">
        <v>423</v>
      </c>
      <c r="F100" s="6" t="s">
        <v>6</v>
      </c>
      <c r="G100" s="6" t="n">
        <v>85</v>
      </c>
      <c r="H100" s="6" t="n">
        <v>8</v>
      </c>
      <c r="I100" s="6" t="n">
        <v>20</v>
      </c>
      <c r="J100" s="7" t="n">
        <f aca="false">G100*1500</f>
        <v>127500</v>
      </c>
      <c r="K100" s="6" t="s">
        <v>2470</v>
      </c>
    </row>
    <row r="101" customFormat="false" ht="15" hidden="false" customHeight="false" outlineLevel="0" collapsed="false">
      <c r="A101" s="3" t="s">
        <v>424</v>
      </c>
      <c r="B101" s="3" t="s">
        <v>425</v>
      </c>
      <c r="C101" s="3" t="s">
        <v>330</v>
      </c>
      <c r="D101" s="3" t="s">
        <v>409</v>
      </c>
      <c r="E101" s="3" t="s">
        <v>426</v>
      </c>
      <c r="F101" s="3" t="s">
        <v>6</v>
      </c>
      <c r="G101" s="3" t="n">
        <v>143</v>
      </c>
      <c r="H101" s="3" t="n">
        <v>5</v>
      </c>
      <c r="I101" s="3" t="n">
        <v>10</v>
      </c>
      <c r="J101" s="4" t="n">
        <f aca="false">G101*3800</f>
        <v>543400</v>
      </c>
      <c r="K101" s="3" t="s">
        <v>2470</v>
      </c>
    </row>
    <row r="102" customFormat="false" ht="15" hidden="false" customHeight="false" outlineLevel="0" collapsed="false">
      <c r="A102" s="6" t="s">
        <v>429</v>
      </c>
      <c r="B102" s="6" t="s">
        <v>430</v>
      </c>
      <c r="C102" s="6" t="s">
        <v>330</v>
      </c>
      <c r="D102" s="6" t="s">
        <v>409</v>
      </c>
      <c r="E102" s="6" t="s">
        <v>431</v>
      </c>
      <c r="F102" s="6" t="s">
        <v>6</v>
      </c>
      <c r="G102" s="6" t="n">
        <v>8</v>
      </c>
      <c r="H102" s="6" t="n">
        <v>5</v>
      </c>
      <c r="I102" s="6" t="n">
        <v>15</v>
      </c>
      <c r="J102" s="7" t="n">
        <f aca="false">G102*2200</f>
        <v>17600</v>
      </c>
      <c r="K102" s="6" t="s">
        <v>2470</v>
      </c>
    </row>
    <row r="103" customFormat="false" ht="15" hidden="false" customHeight="false" outlineLevel="0" collapsed="false">
      <c r="A103" s="3" t="s">
        <v>433</v>
      </c>
      <c r="B103" s="3" t="s">
        <v>434</v>
      </c>
      <c r="C103" s="3" t="s">
        <v>330</v>
      </c>
      <c r="D103" s="3" t="s">
        <v>409</v>
      </c>
      <c r="E103" s="3" t="s">
        <v>435</v>
      </c>
      <c r="F103" s="3" t="s">
        <v>6</v>
      </c>
      <c r="G103" s="3" t="n">
        <v>148</v>
      </c>
      <c r="H103" s="3" t="n">
        <v>8</v>
      </c>
      <c r="I103" s="3" t="n">
        <v>20</v>
      </c>
      <c r="J103" s="4" t="n">
        <f aca="false">G103*1800</f>
        <v>266400</v>
      </c>
      <c r="K103" s="3" t="s">
        <v>2470</v>
      </c>
    </row>
    <row r="104" customFormat="false" ht="15" hidden="false" customHeight="false" outlineLevel="0" collapsed="false">
      <c r="A104" s="6" t="s">
        <v>438</v>
      </c>
      <c r="B104" s="6" t="s">
        <v>439</v>
      </c>
      <c r="C104" s="6" t="s">
        <v>330</v>
      </c>
      <c r="D104" s="6" t="s">
        <v>409</v>
      </c>
      <c r="E104" s="6" t="s">
        <v>440</v>
      </c>
      <c r="F104" s="6" t="s">
        <v>6</v>
      </c>
      <c r="G104" s="6" t="n">
        <v>141</v>
      </c>
      <c r="H104" s="6" t="n">
        <v>5</v>
      </c>
      <c r="I104" s="6" t="n">
        <v>10</v>
      </c>
      <c r="J104" s="7" t="n">
        <f aca="false">G104*4200</f>
        <v>592200</v>
      </c>
      <c r="K104" s="6" t="s">
        <v>2470</v>
      </c>
    </row>
    <row r="105" customFormat="false" ht="15" hidden="false" customHeight="false" outlineLevel="0" collapsed="false">
      <c r="A105" s="3" t="s">
        <v>442</v>
      </c>
      <c r="B105" s="3" t="s">
        <v>444</v>
      </c>
      <c r="C105" s="3" t="s">
        <v>330</v>
      </c>
      <c r="D105" s="3" t="s">
        <v>443</v>
      </c>
      <c r="E105" s="3" t="s">
        <v>445</v>
      </c>
      <c r="F105" s="3" t="s">
        <v>6</v>
      </c>
      <c r="G105" s="3" t="n">
        <v>64</v>
      </c>
      <c r="H105" s="3" t="n">
        <v>20</v>
      </c>
      <c r="I105" s="3" t="n">
        <v>100</v>
      </c>
      <c r="J105" s="4" t="n">
        <f aca="false">G105*250</f>
        <v>16000</v>
      </c>
      <c r="K105" s="3" t="s">
        <v>2470</v>
      </c>
    </row>
    <row r="106" customFormat="false" ht="15" hidden="false" customHeight="false" outlineLevel="0" collapsed="false">
      <c r="A106" s="6" t="s">
        <v>446</v>
      </c>
      <c r="B106" s="6" t="s">
        <v>447</v>
      </c>
      <c r="C106" s="6" t="s">
        <v>330</v>
      </c>
      <c r="D106" s="6" t="s">
        <v>443</v>
      </c>
      <c r="E106" s="6" t="s">
        <v>448</v>
      </c>
      <c r="F106" s="6" t="s">
        <v>6</v>
      </c>
      <c r="G106" s="6" t="n">
        <v>100</v>
      </c>
      <c r="H106" s="6" t="n">
        <v>20</v>
      </c>
      <c r="I106" s="6" t="n">
        <v>100</v>
      </c>
      <c r="J106" s="7" t="n">
        <f aca="false">G106*350</f>
        <v>35000</v>
      </c>
      <c r="K106" s="6" t="s">
        <v>2470</v>
      </c>
    </row>
    <row r="107" customFormat="false" ht="15" hidden="false" customHeight="false" outlineLevel="0" collapsed="false">
      <c r="A107" s="3" t="s">
        <v>449</v>
      </c>
      <c r="B107" s="3" t="s">
        <v>450</v>
      </c>
      <c r="C107" s="3" t="s">
        <v>330</v>
      </c>
      <c r="D107" s="3" t="s">
        <v>443</v>
      </c>
      <c r="E107" s="3" t="s">
        <v>451</v>
      </c>
      <c r="F107" s="3" t="s">
        <v>6</v>
      </c>
      <c r="G107" s="3" t="n">
        <v>136</v>
      </c>
      <c r="H107" s="3" t="n">
        <v>20</v>
      </c>
      <c r="I107" s="3" t="n">
        <v>100</v>
      </c>
      <c r="J107" s="4" t="n">
        <f aca="false">G107*200</f>
        <v>27200</v>
      </c>
      <c r="K107" s="3" t="s">
        <v>2470</v>
      </c>
    </row>
    <row r="108" customFormat="false" ht="15" hidden="false" customHeight="false" outlineLevel="0" collapsed="false">
      <c r="A108" s="6" t="s">
        <v>452</v>
      </c>
      <c r="B108" s="6" t="s">
        <v>453</v>
      </c>
      <c r="C108" s="6" t="s">
        <v>330</v>
      </c>
      <c r="D108" s="6" t="s">
        <v>443</v>
      </c>
      <c r="E108" s="6" t="s">
        <v>454</v>
      </c>
      <c r="F108" s="6" t="s">
        <v>6</v>
      </c>
      <c r="G108" s="6" t="n">
        <v>9</v>
      </c>
      <c r="H108" s="6" t="n">
        <v>10</v>
      </c>
      <c r="I108" s="6" t="n">
        <v>40</v>
      </c>
      <c r="J108" s="7" t="n">
        <f aca="false">G108*700</f>
        <v>6300</v>
      </c>
      <c r="K108" s="9" t="s">
        <v>2471</v>
      </c>
    </row>
    <row r="109" customFormat="false" ht="15" hidden="false" customHeight="false" outlineLevel="0" collapsed="false">
      <c r="A109" s="3" t="s">
        <v>455</v>
      </c>
      <c r="B109" s="3" t="s">
        <v>456</v>
      </c>
      <c r="C109" s="3" t="s">
        <v>330</v>
      </c>
      <c r="D109" s="3" t="s">
        <v>443</v>
      </c>
      <c r="E109" s="3" t="s">
        <v>457</v>
      </c>
      <c r="F109" s="3" t="s">
        <v>6</v>
      </c>
      <c r="G109" s="3" t="n">
        <v>113</v>
      </c>
      <c r="H109" s="3" t="n">
        <v>5</v>
      </c>
      <c r="I109" s="3" t="n">
        <v>15</v>
      </c>
      <c r="J109" s="4" t="n">
        <f aca="false">G109*1200</f>
        <v>135600</v>
      </c>
      <c r="K109" s="3" t="s">
        <v>2470</v>
      </c>
    </row>
    <row r="110" customFormat="false" ht="15" hidden="false" customHeight="false" outlineLevel="0" collapsed="false">
      <c r="A110" s="6" t="s">
        <v>459</v>
      </c>
      <c r="B110" s="6" t="s">
        <v>460</v>
      </c>
      <c r="C110" s="6" t="s">
        <v>330</v>
      </c>
      <c r="D110" s="6" t="s">
        <v>443</v>
      </c>
      <c r="E110" s="6" t="s">
        <v>461</v>
      </c>
      <c r="F110" s="6" t="s">
        <v>6</v>
      </c>
      <c r="G110" s="6" t="n">
        <v>1</v>
      </c>
      <c r="H110" s="6" t="n">
        <v>10</v>
      </c>
      <c r="I110" s="6" t="n">
        <v>30</v>
      </c>
      <c r="J110" s="7" t="n">
        <f aca="false">G110*600</f>
        <v>600</v>
      </c>
      <c r="K110" s="9" t="s">
        <v>2471</v>
      </c>
    </row>
    <row r="111" customFormat="false" ht="15" hidden="false" customHeight="false" outlineLevel="0" collapsed="false">
      <c r="A111" s="3" t="s">
        <v>462</v>
      </c>
      <c r="B111" s="3" t="s">
        <v>463</v>
      </c>
      <c r="C111" s="3" t="s">
        <v>330</v>
      </c>
      <c r="D111" s="3" t="s">
        <v>443</v>
      </c>
      <c r="E111" s="3" t="s">
        <v>464</v>
      </c>
      <c r="F111" s="3" t="s">
        <v>6</v>
      </c>
      <c r="G111" s="3" t="n">
        <v>36</v>
      </c>
      <c r="H111" s="3" t="n">
        <v>20</v>
      </c>
      <c r="I111" s="3" t="n">
        <v>60</v>
      </c>
      <c r="J111" s="4" t="n">
        <f aca="false">G111*400</f>
        <v>14400</v>
      </c>
      <c r="K111" s="3" t="s">
        <v>2470</v>
      </c>
    </row>
    <row r="112" customFormat="false" ht="15" hidden="false" customHeight="false" outlineLevel="0" collapsed="false">
      <c r="A112" s="6" t="s">
        <v>465</v>
      </c>
      <c r="B112" s="6" t="s">
        <v>466</v>
      </c>
      <c r="C112" s="6" t="s">
        <v>330</v>
      </c>
      <c r="D112" s="6" t="s">
        <v>443</v>
      </c>
      <c r="E112" s="6" t="s">
        <v>467</v>
      </c>
      <c r="F112" s="6" t="s">
        <v>6</v>
      </c>
      <c r="G112" s="6" t="n">
        <v>127</v>
      </c>
      <c r="H112" s="6" t="n">
        <v>10</v>
      </c>
      <c r="I112" s="6" t="n">
        <v>30</v>
      </c>
      <c r="J112" s="7" t="n">
        <f aca="false">G112*550</f>
        <v>69850</v>
      </c>
      <c r="K112" s="6" t="s">
        <v>2470</v>
      </c>
    </row>
    <row r="113" customFormat="false" ht="15" hidden="false" customHeight="false" outlineLevel="0" collapsed="false">
      <c r="A113" s="3" t="s">
        <v>468</v>
      </c>
      <c r="B113" s="3" t="s">
        <v>471</v>
      </c>
      <c r="C113" s="3" t="s">
        <v>469</v>
      </c>
      <c r="D113" s="3" t="s">
        <v>470</v>
      </c>
      <c r="E113" s="3" t="s">
        <v>472</v>
      </c>
      <c r="F113" s="3" t="s">
        <v>6</v>
      </c>
      <c r="G113" s="3" t="n">
        <v>95</v>
      </c>
      <c r="H113" s="3" t="n">
        <v>50</v>
      </c>
      <c r="I113" s="3" t="n">
        <v>200</v>
      </c>
      <c r="J113" s="4" t="n">
        <f aca="false">G113*850</f>
        <v>80750</v>
      </c>
      <c r="K113" s="3" t="s">
        <v>2470</v>
      </c>
    </row>
    <row r="114" customFormat="false" ht="15" hidden="false" customHeight="false" outlineLevel="0" collapsed="false">
      <c r="A114" s="6" t="s">
        <v>475</v>
      </c>
      <c r="B114" s="6" t="s">
        <v>476</v>
      </c>
      <c r="C114" s="6" t="s">
        <v>469</v>
      </c>
      <c r="D114" s="6" t="s">
        <v>470</v>
      </c>
      <c r="E114" s="6" t="s">
        <v>477</v>
      </c>
      <c r="F114" s="6" t="s">
        <v>6</v>
      </c>
      <c r="G114" s="6" t="n">
        <v>67</v>
      </c>
      <c r="H114" s="6" t="n">
        <v>50</v>
      </c>
      <c r="I114" s="6" t="n">
        <v>200</v>
      </c>
      <c r="J114" s="7" t="n">
        <f aca="false">G114*840</f>
        <v>56280</v>
      </c>
      <c r="K114" s="6" t="s">
        <v>2470</v>
      </c>
    </row>
    <row r="115" customFormat="false" ht="15" hidden="false" customHeight="false" outlineLevel="0" collapsed="false">
      <c r="A115" s="3" t="s">
        <v>480</v>
      </c>
      <c r="B115" s="3" t="s">
        <v>481</v>
      </c>
      <c r="C115" s="3" t="s">
        <v>469</v>
      </c>
      <c r="D115" s="3" t="s">
        <v>470</v>
      </c>
      <c r="E115" s="3" t="s">
        <v>482</v>
      </c>
      <c r="F115" s="3" t="s">
        <v>6</v>
      </c>
      <c r="G115" s="3" t="n">
        <v>112</v>
      </c>
      <c r="H115" s="3" t="n">
        <v>50</v>
      </c>
      <c r="I115" s="3" t="n">
        <v>200</v>
      </c>
      <c r="J115" s="4" t="n">
        <f aca="false">G115*845</f>
        <v>94640</v>
      </c>
      <c r="K115" s="3" t="s">
        <v>2470</v>
      </c>
    </row>
    <row r="116" customFormat="false" ht="15" hidden="false" customHeight="false" outlineLevel="0" collapsed="false">
      <c r="A116" s="6" t="s">
        <v>484</v>
      </c>
      <c r="B116" s="6" t="s">
        <v>485</v>
      </c>
      <c r="C116" s="6" t="s">
        <v>469</v>
      </c>
      <c r="D116" s="6" t="s">
        <v>470</v>
      </c>
      <c r="E116" s="6" t="s">
        <v>486</v>
      </c>
      <c r="F116" s="6" t="s">
        <v>6</v>
      </c>
      <c r="G116" s="6" t="n">
        <v>132</v>
      </c>
      <c r="H116" s="6" t="n">
        <v>10</v>
      </c>
      <c r="I116" s="6" t="n">
        <v>50</v>
      </c>
      <c r="J116" s="7" t="n">
        <f aca="false">G116*14000</f>
        <v>1848000</v>
      </c>
      <c r="K116" s="6" t="s">
        <v>2470</v>
      </c>
    </row>
    <row r="117" customFormat="false" ht="15" hidden="false" customHeight="false" outlineLevel="0" collapsed="false">
      <c r="A117" s="3" t="s">
        <v>489</v>
      </c>
      <c r="B117" s="3" t="s">
        <v>490</v>
      </c>
      <c r="C117" s="3" t="s">
        <v>469</v>
      </c>
      <c r="D117" s="3" t="s">
        <v>470</v>
      </c>
      <c r="E117" s="3" t="s">
        <v>491</v>
      </c>
      <c r="F117" s="3" t="s">
        <v>6</v>
      </c>
      <c r="G117" s="3" t="n">
        <v>35</v>
      </c>
      <c r="H117" s="3" t="n">
        <v>20</v>
      </c>
      <c r="I117" s="3" t="n">
        <v>100</v>
      </c>
      <c r="J117" s="4" t="n">
        <f aca="false">G117*55</f>
        <v>1925</v>
      </c>
      <c r="K117" s="3" t="s">
        <v>2470</v>
      </c>
    </row>
    <row r="118" customFormat="false" ht="15" hidden="false" customHeight="false" outlineLevel="0" collapsed="false">
      <c r="A118" s="6" t="s">
        <v>493</v>
      </c>
      <c r="B118" s="6" t="s">
        <v>494</v>
      </c>
      <c r="C118" s="6" t="s">
        <v>469</v>
      </c>
      <c r="D118" s="6" t="s">
        <v>470</v>
      </c>
      <c r="E118" s="6" t="s">
        <v>495</v>
      </c>
      <c r="F118" s="6" t="s">
        <v>6</v>
      </c>
      <c r="G118" s="6" t="n">
        <v>34</v>
      </c>
      <c r="H118" s="6" t="n">
        <v>20</v>
      </c>
      <c r="I118" s="6" t="n">
        <v>100</v>
      </c>
      <c r="J118" s="7" t="n">
        <f aca="false">G118*180</f>
        <v>6120</v>
      </c>
      <c r="K118" s="6" t="s">
        <v>2470</v>
      </c>
    </row>
    <row r="119" customFormat="false" ht="15" hidden="false" customHeight="false" outlineLevel="0" collapsed="false">
      <c r="A119" s="3" t="s">
        <v>497</v>
      </c>
      <c r="B119" s="3" t="s">
        <v>498</v>
      </c>
      <c r="C119" s="3" t="s">
        <v>469</v>
      </c>
      <c r="D119" s="3" t="s">
        <v>470</v>
      </c>
      <c r="E119" s="3" t="s">
        <v>499</v>
      </c>
      <c r="F119" s="3" t="s">
        <v>6</v>
      </c>
      <c r="G119" s="3" t="n">
        <v>99</v>
      </c>
      <c r="H119" s="3" t="n">
        <v>20</v>
      </c>
      <c r="I119" s="3" t="n">
        <v>100</v>
      </c>
      <c r="J119" s="4" t="n">
        <f aca="false">G119*200</f>
        <v>19800</v>
      </c>
      <c r="K119" s="3" t="s">
        <v>2470</v>
      </c>
    </row>
    <row r="120" customFormat="false" ht="15" hidden="false" customHeight="false" outlineLevel="0" collapsed="false">
      <c r="A120" s="6" t="s">
        <v>500</v>
      </c>
      <c r="B120" s="6" t="s">
        <v>501</v>
      </c>
      <c r="C120" s="6" t="s">
        <v>469</v>
      </c>
      <c r="D120" s="6" t="s">
        <v>470</v>
      </c>
      <c r="E120" s="6" t="s">
        <v>502</v>
      </c>
      <c r="F120" s="6" t="s">
        <v>6</v>
      </c>
      <c r="G120" s="6" t="n">
        <v>135</v>
      </c>
      <c r="H120" s="6" t="n">
        <v>100</v>
      </c>
      <c r="I120" s="6" t="n">
        <v>500</v>
      </c>
      <c r="J120" s="7" t="n">
        <f aca="false">G120*260</f>
        <v>35100</v>
      </c>
      <c r="K120" s="6" t="s">
        <v>2470</v>
      </c>
    </row>
    <row r="121" customFormat="false" ht="15" hidden="false" customHeight="false" outlineLevel="0" collapsed="false">
      <c r="A121" s="3" t="s">
        <v>505</v>
      </c>
      <c r="B121" s="3" t="s">
        <v>507</v>
      </c>
      <c r="C121" s="3" t="s">
        <v>469</v>
      </c>
      <c r="D121" s="3" t="s">
        <v>506</v>
      </c>
      <c r="E121" s="3" t="s">
        <v>508</v>
      </c>
      <c r="F121" s="3" t="s">
        <v>6</v>
      </c>
      <c r="G121" s="3" t="n">
        <v>18</v>
      </c>
      <c r="H121" s="3" t="n">
        <v>5</v>
      </c>
      <c r="I121" s="3" t="n">
        <v>20</v>
      </c>
      <c r="J121" s="4" t="n">
        <f aca="false">G121*3800</f>
        <v>68400</v>
      </c>
      <c r="K121" s="3" t="s">
        <v>2470</v>
      </c>
    </row>
    <row r="122" customFormat="false" ht="15" hidden="false" customHeight="false" outlineLevel="0" collapsed="false">
      <c r="A122" s="6" t="s">
        <v>511</v>
      </c>
      <c r="B122" s="6" t="s">
        <v>512</v>
      </c>
      <c r="C122" s="6" t="s">
        <v>469</v>
      </c>
      <c r="D122" s="6" t="s">
        <v>506</v>
      </c>
      <c r="E122" s="6" t="s">
        <v>513</v>
      </c>
      <c r="F122" s="6" t="s">
        <v>6</v>
      </c>
      <c r="G122" s="6" t="n">
        <v>85</v>
      </c>
      <c r="H122" s="6" t="n">
        <v>5</v>
      </c>
      <c r="I122" s="6" t="n">
        <v>20</v>
      </c>
      <c r="J122" s="7" t="n">
        <f aca="false">G122*2800</f>
        <v>238000</v>
      </c>
      <c r="K122" s="6" t="s">
        <v>2470</v>
      </c>
    </row>
    <row r="123" customFormat="false" ht="15" hidden="false" customHeight="false" outlineLevel="0" collapsed="false">
      <c r="A123" s="3" t="s">
        <v>514</v>
      </c>
      <c r="B123" s="3" t="s">
        <v>515</v>
      </c>
      <c r="C123" s="3" t="s">
        <v>469</v>
      </c>
      <c r="D123" s="3" t="s">
        <v>506</v>
      </c>
      <c r="E123" s="3" t="s">
        <v>516</v>
      </c>
      <c r="F123" s="3" t="s">
        <v>6</v>
      </c>
      <c r="G123" s="3" t="n">
        <v>6</v>
      </c>
      <c r="H123" s="3" t="n">
        <v>5</v>
      </c>
      <c r="I123" s="3" t="n">
        <v>20</v>
      </c>
      <c r="J123" s="4" t="n">
        <f aca="false">G123*3600</f>
        <v>21600</v>
      </c>
      <c r="K123" s="3" t="s">
        <v>2470</v>
      </c>
    </row>
    <row r="124" customFormat="false" ht="15" hidden="false" customHeight="false" outlineLevel="0" collapsed="false">
      <c r="A124" s="6" t="s">
        <v>519</v>
      </c>
      <c r="B124" s="6" t="s">
        <v>520</v>
      </c>
      <c r="C124" s="6" t="s">
        <v>469</v>
      </c>
      <c r="D124" s="6" t="s">
        <v>506</v>
      </c>
      <c r="E124" s="6" t="s">
        <v>521</v>
      </c>
      <c r="F124" s="6" t="s">
        <v>6</v>
      </c>
      <c r="G124" s="6" t="n">
        <v>49</v>
      </c>
      <c r="H124" s="6" t="n">
        <v>5</v>
      </c>
      <c r="I124" s="6" t="n">
        <v>20</v>
      </c>
      <c r="J124" s="7" t="n">
        <f aca="false">G124*3200</f>
        <v>156800</v>
      </c>
      <c r="K124" s="6" t="s">
        <v>2470</v>
      </c>
    </row>
    <row r="125" customFormat="false" ht="15" hidden="false" customHeight="false" outlineLevel="0" collapsed="false">
      <c r="A125" s="3" t="s">
        <v>524</v>
      </c>
      <c r="B125" s="3" t="s">
        <v>525</v>
      </c>
      <c r="C125" s="3" t="s">
        <v>469</v>
      </c>
      <c r="D125" s="3" t="s">
        <v>506</v>
      </c>
      <c r="E125" s="3" t="s">
        <v>526</v>
      </c>
      <c r="F125" s="3" t="s">
        <v>6</v>
      </c>
      <c r="G125" s="3" t="n">
        <v>104</v>
      </c>
      <c r="H125" s="3" t="n">
        <v>10</v>
      </c>
      <c r="I125" s="3" t="n">
        <v>40</v>
      </c>
      <c r="J125" s="4" t="n">
        <f aca="false">G125*1200</f>
        <v>124800</v>
      </c>
      <c r="K125" s="3" t="s">
        <v>2470</v>
      </c>
    </row>
    <row r="126" customFormat="false" ht="15" hidden="false" customHeight="false" outlineLevel="0" collapsed="false">
      <c r="A126" s="6" t="s">
        <v>529</v>
      </c>
      <c r="B126" s="6" t="s">
        <v>530</v>
      </c>
      <c r="C126" s="6" t="s">
        <v>469</v>
      </c>
      <c r="D126" s="6" t="s">
        <v>506</v>
      </c>
      <c r="E126" s="6" t="s">
        <v>531</v>
      </c>
      <c r="F126" s="6" t="s">
        <v>6</v>
      </c>
      <c r="G126" s="6" t="n">
        <v>147</v>
      </c>
      <c r="H126" s="6" t="n">
        <v>8</v>
      </c>
      <c r="I126" s="6" t="n">
        <v>30</v>
      </c>
      <c r="J126" s="7" t="n">
        <f aca="false">G126*1500</f>
        <v>220500</v>
      </c>
      <c r="K126" s="6" t="s">
        <v>2470</v>
      </c>
    </row>
    <row r="127" customFormat="false" ht="15" hidden="false" customHeight="false" outlineLevel="0" collapsed="false">
      <c r="A127" s="3" t="s">
        <v>533</v>
      </c>
      <c r="B127" s="3" t="s">
        <v>534</v>
      </c>
      <c r="C127" s="3" t="s">
        <v>469</v>
      </c>
      <c r="D127" s="3" t="s">
        <v>506</v>
      </c>
      <c r="E127" s="3" t="s">
        <v>535</v>
      </c>
      <c r="F127" s="3" t="s">
        <v>6</v>
      </c>
      <c r="G127" s="3" t="n">
        <v>121</v>
      </c>
      <c r="H127" s="3" t="n">
        <v>10</v>
      </c>
      <c r="I127" s="3" t="n">
        <v>40</v>
      </c>
      <c r="J127" s="4" t="n">
        <f aca="false">G127*750</f>
        <v>90750</v>
      </c>
      <c r="K127" s="3" t="s">
        <v>2470</v>
      </c>
    </row>
    <row r="128" customFormat="false" ht="15" hidden="false" customHeight="false" outlineLevel="0" collapsed="false">
      <c r="A128" s="6" t="s">
        <v>536</v>
      </c>
      <c r="B128" s="6" t="s">
        <v>538</v>
      </c>
      <c r="C128" s="6" t="s">
        <v>469</v>
      </c>
      <c r="D128" s="6" t="s">
        <v>537</v>
      </c>
      <c r="E128" s="6" t="s">
        <v>539</v>
      </c>
      <c r="F128" s="6" t="s">
        <v>6</v>
      </c>
      <c r="G128" s="6" t="n">
        <v>0</v>
      </c>
      <c r="H128" s="6" t="n">
        <v>20</v>
      </c>
      <c r="I128" s="6" t="n">
        <v>100</v>
      </c>
      <c r="J128" s="7" t="n">
        <f aca="false">G128*180</f>
        <v>0</v>
      </c>
      <c r="K128" s="9" t="s">
        <v>2471</v>
      </c>
    </row>
    <row r="129" customFormat="false" ht="15" hidden="false" customHeight="false" outlineLevel="0" collapsed="false">
      <c r="A129" s="3" t="s">
        <v>542</v>
      </c>
      <c r="B129" s="3" t="s">
        <v>543</v>
      </c>
      <c r="C129" s="3" t="s">
        <v>469</v>
      </c>
      <c r="D129" s="3" t="s">
        <v>537</v>
      </c>
      <c r="E129" s="3" t="s">
        <v>544</v>
      </c>
      <c r="F129" s="3" t="s">
        <v>6</v>
      </c>
      <c r="G129" s="3" t="n">
        <v>36</v>
      </c>
      <c r="H129" s="3" t="n">
        <v>20</v>
      </c>
      <c r="I129" s="3" t="n">
        <v>100</v>
      </c>
      <c r="J129" s="4" t="n">
        <f aca="false">G129*250</f>
        <v>9000</v>
      </c>
      <c r="K129" s="3" t="s">
        <v>2470</v>
      </c>
    </row>
    <row r="130" customFormat="false" ht="15" hidden="false" customHeight="false" outlineLevel="0" collapsed="false">
      <c r="A130" s="6" t="s">
        <v>545</v>
      </c>
      <c r="B130" s="6" t="s">
        <v>546</v>
      </c>
      <c r="C130" s="6" t="s">
        <v>469</v>
      </c>
      <c r="D130" s="6" t="s">
        <v>537</v>
      </c>
      <c r="E130" s="6" t="s">
        <v>547</v>
      </c>
      <c r="F130" s="6" t="s">
        <v>6</v>
      </c>
      <c r="G130" s="6" t="n">
        <v>108</v>
      </c>
      <c r="H130" s="6" t="n">
        <v>20</v>
      </c>
      <c r="I130" s="6" t="n">
        <v>80</v>
      </c>
      <c r="J130" s="7" t="n">
        <f aca="false">G130*220</f>
        <v>23760</v>
      </c>
      <c r="K130" s="6" t="s">
        <v>2470</v>
      </c>
    </row>
    <row r="131" customFormat="false" ht="15" hidden="false" customHeight="false" outlineLevel="0" collapsed="false">
      <c r="A131" s="3" t="s">
        <v>548</v>
      </c>
      <c r="B131" s="3" t="s">
        <v>549</v>
      </c>
      <c r="C131" s="3" t="s">
        <v>469</v>
      </c>
      <c r="D131" s="3" t="s">
        <v>537</v>
      </c>
      <c r="E131" s="3" t="s">
        <v>550</v>
      </c>
      <c r="F131" s="3" t="s">
        <v>6</v>
      </c>
      <c r="G131" s="3" t="n">
        <v>16</v>
      </c>
      <c r="H131" s="3" t="n">
        <v>3</v>
      </c>
      <c r="I131" s="3" t="n">
        <v>10</v>
      </c>
      <c r="J131" s="4" t="n">
        <f aca="false">G131*12000</f>
        <v>192000</v>
      </c>
      <c r="K131" s="3" t="s">
        <v>2470</v>
      </c>
    </row>
    <row r="132" customFormat="false" ht="15" hidden="false" customHeight="false" outlineLevel="0" collapsed="false">
      <c r="A132" s="6" t="s">
        <v>553</v>
      </c>
      <c r="B132" s="6" t="s">
        <v>554</v>
      </c>
      <c r="C132" s="6" t="s">
        <v>469</v>
      </c>
      <c r="D132" s="6" t="s">
        <v>537</v>
      </c>
      <c r="E132" s="6" t="s">
        <v>555</v>
      </c>
      <c r="F132" s="6" t="s">
        <v>6</v>
      </c>
      <c r="G132" s="6" t="n">
        <v>97</v>
      </c>
      <c r="H132" s="6" t="n">
        <v>50</v>
      </c>
      <c r="I132" s="6" t="n">
        <v>200</v>
      </c>
      <c r="J132" s="7" t="n">
        <f aca="false">G132*45</f>
        <v>4365</v>
      </c>
      <c r="K132" s="6" t="s">
        <v>2470</v>
      </c>
    </row>
    <row r="133" customFormat="false" ht="15" hidden="false" customHeight="false" outlineLevel="0" collapsed="false">
      <c r="A133" s="3" t="s">
        <v>558</v>
      </c>
      <c r="B133" s="3" t="s">
        <v>559</v>
      </c>
      <c r="C133" s="3" t="s">
        <v>469</v>
      </c>
      <c r="D133" s="3" t="s">
        <v>537</v>
      </c>
      <c r="E133" s="3" t="s">
        <v>560</v>
      </c>
      <c r="F133" s="3" t="s">
        <v>6</v>
      </c>
      <c r="G133" s="3" t="n">
        <v>63</v>
      </c>
      <c r="H133" s="3" t="n">
        <v>50</v>
      </c>
      <c r="I133" s="3" t="n">
        <v>200</v>
      </c>
      <c r="J133" s="4" t="n">
        <f aca="false">G133*65</f>
        <v>4095</v>
      </c>
      <c r="K133" s="3" t="s">
        <v>2470</v>
      </c>
    </row>
    <row r="134" customFormat="false" ht="15" hidden="false" customHeight="false" outlineLevel="0" collapsed="false">
      <c r="A134" s="6" t="s">
        <v>561</v>
      </c>
      <c r="B134" s="6" t="s">
        <v>562</v>
      </c>
      <c r="C134" s="6" t="s">
        <v>469</v>
      </c>
      <c r="D134" s="6" t="s">
        <v>537</v>
      </c>
      <c r="E134" s="6" t="s">
        <v>563</v>
      </c>
      <c r="F134" s="6" t="s">
        <v>6</v>
      </c>
      <c r="G134" s="6" t="n">
        <v>74</v>
      </c>
      <c r="H134" s="6" t="n">
        <v>20</v>
      </c>
      <c r="I134" s="6" t="n">
        <v>80</v>
      </c>
      <c r="J134" s="7" t="n">
        <f aca="false">G134*450</f>
        <v>33300</v>
      </c>
      <c r="K134" s="6" t="s">
        <v>2470</v>
      </c>
    </row>
    <row r="135" customFormat="false" ht="15" hidden="false" customHeight="false" outlineLevel="0" collapsed="false">
      <c r="A135" s="3" t="s">
        <v>564</v>
      </c>
      <c r="B135" s="3" t="s">
        <v>565</v>
      </c>
      <c r="C135" s="3" t="s">
        <v>469</v>
      </c>
      <c r="D135" s="3" t="s">
        <v>537</v>
      </c>
      <c r="E135" s="3" t="s">
        <v>566</v>
      </c>
      <c r="F135" s="3" t="s">
        <v>6</v>
      </c>
      <c r="G135" s="3" t="n">
        <v>76</v>
      </c>
      <c r="H135" s="3" t="n">
        <v>20</v>
      </c>
      <c r="I135" s="3" t="n">
        <v>100</v>
      </c>
      <c r="J135" s="4" t="n">
        <f aca="false">G135*180</f>
        <v>13680</v>
      </c>
      <c r="K135" s="3" t="s">
        <v>2470</v>
      </c>
    </row>
    <row r="136" customFormat="false" ht="15" hidden="false" customHeight="false" outlineLevel="0" collapsed="false">
      <c r="A136" s="6" t="s">
        <v>569</v>
      </c>
      <c r="B136" s="6" t="s">
        <v>570</v>
      </c>
      <c r="C136" s="6" t="s">
        <v>469</v>
      </c>
      <c r="D136" s="6" t="s">
        <v>537</v>
      </c>
      <c r="E136" s="6" t="s">
        <v>571</v>
      </c>
      <c r="F136" s="6" t="s">
        <v>6</v>
      </c>
      <c r="G136" s="6" t="n">
        <v>3</v>
      </c>
      <c r="H136" s="6" t="n">
        <v>30</v>
      </c>
      <c r="I136" s="6" t="n">
        <v>150</v>
      </c>
      <c r="J136" s="7" t="n">
        <f aca="false">G136*120</f>
        <v>360</v>
      </c>
      <c r="K136" s="9" t="s">
        <v>2471</v>
      </c>
    </row>
    <row r="137" customFormat="false" ht="15" hidden="false" customHeight="false" outlineLevel="0" collapsed="false">
      <c r="A137" s="3" t="s">
        <v>572</v>
      </c>
      <c r="B137" s="3" t="s">
        <v>573</v>
      </c>
      <c r="C137" s="3" t="s">
        <v>469</v>
      </c>
      <c r="D137" s="3" t="s">
        <v>537</v>
      </c>
      <c r="E137" s="3" t="s">
        <v>574</v>
      </c>
      <c r="F137" s="3" t="s">
        <v>6</v>
      </c>
      <c r="G137" s="3" t="n">
        <v>80</v>
      </c>
      <c r="H137" s="3" t="n">
        <v>5</v>
      </c>
      <c r="I137" s="3" t="n">
        <v>20</v>
      </c>
      <c r="J137" s="4" t="n">
        <f aca="false">G137*3200</f>
        <v>256000</v>
      </c>
      <c r="K137" s="3" t="s">
        <v>2470</v>
      </c>
    </row>
    <row r="138" customFormat="false" ht="15" hidden="false" customHeight="false" outlineLevel="0" collapsed="false">
      <c r="A138" s="6" t="s">
        <v>577</v>
      </c>
      <c r="B138" s="6" t="s">
        <v>579</v>
      </c>
      <c r="C138" s="6" t="s">
        <v>469</v>
      </c>
      <c r="D138" s="6" t="s">
        <v>578</v>
      </c>
      <c r="E138" s="6" t="s">
        <v>580</v>
      </c>
      <c r="F138" s="6" t="s">
        <v>6</v>
      </c>
      <c r="G138" s="6" t="n">
        <v>87</v>
      </c>
      <c r="H138" s="6" t="n">
        <v>5</v>
      </c>
      <c r="I138" s="6" t="n">
        <v>20</v>
      </c>
      <c r="J138" s="7" t="n">
        <f aca="false">G138*850</f>
        <v>73950</v>
      </c>
      <c r="K138" s="6" t="s">
        <v>2470</v>
      </c>
    </row>
    <row r="139" customFormat="false" ht="15" hidden="false" customHeight="false" outlineLevel="0" collapsed="false">
      <c r="A139" s="3" t="s">
        <v>583</v>
      </c>
      <c r="B139" s="3" t="s">
        <v>584</v>
      </c>
      <c r="C139" s="3" t="s">
        <v>469</v>
      </c>
      <c r="D139" s="3" t="s">
        <v>578</v>
      </c>
      <c r="E139" s="3" t="s">
        <v>585</v>
      </c>
      <c r="F139" s="3" t="s">
        <v>6</v>
      </c>
      <c r="G139" s="3" t="n">
        <v>0</v>
      </c>
      <c r="H139" s="3" t="n">
        <v>3</v>
      </c>
      <c r="I139" s="3" t="n">
        <v>10</v>
      </c>
      <c r="J139" s="4" t="n">
        <f aca="false">G139*4500</f>
        <v>0</v>
      </c>
      <c r="K139" s="9" t="s">
        <v>2471</v>
      </c>
    </row>
    <row r="140" customFormat="false" ht="15" hidden="false" customHeight="false" outlineLevel="0" collapsed="false">
      <c r="A140" s="6" t="s">
        <v>588</v>
      </c>
      <c r="B140" s="6" t="s">
        <v>589</v>
      </c>
      <c r="C140" s="6" t="s">
        <v>469</v>
      </c>
      <c r="D140" s="6" t="s">
        <v>578</v>
      </c>
      <c r="E140" s="6" t="s">
        <v>590</v>
      </c>
      <c r="F140" s="6" t="s">
        <v>6</v>
      </c>
      <c r="G140" s="6" t="n">
        <v>122</v>
      </c>
      <c r="H140" s="6" t="n">
        <v>10</v>
      </c>
      <c r="I140" s="6" t="n">
        <v>40</v>
      </c>
      <c r="J140" s="7" t="n">
        <f aca="false">G140*350</f>
        <v>42700</v>
      </c>
      <c r="K140" s="6" t="s">
        <v>2470</v>
      </c>
    </row>
    <row r="141" customFormat="false" ht="15" hidden="false" customHeight="false" outlineLevel="0" collapsed="false">
      <c r="A141" s="3" t="s">
        <v>591</v>
      </c>
      <c r="B141" s="3" t="s">
        <v>592</v>
      </c>
      <c r="C141" s="3" t="s">
        <v>469</v>
      </c>
      <c r="D141" s="3" t="s">
        <v>578</v>
      </c>
      <c r="E141" s="3" t="s">
        <v>593</v>
      </c>
      <c r="F141" s="3" t="s">
        <v>6</v>
      </c>
      <c r="G141" s="3" t="n">
        <v>114</v>
      </c>
      <c r="H141" s="3" t="n">
        <v>10</v>
      </c>
      <c r="I141" s="3" t="n">
        <v>40</v>
      </c>
      <c r="J141" s="4" t="n">
        <f aca="false">G141*450</f>
        <v>51300</v>
      </c>
      <c r="K141" s="3" t="s">
        <v>2470</v>
      </c>
    </row>
    <row r="142" customFormat="false" ht="15" hidden="false" customHeight="false" outlineLevel="0" collapsed="false">
      <c r="A142" s="6" t="s">
        <v>594</v>
      </c>
      <c r="B142" s="6" t="s">
        <v>595</v>
      </c>
      <c r="C142" s="6" t="s">
        <v>469</v>
      </c>
      <c r="D142" s="6" t="s">
        <v>578</v>
      </c>
      <c r="E142" s="6" t="s">
        <v>596</v>
      </c>
      <c r="F142" s="6" t="s">
        <v>6</v>
      </c>
      <c r="G142" s="6" t="n">
        <v>25</v>
      </c>
      <c r="H142" s="6" t="n">
        <v>5</v>
      </c>
      <c r="I142" s="6" t="n">
        <v>20</v>
      </c>
      <c r="J142" s="7" t="n">
        <f aca="false">G142*1800</f>
        <v>45000</v>
      </c>
      <c r="K142" s="6" t="s">
        <v>2470</v>
      </c>
    </row>
    <row r="143" customFormat="false" ht="15" hidden="false" customHeight="false" outlineLevel="0" collapsed="false">
      <c r="A143" s="3" t="s">
        <v>597</v>
      </c>
      <c r="B143" s="3" t="s">
        <v>598</v>
      </c>
      <c r="C143" s="3" t="s">
        <v>469</v>
      </c>
      <c r="D143" s="3" t="s">
        <v>578</v>
      </c>
      <c r="E143" s="3" t="s">
        <v>599</v>
      </c>
      <c r="F143" s="3" t="s">
        <v>6</v>
      </c>
      <c r="G143" s="3" t="n">
        <v>91</v>
      </c>
      <c r="H143" s="3" t="n">
        <v>10</v>
      </c>
      <c r="I143" s="3" t="n">
        <v>40</v>
      </c>
      <c r="J143" s="4" t="n">
        <f aca="false">G143*600</f>
        <v>54600</v>
      </c>
      <c r="K143" s="3" t="s">
        <v>2470</v>
      </c>
    </row>
    <row r="144" customFormat="false" ht="15" hidden="false" customHeight="false" outlineLevel="0" collapsed="false">
      <c r="A144" s="6" t="s">
        <v>600</v>
      </c>
      <c r="B144" s="6" t="s">
        <v>601</v>
      </c>
      <c r="C144" s="6" t="s">
        <v>469</v>
      </c>
      <c r="D144" s="6" t="s">
        <v>578</v>
      </c>
      <c r="E144" s="6" t="s">
        <v>602</v>
      </c>
      <c r="F144" s="6" t="s">
        <v>6</v>
      </c>
      <c r="G144" s="6" t="n">
        <v>125</v>
      </c>
      <c r="H144" s="6" t="n">
        <v>10</v>
      </c>
      <c r="I144" s="6" t="n">
        <v>50</v>
      </c>
      <c r="J144" s="7" t="n">
        <f aca="false">G144*280</f>
        <v>35000</v>
      </c>
      <c r="K144" s="6" t="s">
        <v>2470</v>
      </c>
    </row>
    <row r="145" customFormat="false" ht="15" hidden="false" customHeight="false" outlineLevel="0" collapsed="false">
      <c r="A145" s="3" t="s">
        <v>605</v>
      </c>
      <c r="B145" s="3" t="s">
        <v>606</v>
      </c>
      <c r="C145" s="3" t="s">
        <v>469</v>
      </c>
      <c r="D145" s="3" t="s">
        <v>578</v>
      </c>
      <c r="E145" s="3" t="s">
        <v>607</v>
      </c>
      <c r="F145" s="3" t="s">
        <v>6</v>
      </c>
      <c r="G145" s="3" t="n">
        <v>122</v>
      </c>
      <c r="H145" s="3" t="n">
        <v>10</v>
      </c>
      <c r="I145" s="3" t="n">
        <v>40</v>
      </c>
      <c r="J145" s="4" t="n">
        <f aca="false">G145*450</f>
        <v>54900</v>
      </c>
      <c r="K145" s="3" t="s">
        <v>2470</v>
      </c>
    </row>
    <row r="146" customFormat="false" ht="15" hidden="false" customHeight="false" outlineLevel="0" collapsed="false">
      <c r="A146" s="6" t="s">
        <v>608</v>
      </c>
      <c r="B146" s="6" t="s">
        <v>611</v>
      </c>
      <c r="C146" s="6" t="s">
        <v>609</v>
      </c>
      <c r="D146" s="6" t="s">
        <v>610</v>
      </c>
      <c r="E146" s="6" t="s">
        <v>612</v>
      </c>
      <c r="F146" s="6" t="s">
        <v>6</v>
      </c>
      <c r="G146" s="6" t="n">
        <v>146</v>
      </c>
      <c r="H146" s="6" t="n">
        <v>30</v>
      </c>
      <c r="I146" s="6" t="n">
        <v>150</v>
      </c>
      <c r="J146" s="7" t="n">
        <f aca="false">G146*85</f>
        <v>12410</v>
      </c>
      <c r="K146" s="6" t="s">
        <v>2470</v>
      </c>
    </row>
    <row r="147" customFormat="false" ht="15" hidden="false" customHeight="false" outlineLevel="0" collapsed="false">
      <c r="A147" s="3" t="s">
        <v>615</v>
      </c>
      <c r="B147" s="3" t="s">
        <v>616</v>
      </c>
      <c r="C147" s="3" t="s">
        <v>609</v>
      </c>
      <c r="D147" s="3" t="s">
        <v>610</v>
      </c>
      <c r="E147" s="3" t="s">
        <v>617</v>
      </c>
      <c r="F147" s="3" t="s">
        <v>6</v>
      </c>
      <c r="G147" s="3" t="n">
        <v>45</v>
      </c>
      <c r="H147" s="3" t="n">
        <v>30</v>
      </c>
      <c r="I147" s="3" t="n">
        <v>150</v>
      </c>
      <c r="J147" s="4" t="n">
        <f aca="false">G147*70</f>
        <v>3150</v>
      </c>
      <c r="K147" s="3" t="s">
        <v>2470</v>
      </c>
    </row>
    <row r="148" customFormat="false" ht="15" hidden="false" customHeight="false" outlineLevel="0" collapsed="false">
      <c r="A148" s="6" t="s">
        <v>618</v>
      </c>
      <c r="B148" s="6" t="s">
        <v>619</v>
      </c>
      <c r="C148" s="6" t="s">
        <v>609</v>
      </c>
      <c r="D148" s="6" t="s">
        <v>610</v>
      </c>
      <c r="E148" s="6" t="s">
        <v>620</v>
      </c>
      <c r="F148" s="6" t="s">
        <v>6</v>
      </c>
      <c r="G148" s="6" t="n">
        <v>30</v>
      </c>
      <c r="H148" s="6" t="n">
        <v>30</v>
      </c>
      <c r="I148" s="6" t="n">
        <v>150</v>
      </c>
      <c r="J148" s="7" t="n">
        <f aca="false">G148*95</f>
        <v>2850</v>
      </c>
      <c r="K148" s="6" t="s">
        <v>2470</v>
      </c>
    </row>
    <row r="149" customFormat="false" ht="15" hidden="false" customHeight="false" outlineLevel="0" collapsed="false">
      <c r="A149" s="3" t="s">
        <v>623</v>
      </c>
      <c r="B149" s="3" t="s">
        <v>624</v>
      </c>
      <c r="C149" s="3" t="s">
        <v>609</v>
      </c>
      <c r="D149" s="3" t="s">
        <v>610</v>
      </c>
      <c r="E149" s="3" t="s">
        <v>625</v>
      </c>
      <c r="F149" s="3" t="s">
        <v>6</v>
      </c>
      <c r="G149" s="3" t="n">
        <v>62</v>
      </c>
      <c r="H149" s="3" t="n">
        <v>30</v>
      </c>
      <c r="I149" s="3" t="n">
        <v>150</v>
      </c>
      <c r="J149" s="4" t="n">
        <f aca="false">G149*45</f>
        <v>2790</v>
      </c>
      <c r="K149" s="3" t="s">
        <v>2470</v>
      </c>
    </row>
    <row r="150" customFormat="false" ht="15" hidden="false" customHeight="false" outlineLevel="0" collapsed="false">
      <c r="A150" s="6" t="s">
        <v>628</v>
      </c>
      <c r="B150" s="6" t="s">
        <v>629</v>
      </c>
      <c r="C150" s="6" t="s">
        <v>609</v>
      </c>
      <c r="D150" s="6" t="s">
        <v>610</v>
      </c>
      <c r="E150" s="6" t="s">
        <v>630</v>
      </c>
      <c r="F150" s="6" t="s">
        <v>6</v>
      </c>
      <c r="G150" s="6" t="n">
        <v>85</v>
      </c>
      <c r="H150" s="6" t="n">
        <v>30</v>
      </c>
      <c r="I150" s="6" t="n">
        <v>150</v>
      </c>
      <c r="J150" s="7" t="n">
        <f aca="false">G150*120</f>
        <v>10200</v>
      </c>
      <c r="K150" s="6" t="s">
        <v>2470</v>
      </c>
    </row>
    <row r="151" customFormat="false" ht="15" hidden="false" customHeight="false" outlineLevel="0" collapsed="false">
      <c r="A151" s="3" t="s">
        <v>633</v>
      </c>
      <c r="B151" s="3" t="s">
        <v>634</v>
      </c>
      <c r="C151" s="3" t="s">
        <v>609</v>
      </c>
      <c r="D151" s="3" t="s">
        <v>610</v>
      </c>
      <c r="E151" s="3" t="s">
        <v>635</v>
      </c>
      <c r="F151" s="3" t="s">
        <v>6</v>
      </c>
      <c r="G151" s="3" t="n">
        <v>123</v>
      </c>
      <c r="H151" s="3" t="n">
        <v>15</v>
      </c>
      <c r="I151" s="3" t="n">
        <v>60</v>
      </c>
      <c r="J151" s="4" t="n">
        <f aca="false">G151*350</f>
        <v>43050</v>
      </c>
      <c r="K151" s="3" t="s">
        <v>2470</v>
      </c>
    </row>
    <row r="152" customFormat="false" ht="15" hidden="false" customHeight="false" outlineLevel="0" collapsed="false">
      <c r="A152" s="6" t="s">
        <v>637</v>
      </c>
      <c r="B152" s="6" t="s">
        <v>638</v>
      </c>
      <c r="C152" s="6" t="s">
        <v>609</v>
      </c>
      <c r="D152" s="6" t="s">
        <v>610</v>
      </c>
      <c r="E152" s="6" t="s">
        <v>639</v>
      </c>
      <c r="F152" s="6" t="s">
        <v>6</v>
      </c>
      <c r="G152" s="6" t="n">
        <v>99</v>
      </c>
      <c r="H152" s="6" t="n">
        <v>20</v>
      </c>
      <c r="I152" s="6" t="n">
        <v>80</v>
      </c>
      <c r="J152" s="7" t="n">
        <f aca="false">G152*180</f>
        <v>17820</v>
      </c>
      <c r="K152" s="6" t="s">
        <v>2470</v>
      </c>
    </row>
    <row r="153" customFormat="false" ht="15" hidden="false" customHeight="false" outlineLevel="0" collapsed="false">
      <c r="A153" s="3" t="s">
        <v>642</v>
      </c>
      <c r="B153" s="3" t="s">
        <v>643</v>
      </c>
      <c r="C153" s="3" t="s">
        <v>609</v>
      </c>
      <c r="D153" s="3" t="s">
        <v>610</v>
      </c>
      <c r="E153" s="3" t="s">
        <v>644</v>
      </c>
      <c r="F153" s="3" t="s">
        <v>6</v>
      </c>
      <c r="G153" s="3" t="n">
        <v>27</v>
      </c>
      <c r="H153" s="3" t="n">
        <v>20</v>
      </c>
      <c r="I153" s="3" t="n">
        <v>80</v>
      </c>
      <c r="J153" s="4" t="n">
        <f aca="false">G153*145</f>
        <v>3915</v>
      </c>
      <c r="K153" s="3" t="s">
        <v>2470</v>
      </c>
    </row>
    <row r="154" customFormat="false" ht="15" hidden="false" customHeight="false" outlineLevel="0" collapsed="false">
      <c r="A154" s="6" t="s">
        <v>646</v>
      </c>
      <c r="B154" s="6" t="s">
        <v>647</v>
      </c>
      <c r="C154" s="6" t="s">
        <v>609</v>
      </c>
      <c r="D154" s="6" t="s">
        <v>610</v>
      </c>
      <c r="E154" s="6" t="s">
        <v>648</v>
      </c>
      <c r="F154" s="6" t="s">
        <v>6</v>
      </c>
      <c r="G154" s="6" t="n">
        <v>49</v>
      </c>
      <c r="H154" s="6" t="n">
        <v>20</v>
      </c>
      <c r="I154" s="6" t="n">
        <v>80</v>
      </c>
      <c r="J154" s="7" t="n">
        <f aca="false">G154*165</f>
        <v>8085</v>
      </c>
      <c r="K154" s="6" t="s">
        <v>2470</v>
      </c>
    </row>
    <row r="155" customFormat="false" ht="15" hidden="false" customHeight="false" outlineLevel="0" collapsed="false">
      <c r="A155" s="3" t="s">
        <v>650</v>
      </c>
      <c r="B155" s="3" t="s">
        <v>651</v>
      </c>
      <c r="C155" s="3" t="s">
        <v>609</v>
      </c>
      <c r="D155" s="3" t="s">
        <v>610</v>
      </c>
      <c r="E155" s="3" t="s">
        <v>652</v>
      </c>
      <c r="F155" s="3" t="s">
        <v>6</v>
      </c>
      <c r="G155" s="3" t="n">
        <v>51</v>
      </c>
      <c r="H155" s="3" t="n">
        <v>20</v>
      </c>
      <c r="I155" s="3" t="n">
        <v>80</v>
      </c>
      <c r="J155" s="4" t="n">
        <f aca="false">G155*145</f>
        <v>7395</v>
      </c>
      <c r="K155" s="3" t="s">
        <v>2470</v>
      </c>
    </row>
    <row r="156" customFormat="false" ht="15" hidden="false" customHeight="false" outlineLevel="0" collapsed="false">
      <c r="A156" s="6" t="s">
        <v>655</v>
      </c>
      <c r="B156" s="6" t="s">
        <v>657</v>
      </c>
      <c r="C156" s="6" t="s">
        <v>609</v>
      </c>
      <c r="D156" s="6" t="s">
        <v>656</v>
      </c>
      <c r="E156" s="6" t="s">
        <v>658</v>
      </c>
      <c r="F156" s="6" t="s">
        <v>6</v>
      </c>
      <c r="G156" s="6" t="n">
        <v>122</v>
      </c>
      <c r="H156" s="6" t="n">
        <v>10</v>
      </c>
      <c r="I156" s="6" t="n">
        <v>50</v>
      </c>
      <c r="J156" s="7" t="n">
        <f aca="false">G156*380</f>
        <v>46360</v>
      </c>
      <c r="K156" s="6" t="s">
        <v>2470</v>
      </c>
    </row>
    <row r="157" customFormat="false" ht="15" hidden="false" customHeight="false" outlineLevel="0" collapsed="false">
      <c r="A157" s="3" t="s">
        <v>659</v>
      </c>
      <c r="B157" s="3" t="s">
        <v>660</v>
      </c>
      <c r="C157" s="3" t="s">
        <v>609</v>
      </c>
      <c r="D157" s="3" t="s">
        <v>656</v>
      </c>
      <c r="E157" s="3" t="s">
        <v>661</v>
      </c>
      <c r="F157" s="3" t="s">
        <v>6</v>
      </c>
      <c r="G157" s="3" t="n">
        <v>24</v>
      </c>
      <c r="H157" s="3" t="n">
        <v>10</v>
      </c>
      <c r="I157" s="3" t="n">
        <v>50</v>
      </c>
      <c r="J157" s="4" t="n">
        <f aca="false">G157*550</f>
        <v>13200</v>
      </c>
      <c r="K157" s="3" t="s">
        <v>2470</v>
      </c>
    </row>
    <row r="158" customFormat="false" ht="15" hidden="false" customHeight="false" outlineLevel="0" collapsed="false">
      <c r="A158" s="6" t="s">
        <v>663</v>
      </c>
      <c r="B158" s="6" t="s">
        <v>664</v>
      </c>
      <c r="C158" s="6" t="s">
        <v>609</v>
      </c>
      <c r="D158" s="6" t="s">
        <v>656</v>
      </c>
      <c r="E158" s="6" t="s">
        <v>665</v>
      </c>
      <c r="F158" s="6" t="s">
        <v>6</v>
      </c>
      <c r="G158" s="6" t="n">
        <v>27</v>
      </c>
      <c r="H158" s="6" t="n">
        <v>20</v>
      </c>
      <c r="I158" s="6" t="n">
        <v>80</v>
      </c>
      <c r="J158" s="7" t="n">
        <f aca="false">G158*85</f>
        <v>2295</v>
      </c>
      <c r="K158" s="6" t="s">
        <v>2470</v>
      </c>
    </row>
    <row r="159" customFormat="false" ht="15" hidden="false" customHeight="false" outlineLevel="0" collapsed="false">
      <c r="A159" s="3" t="s">
        <v>668</v>
      </c>
      <c r="B159" s="3" t="s">
        <v>669</v>
      </c>
      <c r="C159" s="3" t="s">
        <v>609</v>
      </c>
      <c r="D159" s="3" t="s">
        <v>656</v>
      </c>
      <c r="E159" s="3" t="s">
        <v>670</v>
      </c>
      <c r="F159" s="3" t="s">
        <v>6</v>
      </c>
      <c r="G159" s="3" t="n">
        <v>101</v>
      </c>
      <c r="H159" s="3" t="n">
        <v>10</v>
      </c>
      <c r="I159" s="3" t="n">
        <v>40</v>
      </c>
      <c r="J159" s="4" t="n">
        <f aca="false">G159*380</f>
        <v>38380</v>
      </c>
      <c r="K159" s="3" t="s">
        <v>2470</v>
      </c>
    </row>
    <row r="160" customFormat="false" ht="15" hidden="false" customHeight="false" outlineLevel="0" collapsed="false">
      <c r="A160" s="6" t="s">
        <v>672</v>
      </c>
      <c r="B160" s="6" t="s">
        <v>673</v>
      </c>
      <c r="C160" s="6" t="s">
        <v>609</v>
      </c>
      <c r="D160" s="6" t="s">
        <v>656</v>
      </c>
      <c r="E160" s="6" t="s">
        <v>674</v>
      </c>
      <c r="F160" s="6" t="s">
        <v>6</v>
      </c>
      <c r="G160" s="6" t="n">
        <v>29</v>
      </c>
      <c r="H160" s="6" t="n">
        <v>20</v>
      </c>
      <c r="I160" s="6" t="n">
        <v>80</v>
      </c>
      <c r="J160" s="7" t="n">
        <f aca="false">G160*120</f>
        <v>3480</v>
      </c>
      <c r="K160" s="6" t="s">
        <v>2470</v>
      </c>
    </row>
    <row r="161" customFormat="false" ht="15" hidden="false" customHeight="false" outlineLevel="0" collapsed="false">
      <c r="A161" s="3" t="s">
        <v>675</v>
      </c>
      <c r="B161" s="3" t="s">
        <v>676</v>
      </c>
      <c r="C161" s="3" t="s">
        <v>609</v>
      </c>
      <c r="D161" s="3" t="s">
        <v>656</v>
      </c>
      <c r="E161" s="3" t="s">
        <v>677</v>
      </c>
      <c r="F161" s="3" t="s">
        <v>6</v>
      </c>
      <c r="G161" s="3" t="n">
        <v>44</v>
      </c>
      <c r="H161" s="3" t="n">
        <v>3</v>
      </c>
      <c r="I161" s="3" t="n">
        <v>10</v>
      </c>
      <c r="J161" s="4" t="n">
        <f aca="false">G161*2800</f>
        <v>123200</v>
      </c>
      <c r="K161" s="3" t="s">
        <v>2470</v>
      </c>
    </row>
    <row r="162" customFormat="false" ht="15" hidden="false" customHeight="false" outlineLevel="0" collapsed="false">
      <c r="A162" s="6" t="s">
        <v>679</v>
      </c>
      <c r="B162" s="6" t="s">
        <v>680</v>
      </c>
      <c r="C162" s="6" t="s">
        <v>609</v>
      </c>
      <c r="D162" s="6" t="s">
        <v>656</v>
      </c>
      <c r="E162" s="6" t="s">
        <v>681</v>
      </c>
      <c r="F162" s="6" t="s">
        <v>6</v>
      </c>
      <c r="G162" s="6" t="n">
        <v>40</v>
      </c>
      <c r="H162" s="6" t="n">
        <v>5</v>
      </c>
      <c r="I162" s="6" t="n">
        <v>20</v>
      </c>
      <c r="J162" s="7" t="n">
        <f aca="false">G162*650</f>
        <v>26000</v>
      </c>
      <c r="K162" s="6" t="s">
        <v>2470</v>
      </c>
    </row>
    <row r="163" customFormat="false" ht="15" hidden="false" customHeight="false" outlineLevel="0" collapsed="false">
      <c r="A163" s="3" t="s">
        <v>682</v>
      </c>
      <c r="B163" s="3" t="s">
        <v>683</v>
      </c>
      <c r="C163" s="3" t="s">
        <v>609</v>
      </c>
      <c r="D163" s="3" t="s">
        <v>656</v>
      </c>
      <c r="E163" s="3" t="s">
        <v>684</v>
      </c>
      <c r="F163" s="3" t="s">
        <v>6</v>
      </c>
      <c r="G163" s="3" t="n">
        <v>132</v>
      </c>
      <c r="H163" s="3" t="n">
        <v>3</v>
      </c>
      <c r="I163" s="3" t="n">
        <v>10</v>
      </c>
      <c r="J163" s="4" t="n">
        <f aca="false">G163*3500</f>
        <v>462000</v>
      </c>
      <c r="K163" s="3" t="s">
        <v>2470</v>
      </c>
    </row>
    <row r="164" customFormat="false" ht="15" hidden="false" customHeight="false" outlineLevel="0" collapsed="false">
      <c r="A164" s="6" t="s">
        <v>687</v>
      </c>
      <c r="B164" s="6" t="s">
        <v>689</v>
      </c>
      <c r="C164" s="6" t="s">
        <v>609</v>
      </c>
      <c r="D164" s="6" t="s">
        <v>688</v>
      </c>
      <c r="E164" s="6" t="s">
        <v>690</v>
      </c>
      <c r="F164" s="6" t="s">
        <v>6</v>
      </c>
      <c r="G164" s="6" t="n">
        <v>88</v>
      </c>
      <c r="H164" s="6" t="n">
        <v>10</v>
      </c>
      <c r="I164" s="6" t="n">
        <v>40</v>
      </c>
      <c r="J164" s="7" t="n">
        <f aca="false">G164*750</f>
        <v>66000</v>
      </c>
      <c r="K164" s="6" t="s">
        <v>2470</v>
      </c>
    </row>
    <row r="165" customFormat="false" ht="15" hidden="false" customHeight="false" outlineLevel="0" collapsed="false">
      <c r="A165" s="3" t="s">
        <v>693</v>
      </c>
      <c r="B165" s="3" t="s">
        <v>694</v>
      </c>
      <c r="C165" s="3" t="s">
        <v>609</v>
      </c>
      <c r="D165" s="3" t="s">
        <v>688</v>
      </c>
      <c r="E165" s="3" t="s">
        <v>695</v>
      </c>
      <c r="F165" s="3" t="s">
        <v>6</v>
      </c>
      <c r="G165" s="3" t="n">
        <v>5</v>
      </c>
      <c r="H165" s="3" t="n">
        <v>10</v>
      </c>
      <c r="I165" s="3" t="n">
        <v>40</v>
      </c>
      <c r="J165" s="4" t="n">
        <f aca="false">G165*680</f>
        <v>3400</v>
      </c>
      <c r="K165" s="9" t="s">
        <v>2471</v>
      </c>
    </row>
    <row r="166" customFormat="false" ht="15" hidden="false" customHeight="false" outlineLevel="0" collapsed="false">
      <c r="A166" s="6" t="s">
        <v>697</v>
      </c>
      <c r="B166" s="6" t="s">
        <v>698</v>
      </c>
      <c r="C166" s="6" t="s">
        <v>609</v>
      </c>
      <c r="D166" s="6" t="s">
        <v>688</v>
      </c>
      <c r="E166" s="6" t="s">
        <v>699</v>
      </c>
      <c r="F166" s="6" t="s">
        <v>6</v>
      </c>
      <c r="G166" s="6" t="n">
        <v>144</v>
      </c>
      <c r="H166" s="6" t="n">
        <v>20</v>
      </c>
      <c r="I166" s="6" t="n">
        <v>80</v>
      </c>
      <c r="J166" s="7" t="n">
        <f aca="false">G166*120</f>
        <v>17280</v>
      </c>
      <c r="K166" s="6" t="s">
        <v>2470</v>
      </c>
    </row>
    <row r="167" customFormat="false" ht="15" hidden="false" customHeight="false" outlineLevel="0" collapsed="false">
      <c r="A167" s="3" t="s">
        <v>701</v>
      </c>
      <c r="B167" s="3" t="s">
        <v>702</v>
      </c>
      <c r="C167" s="3" t="s">
        <v>609</v>
      </c>
      <c r="D167" s="3" t="s">
        <v>688</v>
      </c>
      <c r="E167" s="3" t="s">
        <v>703</v>
      </c>
      <c r="F167" s="3" t="s">
        <v>6</v>
      </c>
      <c r="G167" s="3" t="n">
        <v>42</v>
      </c>
      <c r="H167" s="3" t="n">
        <v>8</v>
      </c>
      <c r="I167" s="3" t="n">
        <v>30</v>
      </c>
      <c r="J167" s="4" t="n">
        <f aca="false">G167*680</f>
        <v>28560</v>
      </c>
      <c r="K167" s="3" t="s">
        <v>2470</v>
      </c>
    </row>
    <row r="168" customFormat="false" ht="15" hidden="false" customHeight="false" outlineLevel="0" collapsed="false">
      <c r="A168" s="6" t="s">
        <v>705</v>
      </c>
      <c r="B168" s="6" t="s">
        <v>706</v>
      </c>
      <c r="C168" s="6" t="s">
        <v>609</v>
      </c>
      <c r="D168" s="6" t="s">
        <v>688</v>
      </c>
      <c r="E168" s="6" t="s">
        <v>707</v>
      </c>
      <c r="F168" s="6" t="s">
        <v>6</v>
      </c>
      <c r="G168" s="6" t="n">
        <v>95</v>
      </c>
      <c r="H168" s="6" t="n">
        <v>20</v>
      </c>
      <c r="I168" s="6" t="n">
        <v>80</v>
      </c>
      <c r="J168" s="7" t="n">
        <f aca="false">G168*220</f>
        <v>20900</v>
      </c>
      <c r="K168" s="6" t="s">
        <v>2470</v>
      </c>
    </row>
    <row r="169" customFormat="false" ht="15" hidden="false" customHeight="false" outlineLevel="0" collapsed="false">
      <c r="A169" s="3" t="s">
        <v>710</v>
      </c>
      <c r="B169" s="3" t="s">
        <v>711</v>
      </c>
      <c r="C169" s="3" t="s">
        <v>609</v>
      </c>
      <c r="D169" s="3" t="s">
        <v>688</v>
      </c>
      <c r="E169" s="3" t="s">
        <v>712</v>
      </c>
      <c r="F169" s="3" t="s">
        <v>6</v>
      </c>
      <c r="G169" s="3" t="n">
        <v>132</v>
      </c>
      <c r="H169" s="3" t="n">
        <v>20</v>
      </c>
      <c r="I169" s="3" t="n">
        <v>80</v>
      </c>
      <c r="J169" s="4" t="n">
        <f aca="false">G169*200</f>
        <v>26400</v>
      </c>
      <c r="K169" s="3" t="s">
        <v>2470</v>
      </c>
    </row>
    <row r="170" customFormat="false" ht="15" hidden="false" customHeight="false" outlineLevel="0" collapsed="false">
      <c r="A170" s="6" t="s">
        <v>714</v>
      </c>
      <c r="B170" s="6" t="s">
        <v>715</v>
      </c>
      <c r="C170" s="6" t="s">
        <v>609</v>
      </c>
      <c r="D170" s="6" t="s">
        <v>688</v>
      </c>
      <c r="E170" s="6" t="s">
        <v>716</v>
      </c>
      <c r="F170" s="6" t="s">
        <v>6</v>
      </c>
      <c r="G170" s="6" t="n">
        <v>136</v>
      </c>
      <c r="H170" s="6" t="n">
        <v>10</v>
      </c>
      <c r="I170" s="6" t="n">
        <v>40</v>
      </c>
      <c r="J170" s="7" t="n">
        <f aca="false">G170*750</f>
        <v>102000</v>
      </c>
      <c r="K170" s="6" t="s">
        <v>2470</v>
      </c>
    </row>
    <row r="171" customFormat="false" ht="15" hidden="false" customHeight="false" outlineLevel="0" collapsed="false">
      <c r="A171" s="3" t="s">
        <v>718</v>
      </c>
      <c r="B171" s="3" t="s">
        <v>719</v>
      </c>
      <c r="C171" s="3" t="s">
        <v>609</v>
      </c>
      <c r="D171" s="3" t="s">
        <v>688</v>
      </c>
      <c r="E171" s="3" t="s">
        <v>720</v>
      </c>
      <c r="F171" s="3" t="s">
        <v>6</v>
      </c>
      <c r="G171" s="3" t="n">
        <v>77</v>
      </c>
      <c r="H171" s="3" t="n">
        <v>15</v>
      </c>
      <c r="I171" s="3" t="n">
        <v>60</v>
      </c>
      <c r="J171" s="4" t="n">
        <f aca="false">G171*380</f>
        <v>29260</v>
      </c>
      <c r="K171" s="3" t="s">
        <v>2470</v>
      </c>
    </row>
    <row r="172" customFormat="false" ht="15" hidden="false" customHeight="false" outlineLevel="0" collapsed="false">
      <c r="A172" s="6" t="s">
        <v>722</v>
      </c>
      <c r="B172" s="6" t="s">
        <v>723</v>
      </c>
      <c r="C172" s="6" t="s">
        <v>609</v>
      </c>
      <c r="D172" s="6" t="s">
        <v>688</v>
      </c>
      <c r="E172" s="6" t="s">
        <v>724</v>
      </c>
      <c r="F172" s="6" t="s">
        <v>6</v>
      </c>
      <c r="G172" s="6" t="n">
        <v>48</v>
      </c>
      <c r="H172" s="6" t="n">
        <v>15</v>
      </c>
      <c r="I172" s="6" t="n">
        <v>60</v>
      </c>
      <c r="J172" s="7" t="n">
        <f aca="false">G172*320</f>
        <v>15360</v>
      </c>
      <c r="K172" s="6" t="s">
        <v>2470</v>
      </c>
    </row>
    <row r="173" customFormat="false" ht="15" hidden="false" customHeight="false" outlineLevel="0" collapsed="false">
      <c r="A173" s="3" t="s">
        <v>725</v>
      </c>
      <c r="B173" s="3" t="s">
        <v>726</v>
      </c>
      <c r="C173" s="3" t="s">
        <v>609</v>
      </c>
      <c r="D173" s="3" t="s">
        <v>688</v>
      </c>
      <c r="E173" s="3" t="s">
        <v>727</v>
      </c>
      <c r="F173" s="3" t="s">
        <v>6</v>
      </c>
      <c r="G173" s="3" t="n">
        <v>89</v>
      </c>
      <c r="H173" s="3" t="n">
        <v>10</v>
      </c>
      <c r="I173" s="3" t="n">
        <v>40</v>
      </c>
      <c r="J173" s="4" t="n">
        <f aca="false">G173*550</f>
        <v>48950</v>
      </c>
      <c r="K173" s="3" t="s">
        <v>2470</v>
      </c>
    </row>
    <row r="174" customFormat="false" ht="15" hidden="false" customHeight="false" outlineLevel="0" collapsed="false">
      <c r="A174" s="6" t="s">
        <v>730</v>
      </c>
      <c r="B174" s="6" t="s">
        <v>733</v>
      </c>
      <c r="C174" s="6" t="s">
        <v>731</v>
      </c>
      <c r="D174" s="6" t="s">
        <v>732</v>
      </c>
      <c r="E174" s="6" t="s">
        <v>734</v>
      </c>
      <c r="F174" s="6" t="s">
        <v>6</v>
      </c>
      <c r="G174" s="6" t="n">
        <v>38</v>
      </c>
      <c r="H174" s="6" t="n">
        <v>10</v>
      </c>
      <c r="I174" s="6" t="n">
        <v>50</v>
      </c>
      <c r="J174" s="7" t="n">
        <f aca="false">G174*1100</f>
        <v>41800</v>
      </c>
      <c r="K174" s="6" t="s">
        <v>2470</v>
      </c>
    </row>
    <row r="175" customFormat="false" ht="15" hidden="false" customHeight="false" outlineLevel="0" collapsed="false">
      <c r="A175" s="3" t="s">
        <v>737</v>
      </c>
      <c r="B175" s="3" t="s">
        <v>738</v>
      </c>
      <c r="C175" s="3" t="s">
        <v>731</v>
      </c>
      <c r="D175" s="3" t="s">
        <v>732</v>
      </c>
      <c r="E175" s="3" t="s">
        <v>739</v>
      </c>
      <c r="F175" s="3" t="s">
        <v>6</v>
      </c>
      <c r="G175" s="3" t="n">
        <v>147</v>
      </c>
      <c r="H175" s="3" t="n">
        <v>20</v>
      </c>
      <c r="I175" s="3" t="n">
        <v>100</v>
      </c>
      <c r="J175" s="4" t="n">
        <f aca="false">G175*180</f>
        <v>26460</v>
      </c>
      <c r="K175" s="3" t="s">
        <v>2470</v>
      </c>
    </row>
    <row r="176" customFormat="false" ht="15" hidden="false" customHeight="false" outlineLevel="0" collapsed="false">
      <c r="A176" s="6" t="s">
        <v>742</v>
      </c>
      <c r="B176" s="6" t="s">
        <v>743</v>
      </c>
      <c r="C176" s="6" t="s">
        <v>731</v>
      </c>
      <c r="D176" s="6" t="s">
        <v>732</v>
      </c>
      <c r="E176" s="6" t="s">
        <v>744</v>
      </c>
      <c r="F176" s="6" t="s">
        <v>6</v>
      </c>
      <c r="G176" s="6" t="n">
        <v>58</v>
      </c>
      <c r="H176" s="6" t="n">
        <v>15</v>
      </c>
      <c r="I176" s="6" t="n">
        <v>60</v>
      </c>
      <c r="J176" s="7" t="n">
        <f aca="false">G176*150</f>
        <v>8700</v>
      </c>
      <c r="K176" s="6" t="s">
        <v>2470</v>
      </c>
    </row>
    <row r="177" customFormat="false" ht="15" hidden="false" customHeight="false" outlineLevel="0" collapsed="false">
      <c r="A177" s="3" t="s">
        <v>745</v>
      </c>
      <c r="B177" s="3" t="s">
        <v>746</v>
      </c>
      <c r="C177" s="3" t="s">
        <v>731</v>
      </c>
      <c r="D177" s="3" t="s">
        <v>732</v>
      </c>
      <c r="E177" s="3" t="s">
        <v>747</v>
      </c>
      <c r="F177" s="3" t="s">
        <v>6</v>
      </c>
      <c r="G177" s="3" t="n">
        <v>49</v>
      </c>
      <c r="H177" s="3" t="n">
        <v>15</v>
      </c>
      <c r="I177" s="3" t="n">
        <v>60</v>
      </c>
      <c r="J177" s="4" t="n">
        <f aca="false">G177*180</f>
        <v>8820</v>
      </c>
      <c r="K177" s="3" t="s">
        <v>2470</v>
      </c>
    </row>
    <row r="178" customFormat="false" ht="15" hidden="false" customHeight="false" outlineLevel="0" collapsed="false">
      <c r="A178" s="6" t="s">
        <v>748</v>
      </c>
      <c r="B178" s="6" t="s">
        <v>749</v>
      </c>
      <c r="C178" s="6" t="s">
        <v>731</v>
      </c>
      <c r="D178" s="6" t="s">
        <v>732</v>
      </c>
      <c r="E178" s="6" t="s">
        <v>750</v>
      </c>
      <c r="F178" s="6" t="s">
        <v>6</v>
      </c>
      <c r="G178" s="6" t="n">
        <v>35</v>
      </c>
      <c r="H178" s="6" t="n">
        <v>10</v>
      </c>
      <c r="I178" s="6" t="n">
        <v>40</v>
      </c>
      <c r="J178" s="7" t="n">
        <f aca="false">G178*380</f>
        <v>13300</v>
      </c>
      <c r="K178" s="6" t="s">
        <v>2470</v>
      </c>
    </row>
    <row r="179" customFormat="false" ht="15" hidden="false" customHeight="false" outlineLevel="0" collapsed="false">
      <c r="A179" s="3" t="s">
        <v>751</v>
      </c>
      <c r="B179" s="3" t="s">
        <v>752</v>
      </c>
      <c r="C179" s="3" t="s">
        <v>731</v>
      </c>
      <c r="D179" s="3" t="s">
        <v>732</v>
      </c>
      <c r="E179" s="3" t="s">
        <v>753</v>
      </c>
      <c r="F179" s="3" t="s">
        <v>6</v>
      </c>
      <c r="G179" s="3" t="n">
        <v>36</v>
      </c>
      <c r="H179" s="3" t="n">
        <v>20</v>
      </c>
      <c r="I179" s="3" t="n">
        <v>80</v>
      </c>
      <c r="J179" s="4" t="n">
        <f aca="false">G179*120</f>
        <v>4320</v>
      </c>
      <c r="K179" s="3" t="s">
        <v>2470</v>
      </c>
    </row>
    <row r="180" customFormat="false" ht="15" hidden="false" customHeight="false" outlineLevel="0" collapsed="false">
      <c r="A180" s="6" t="s">
        <v>754</v>
      </c>
      <c r="B180" s="6" t="s">
        <v>755</v>
      </c>
      <c r="C180" s="6" t="s">
        <v>731</v>
      </c>
      <c r="D180" s="6" t="s">
        <v>732</v>
      </c>
      <c r="E180" s="6" t="s">
        <v>756</v>
      </c>
      <c r="F180" s="6" t="s">
        <v>6</v>
      </c>
      <c r="G180" s="6" t="n">
        <v>113</v>
      </c>
      <c r="H180" s="6" t="n">
        <v>10</v>
      </c>
      <c r="I180" s="6" t="n">
        <v>40</v>
      </c>
      <c r="J180" s="7" t="n">
        <f aca="false">G180*320</f>
        <v>36160</v>
      </c>
      <c r="K180" s="6" t="s">
        <v>2470</v>
      </c>
    </row>
    <row r="181" customFormat="false" ht="15" hidden="false" customHeight="false" outlineLevel="0" collapsed="false">
      <c r="A181" s="3" t="s">
        <v>757</v>
      </c>
      <c r="B181" s="3" t="s">
        <v>759</v>
      </c>
      <c r="C181" s="3" t="s">
        <v>731</v>
      </c>
      <c r="D181" s="3" t="s">
        <v>758</v>
      </c>
      <c r="E181" s="3" t="s">
        <v>760</v>
      </c>
      <c r="F181" s="3" t="s">
        <v>6</v>
      </c>
      <c r="G181" s="3" t="n">
        <v>31</v>
      </c>
      <c r="H181" s="3" t="n">
        <v>10</v>
      </c>
      <c r="I181" s="3" t="n">
        <v>50</v>
      </c>
      <c r="J181" s="4" t="n">
        <f aca="false">G181*120</f>
        <v>3720</v>
      </c>
      <c r="K181" s="3" t="s">
        <v>2470</v>
      </c>
    </row>
    <row r="182" customFormat="false" ht="15" hidden="false" customHeight="false" outlineLevel="0" collapsed="false">
      <c r="A182" s="6" t="s">
        <v>762</v>
      </c>
      <c r="B182" s="6" t="s">
        <v>763</v>
      </c>
      <c r="C182" s="6" t="s">
        <v>731</v>
      </c>
      <c r="D182" s="6" t="s">
        <v>758</v>
      </c>
      <c r="E182" s="6" t="s">
        <v>764</v>
      </c>
      <c r="F182" s="6" t="s">
        <v>6</v>
      </c>
      <c r="G182" s="6" t="n">
        <v>56</v>
      </c>
      <c r="H182" s="6" t="n">
        <v>20</v>
      </c>
      <c r="I182" s="6" t="n">
        <v>100</v>
      </c>
      <c r="J182" s="7" t="n">
        <f aca="false">G182*45</f>
        <v>2520</v>
      </c>
      <c r="K182" s="6" t="s">
        <v>2470</v>
      </c>
    </row>
    <row r="183" customFormat="false" ht="15" hidden="false" customHeight="false" outlineLevel="0" collapsed="false">
      <c r="A183" s="3" t="s">
        <v>766</v>
      </c>
      <c r="B183" s="3" t="s">
        <v>767</v>
      </c>
      <c r="C183" s="3" t="s">
        <v>731</v>
      </c>
      <c r="D183" s="3" t="s">
        <v>758</v>
      </c>
      <c r="E183" s="3" t="s">
        <v>768</v>
      </c>
      <c r="F183" s="3" t="s">
        <v>6</v>
      </c>
      <c r="G183" s="3" t="n">
        <v>82</v>
      </c>
      <c r="H183" s="3" t="n">
        <v>5</v>
      </c>
      <c r="I183" s="3" t="n">
        <v>20</v>
      </c>
      <c r="J183" s="4" t="n">
        <f aca="false">G183*1500</f>
        <v>123000</v>
      </c>
      <c r="K183" s="3" t="s">
        <v>2470</v>
      </c>
    </row>
    <row r="184" customFormat="false" ht="15" hidden="false" customHeight="false" outlineLevel="0" collapsed="false">
      <c r="A184" s="6" t="s">
        <v>770</v>
      </c>
      <c r="B184" s="6" t="s">
        <v>771</v>
      </c>
      <c r="C184" s="6" t="s">
        <v>731</v>
      </c>
      <c r="D184" s="6" t="s">
        <v>758</v>
      </c>
      <c r="E184" s="6" t="s">
        <v>772</v>
      </c>
      <c r="F184" s="6" t="s">
        <v>6</v>
      </c>
      <c r="G184" s="6" t="n">
        <v>128</v>
      </c>
      <c r="H184" s="6" t="n">
        <v>10</v>
      </c>
      <c r="I184" s="6" t="n">
        <v>40</v>
      </c>
      <c r="J184" s="7" t="n">
        <f aca="false">G184*350</f>
        <v>44800</v>
      </c>
      <c r="K184" s="6" t="s">
        <v>2470</v>
      </c>
    </row>
    <row r="185" customFormat="false" ht="15" hidden="false" customHeight="false" outlineLevel="0" collapsed="false">
      <c r="A185" s="3" t="s">
        <v>773</v>
      </c>
      <c r="B185" s="3" t="s">
        <v>774</v>
      </c>
      <c r="C185" s="3" t="s">
        <v>731</v>
      </c>
      <c r="D185" s="3" t="s">
        <v>758</v>
      </c>
      <c r="E185" s="3" t="s">
        <v>775</v>
      </c>
      <c r="F185" s="3" t="s">
        <v>6</v>
      </c>
      <c r="G185" s="3" t="n">
        <v>36</v>
      </c>
      <c r="H185" s="3" t="n">
        <v>15</v>
      </c>
      <c r="I185" s="3" t="n">
        <v>60</v>
      </c>
      <c r="J185" s="4" t="n">
        <f aca="false">G185*280</f>
        <v>10080</v>
      </c>
      <c r="K185" s="3" t="s">
        <v>2470</v>
      </c>
    </row>
    <row r="186" customFormat="false" ht="15" hidden="false" customHeight="false" outlineLevel="0" collapsed="false">
      <c r="A186" s="6" t="s">
        <v>777</v>
      </c>
      <c r="B186" s="6" t="s">
        <v>778</v>
      </c>
      <c r="C186" s="6" t="s">
        <v>731</v>
      </c>
      <c r="D186" s="6" t="s">
        <v>758</v>
      </c>
      <c r="E186" s="6" t="s">
        <v>779</v>
      </c>
      <c r="F186" s="6" t="s">
        <v>6</v>
      </c>
      <c r="G186" s="6" t="n">
        <v>48</v>
      </c>
      <c r="H186" s="6" t="n">
        <v>20</v>
      </c>
      <c r="I186" s="6" t="n">
        <v>80</v>
      </c>
      <c r="J186" s="7" t="n">
        <f aca="false">G186*180</f>
        <v>8640</v>
      </c>
      <c r="K186" s="6" t="s">
        <v>2470</v>
      </c>
    </row>
    <row r="187" customFormat="false" ht="15" hidden="false" customHeight="false" outlineLevel="0" collapsed="false">
      <c r="A187" s="3" t="s">
        <v>781</v>
      </c>
      <c r="B187" s="3" t="s">
        <v>782</v>
      </c>
      <c r="C187" s="3" t="s">
        <v>731</v>
      </c>
      <c r="D187" s="3" t="s">
        <v>758</v>
      </c>
      <c r="E187" s="3" t="s">
        <v>783</v>
      </c>
      <c r="F187" s="3" t="s">
        <v>6</v>
      </c>
      <c r="G187" s="3" t="n">
        <v>42</v>
      </c>
      <c r="H187" s="3" t="n">
        <v>30</v>
      </c>
      <c r="I187" s="3" t="n">
        <v>100</v>
      </c>
      <c r="J187" s="4" t="n">
        <f aca="false">G187*50</f>
        <v>2100</v>
      </c>
      <c r="K187" s="3" t="s">
        <v>2470</v>
      </c>
    </row>
    <row r="188" customFormat="false" ht="15" hidden="false" customHeight="false" outlineLevel="0" collapsed="false">
      <c r="A188" s="6" t="s">
        <v>784</v>
      </c>
      <c r="B188" s="6" t="s">
        <v>786</v>
      </c>
      <c r="C188" s="6" t="s">
        <v>731</v>
      </c>
      <c r="D188" s="6" t="s">
        <v>785</v>
      </c>
      <c r="E188" s="6" t="s">
        <v>787</v>
      </c>
      <c r="F188" s="6" t="s">
        <v>6</v>
      </c>
      <c r="G188" s="6" t="n">
        <v>77</v>
      </c>
      <c r="H188" s="6" t="n">
        <v>5</v>
      </c>
      <c r="I188" s="6" t="n">
        <v>20</v>
      </c>
      <c r="J188" s="7" t="n">
        <f aca="false">G188*650</f>
        <v>50050</v>
      </c>
      <c r="K188" s="6" t="s">
        <v>2470</v>
      </c>
    </row>
    <row r="189" customFormat="false" ht="15" hidden="false" customHeight="false" outlineLevel="0" collapsed="false">
      <c r="A189" s="3" t="s">
        <v>789</v>
      </c>
      <c r="B189" s="3" t="s">
        <v>790</v>
      </c>
      <c r="C189" s="3" t="s">
        <v>731</v>
      </c>
      <c r="D189" s="3" t="s">
        <v>785</v>
      </c>
      <c r="E189" s="3" t="s">
        <v>791</v>
      </c>
      <c r="F189" s="3" t="s">
        <v>6</v>
      </c>
      <c r="G189" s="3" t="n">
        <v>106</v>
      </c>
      <c r="H189" s="3" t="n">
        <v>10</v>
      </c>
      <c r="I189" s="3" t="n">
        <v>50</v>
      </c>
      <c r="J189" s="4" t="n">
        <f aca="false">G189*120</f>
        <v>12720</v>
      </c>
      <c r="K189" s="3" t="s">
        <v>2470</v>
      </c>
    </row>
    <row r="190" customFormat="false" ht="15" hidden="false" customHeight="false" outlineLevel="0" collapsed="false">
      <c r="A190" s="6" t="s">
        <v>792</v>
      </c>
      <c r="B190" s="6" t="s">
        <v>793</v>
      </c>
      <c r="C190" s="6" t="s">
        <v>731</v>
      </c>
      <c r="D190" s="6" t="s">
        <v>785</v>
      </c>
      <c r="E190" s="6" t="s">
        <v>794</v>
      </c>
      <c r="F190" s="6" t="s">
        <v>6</v>
      </c>
      <c r="G190" s="6" t="n">
        <v>51</v>
      </c>
      <c r="H190" s="6" t="n">
        <v>5</v>
      </c>
      <c r="I190" s="6" t="n">
        <v>20</v>
      </c>
      <c r="J190" s="7" t="n">
        <f aca="false">G190*550</f>
        <v>28050</v>
      </c>
      <c r="K190" s="6" t="s">
        <v>2470</v>
      </c>
    </row>
    <row r="191" customFormat="false" ht="15" hidden="false" customHeight="false" outlineLevel="0" collapsed="false">
      <c r="A191" s="3" t="s">
        <v>795</v>
      </c>
      <c r="B191" s="3" t="s">
        <v>796</v>
      </c>
      <c r="C191" s="3" t="s">
        <v>731</v>
      </c>
      <c r="D191" s="3" t="s">
        <v>785</v>
      </c>
      <c r="E191" s="3" t="s">
        <v>797</v>
      </c>
      <c r="F191" s="3" t="s">
        <v>6</v>
      </c>
      <c r="G191" s="3" t="n">
        <v>73</v>
      </c>
      <c r="H191" s="3" t="n">
        <v>10</v>
      </c>
      <c r="I191" s="3" t="n">
        <v>40</v>
      </c>
      <c r="J191" s="4" t="n">
        <f aca="false">G191*280</f>
        <v>20440</v>
      </c>
      <c r="K191" s="3" t="s">
        <v>2470</v>
      </c>
    </row>
    <row r="192" customFormat="false" ht="15" hidden="false" customHeight="false" outlineLevel="0" collapsed="false">
      <c r="A192" s="6" t="s">
        <v>799</v>
      </c>
      <c r="B192" s="6" t="s">
        <v>800</v>
      </c>
      <c r="C192" s="6" t="s">
        <v>731</v>
      </c>
      <c r="D192" s="6" t="s">
        <v>785</v>
      </c>
      <c r="E192" s="6" t="s">
        <v>801</v>
      </c>
      <c r="F192" s="6" t="s">
        <v>6</v>
      </c>
      <c r="G192" s="6" t="n">
        <v>6</v>
      </c>
      <c r="H192" s="6" t="n">
        <v>10</v>
      </c>
      <c r="I192" s="6" t="n">
        <v>40</v>
      </c>
      <c r="J192" s="7" t="n">
        <f aca="false">G192*380</f>
        <v>2280</v>
      </c>
      <c r="K192" s="9" t="s">
        <v>2471</v>
      </c>
    </row>
    <row r="193" customFormat="false" ht="15" hidden="false" customHeight="false" outlineLevel="0" collapsed="false">
      <c r="A193" s="3" t="s">
        <v>802</v>
      </c>
      <c r="B193" s="3" t="s">
        <v>803</v>
      </c>
      <c r="C193" s="3" t="s">
        <v>731</v>
      </c>
      <c r="D193" s="3" t="s">
        <v>785</v>
      </c>
      <c r="E193" s="3" t="s">
        <v>804</v>
      </c>
      <c r="F193" s="3" t="s">
        <v>6</v>
      </c>
      <c r="G193" s="3" t="n">
        <v>106</v>
      </c>
      <c r="H193" s="3" t="n">
        <v>20</v>
      </c>
      <c r="I193" s="3" t="n">
        <v>100</v>
      </c>
      <c r="J193" s="4" t="n">
        <f aca="false">G193*85</f>
        <v>9010</v>
      </c>
      <c r="K193" s="3" t="s">
        <v>2470</v>
      </c>
    </row>
    <row r="194" customFormat="false" ht="15" hidden="false" customHeight="false" outlineLevel="0" collapsed="false">
      <c r="A194" s="6" t="s">
        <v>805</v>
      </c>
      <c r="B194" s="6" t="s">
        <v>806</v>
      </c>
      <c r="C194" s="6" t="s">
        <v>731</v>
      </c>
      <c r="D194" s="6" t="s">
        <v>785</v>
      </c>
      <c r="E194" s="6" t="s">
        <v>807</v>
      </c>
      <c r="F194" s="6" t="s">
        <v>6</v>
      </c>
      <c r="G194" s="6" t="n">
        <v>74</v>
      </c>
      <c r="H194" s="6" t="n">
        <v>10</v>
      </c>
      <c r="I194" s="6" t="n">
        <v>50</v>
      </c>
      <c r="J194" s="7" t="n">
        <f aca="false">G194*120</f>
        <v>8880</v>
      </c>
      <c r="K194" s="6" t="s">
        <v>2470</v>
      </c>
    </row>
    <row r="195" customFormat="false" ht="15" hidden="false" customHeight="false" outlineLevel="0" collapsed="false">
      <c r="A195" s="3" t="s">
        <v>808</v>
      </c>
      <c r="B195" s="3" t="s">
        <v>809</v>
      </c>
      <c r="C195" s="3" t="s">
        <v>731</v>
      </c>
      <c r="D195" s="3" t="s">
        <v>785</v>
      </c>
      <c r="E195" s="3" t="s">
        <v>810</v>
      </c>
      <c r="F195" s="3" t="s">
        <v>6</v>
      </c>
      <c r="G195" s="3" t="n">
        <v>1</v>
      </c>
      <c r="H195" s="3" t="n">
        <v>15</v>
      </c>
      <c r="I195" s="3" t="n">
        <v>60</v>
      </c>
      <c r="J195" s="4" t="n">
        <f aca="false">G195*250</f>
        <v>250</v>
      </c>
      <c r="K195" s="9" t="s">
        <v>2471</v>
      </c>
    </row>
    <row r="196" customFormat="false" ht="15" hidden="false" customHeight="false" outlineLevel="0" collapsed="false">
      <c r="A196" s="6" t="s">
        <v>811</v>
      </c>
      <c r="B196" s="6" t="s">
        <v>812</v>
      </c>
      <c r="C196" s="6" t="s">
        <v>731</v>
      </c>
      <c r="D196" s="6" t="s">
        <v>785</v>
      </c>
      <c r="E196" s="6" t="s">
        <v>813</v>
      </c>
      <c r="F196" s="6" t="s">
        <v>6</v>
      </c>
      <c r="G196" s="6" t="n">
        <v>102</v>
      </c>
      <c r="H196" s="6" t="n">
        <v>5</v>
      </c>
      <c r="I196" s="6" t="n">
        <v>20</v>
      </c>
      <c r="J196" s="7" t="n">
        <f aca="false">G196*1800</f>
        <v>183600</v>
      </c>
      <c r="K196" s="6" t="s">
        <v>2470</v>
      </c>
    </row>
    <row r="197" customFormat="false" ht="15" hidden="false" customHeight="false" outlineLevel="0" collapsed="false">
      <c r="A197" s="3" t="s">
        <v>815</v>
      </c>
      <c r="B197" s="3" t="s">
        <v>818</v>
      </c>
      <c r="C197" s="3" t="s">
        <v>816</v>
      </c>
      <c r="D197" s="3" t="s">
        <v>817</v>
      </c>
      <c r="E197" s="3" t="s">
        <v>819</v>
      </c>
      <c r="F197" s="3" t="s">
        <v>6</v>
      </c>
      <c r="G197" s="3" t="n">
        <v>70</v>
      </c>
      <c r="H197" s="3" t="n">
        <v>5</v>
      </c>
      <c r="I197" s="3" t="n">
        <v>20</v>
      </c>
      <c r="J197" s="4" t="n">
        <f aca="false">G197*3500</f>
        <v>245000</v>
      </c>
      <c r="K197" s="3" t="s">
        <v>2470</v>
      </c>
    </row>
    <row r="198" customFormat="false" ht="15" hidden="false" customHeight="false" outlineLevel="0" collapsed="false">
      <c r="A198" s="6" t="s">
        <v>822</v>
      </c>
      <c r="B198" s="6" t="s">
        <v>823</v>
      </c>
      <c r="C198" s="6" t="s">
        <v>816</v>
      </c>
      <c r="D198" s="6" t="s">
        <v>817</v>
      </c>
      <c r="E198" s="6" t="s">
        <v>824</v>
      </c>
      <c r="F198" s="6" t="s">
        <v>6</v>
      </c>
      <c r="G198" s="6" t="n">
        <v>30</v>
      </c>
      <c r="H198" s="6" t="n">
        <v>5</v>
      </c>
      <c r="I198" s="6" t="n">
        <v>20</v>
      </c>
      <c r="J198" s="7" t="n">
        <f aca="false">G198*3200</f>
        <v>96000</v>
      </c>
      <c r="K198" s="6" t="s">
        <v>2470</v>
      </c>
    </row>
    <row r="199" customFormat="false" ht="15" hidden="false" customHeight="false" outlineLevel="0" collapsed="false">
      <c r="A199" s="3" t="s">
        <v>827</v>
      </c>
      <c r="B199" s="3" t="s">
        <v>828</v>
      </c>
      <c r="C199" s="3" t="s">
        <v>816</v>
      </c>
      <c r="D199" s="3" t="s">
        <v>817</v>
      </c>
      <c r="E199" s="3" t="s">
        <v>829</v>
      </c>
      <c r="F199" s="3" t="s">
        <v>6</v>
      </c>
      <c r="G199" s="3" t="n">
        <v>122</v>
      </c>
      <c r="H199" s="3" t="n">
        <v>5</v>
      </c>
      <c r="I199" s="3" t="n">
        <v>20</v>
      </c>
      <c r="J199" s="4" t="n">
        <f aca="false">G199*3300</f>
        <v>402600</v>
      </c>
      <c r="K199" s="3" t="s">
        <v>2470</v>
      </c>
    </row>
    <row r="200" customFormat="false" ht="15" hidden="false" customHeight="false" outlineLevel="0" collapsed="false">
      <c r="A200" s="6" t="s">
        <v>832</v>
      </c>
      <c r="B200" s="6" t="s">
        <v>833</v>
      </c>
      <c r="C200" s="6" t="s">
        <v>816</v>
      </c>
      <c r="D200" s="6" t="s">
        <v>817</v>
      </c>
      <c r="E200" s="6" t="s">
        <v>834</v>
      </c>
      <c r="F200" s="6" t="s">
        <v>6</v>
      </c>
      <c r="G200" s="6" t="n">
        <v>69</v>
      </c>
      <c r="H200" s="6" t="n">
        <v>5</v>
      </c>
      <c r="I200" s="6" t="n">
        <v>20</v>
      </c>
      <c r="J200" s="7" t="n">
        <f aca="false">G200*1200</f>
        <v>82800</v>
      </c>
      <c r="K200" s="6" t="s">
        <v>2470</v>
      </c>
    </row>
    <row r="201" customFormat="false" ht="15" hidden="false" customHeight="false" outlineLevel="0" collapsed="false">
      <c r="A201" s="3" t="s">
        <v>837</v>
      </c>
      <c r="B201" s="3" t="s">
        <v>838</v>
      </c>
      <c r="C201" s="3" t="s">
        <v>816</v>
      </c>
      <c r="D201" s="3" t="s">
        <v>817</v>
      </c>
      <c r="E201" s="3" t="s">
        <v>839</v>
      </c>
      <c r="F201" s="3" t="s">
        <v>6</v>
      </c>
      <c r="G201" s="3" t="n">
        <v>25</v>
      </c>
      <c r="H201" s="3" t="n">
        <v>10</v>
      </c>
      <c r="I201" s="3" t="n">
        <v>40</v>
      </c>
      <c r="J201" s="4" t="n">
        <f aca="false">G201*550</f>
        <v>13750</v>
      </c>
      <c r="K201" s="3" t="s">
        <v>2470</v>
      </c>
    </row>
    <row r="202" customFormat="false" ht="15" hidden="false" customHeight="false" outlineLevel="0" collapsed="false">
      <c r="A202" s="6" t="s">
        <v>840</v>
      </c>
      <c r="B202" s="6" t="s">
        <v>841</v>
      </c>
      <c r="C202" s="6" t="s">
        <v>816</v>
      </c>
      <c r="D202" s="6" t="s">
        <v>817</v>
      </c>
      <c r="E202" s="6" t="s">
        <v>842</v>
      </c>
      <c r="F202" s="6" t="s">
        <v>6</v>
      </c>
      <c r="G202" s="6" t="n">
        <v>107</v>
      </c>
      <c r="H202" s="6" t="n">
        <v>10</v>
      </c>
      <c r="I202" s="6" t="n">
        <v>40</v>
      </c>
      <c r="J202" s="7" t="n">
        <f aca="false">G202*650</f>
        <v>69550</v>
      </c>
      <c r="K202" s="6" t="s">
        <v>2470</v>
      </c>
    </row>
    <row r="203" customFormat="false" ht="15" hidden="false" customHeight="false" outlineLevel="0" collapsed="false">
      <c r="A203" s="3" t="s">
        <v>844</v>
      </c>
      <c r="B203" s="3" t="s">
        <v>845</v>
      </c>
      <c r="C203" s="3" t="s">
        <v>816</v>
      </c>
      <c r="D203" s="3" t="s">
        <v>817</v>
      </c>
      <c r="E203" s="3" t="s">
        <v>846</v>
      </c>
      <c r="F203" s="3" t="s">
        <v>6</v>
      </c>
      <c r="G203" s="3" t="n">
        <v>118</v>
      </c>
      <c r="H203" s="3" t="n">
        <v>10</v>
      </c>
      <c r="I203" s="3" t="n">
        <v>40</v>
      </c>
      <c r="J203" s="4" t="n">
        <f aca="false">G203*380</f>
        <v>44840</v>
      </c>
      <c r="K203" s="3" t="s">
        <v>2470</v>
      </c>
    </row>
    <row r="204" customFormat="false" ht="15" hidden="false" customHeight="false" outlineLevel="0" collapsed="false">
      <c r="A204" s="6" t="s">
        <v>847</v>
      </c>
      <c r="B204" s="6" t="s">
        <v>848</v>
      </c>
      <c r="C204" s="6" t="s">
        <v>816</v>
      </c>
      <c r="D204" s="6" t="s">
        <v>817</v>
      </c>
      <c r="E204" s="6" t="s">
        <v>849</v>
      </c>
      <c r="F204" s="6" t="s">
        <v>6</v>
      </c>
      <c r="G204" s="6" t="n">
        <v>142</v>
      </c>
      <c r="H204" s="6" t="n">
        <v>10</v>
      </c>
      <c r="I204" s="6" t="n">
        <v>40</v>
      </c>
      <c r="J204" s="7" t="n">
        <f aca="false">G204*320</f>
        <v>45440</v>
      </c>
      <c r="K204" s="6" t="s">
        <v>2470</v>
      </c>
    </row>
    <row r="205" customFormat="false" ht="15" hidden="false" customHeight="false" outlineLevel="0" collapsed="false">
      <c r="A205" s="3" t="s">
        <v>850</v>
      </c>
      <c r="B205" s="3" t="s">
        <v>852</v>
      </c>
      <c r="C205" s="3" t="s">
        <v>816</v>
      </c>
      <c r="D205" s="3" t="s">
        <v>851</v>
      </c>
      <c r="E205" s="3" t="s">
        <v>853</v>
      </c>
      <c r="F205" s="3" t="s">
        <v>6</v>
      </c>
      <c r="G205" s="3" t="n">
        <v>23</v>
      </c>
      <c r="H205" s="3" t="n">
        <v>5</v>
      </c>
      <c r="I205" s="3" t="n">
        <v>10</v>
      </c>
      <c r="J205" s="4" t="n">
        <f aca="false">G205*12500</f>
        <v>287500</v>
      </c>
      <c r="K205" s="3" t="s">
        <v>2470</v>
      </c>
    </row>
    <row r="206" customFormat="false" ht="15" hidden="false" customHeight="false" outlineLevel="0" collapsed="false">
      <c r="A206" s="6" t="s">
        <v>855</v>
      </c>
      <c r="B206" s="6" t="s">
        <v>856</v>
      </c>
      <c r="C206" s="6" t="s">
        <v>816</v>
      </c>
      <c r="D206" s="6" t="s">
        <v>851</v>
      </c>
      <c r="E206" s="6" t="s">
        <v>857</v>
      </c>
      <c r="F206" s="6" t="s">
        <v>6</v>
      </c>
      <c r="G206" s="6" t="n">
        <v>120</v>
      </c>
      <c r="H206" s="6" t="n">
        <v>4</v>
      </c>
      <c r="I206" s="6" t="n">
        <v>8</v>
      </c>
      <c r="J206" s="7" t="n">
        <f aca="false">G206*16000</f>
        <v>1920000</v>
      </c>
      <c r="K206" s="6" t="s">
        <v>2470</v>
      </c>
    </row>
    <row r="207" customFormat="false" ht="15" hidden="false" customHeight="false" outlineLevel="0" collapsed="false">
      <c r="A207" s="3" t="s">
        <v>860</v>
      </c>
      <c r="B207" s="3" t="s">
        <v>861</v>
      </c>
      <c r="C207" s="3" t="s">
        <v>816</v>
      </c>
      <c r="D207" s="3" t="s">
        <v>851</v>
      </c>
      <c r="E207" s="3" t="s">
        <v>862</v>
      </c>
      <c r="F207" s="3" t="s">
        <v>6</v>
      </c>
      <c r="G207" s="3" t="n">
        <v>19</v>
      </c>
      <c r="H207" s="3" t="n">
        <v>3</v>
      </c>
      <c r="I207" s="3" t="n">
        <v>8</v>
      </c>
      <c r="J207" s="4" t="n">
        <f aca="false">G207*14000</f>
        <v>266000</v>
      </c>
      <c r="K207" s="3" t="s">
        <v>2470</v>
      </c>
    </row>
    <row r="208" customFormat="false" ht="15" hidden="false" customHeight="false" outlineLevel="0" collapsed="false">
      <c r="A208" s="6" t="s">
        <v>865</v>
      </c>
      <c r="B208" s="6" t="s">
        <v>866</v>
      </c>
      <c r="C208" s="6" t="s">
        <v>816</v>
      </c>
      <c r="D208" s="6" t="s">
        <v>851</v>
      </c>
      <c r="E208" s="6" t="s">
        <v>867</v>
      </c>
      <c r="F208" s="6" t="s">
        <v>6</v>
      </c>
      <c r="G208" s="6" t="n">
        <v>61</v>
      </c>
      <c r="H208" s="6" t="n">
        <v>3</v>
      </c>
      <c r="I208" s="6" t="n">
        <v>8</v>
      </c>
      <c r="J208" s="7" t="n">
        <f aca="false">G208*16500</f>
        <v>1006500</v>
      </c>
      <c r="K208" s="6" t="s">
        <v>2470</v>
      </c>
    </row>
    <row r="209" customFormat="false" ht="15" hidden="false" customHeight="false" outlineLevel="0" collapsed="false">
      <c r="A209" s="3" t="s">
        <v>869</v>
      </c>
      <c r="B209" s="3" t="s">
        <v>870</v>
      </c>
      <c r="C209" s="3" t="s">
        <v>816</v>
      </c>
      <c r="D209" s="3" t="s">
        <v>851</v>
      </c>
      <c r="E209" s="3" t="s">
        <v>871</v>
      </c>
      <c r="F209" s="3" t="s">
        <v>6</v>
      </c>
      <c r="G209" s="3" t="n">
        <v>11</v>
      </c>
      <c r="H209" s="3" t="n">
        <v>3</v>
      </c>
      <c r="I209" s="3" t="n">
        <v>8</v>
      </c>
      <c r="J209" s="4" t="n">
        <f aca="false">G209*10500</f>
        <v>115500</v>
      </c>
      <c r="K209" s="3" t="s">
        <v>2470</v>
      </c>
    </row>
    <row r="210" customFormat="false" ht="15" hidden="false" customHeight="false" outlineLevel="0" collapsed="false">
      <c r="A210" s="6" t="s">
        <v>874</v>
      </c>
      <c r="B210" s="6" t="s">
        <v>876</v>
      </c>
      <c r="C210" s="6" t="s">
        <v>816</v>
      </c>
      <c r="D210" s="6" t="s">
        <v>875</v>
      </c>
      <c r="E210" s="6" t="s">
        <v>877</v>
      </c>
      <c r="F210" s="6" t="s">
        <v>6</v>
      </c>
      <c r="G210" s="6" t="n">
        <v>143</v>
      </c>
      <c r="H210" s="6" t="n">
        <v>10</v>
      </c>
      <c r="I210" s="6" t="n">
        <v>30</v>
      </c>
      <c r="J210" s="7" t="n">
        <f aca="false">G210*1800</f>
        <v>257400</v>
      </c>
      <c r="K210" s="6" t="s">
        <v>2470</v>
      </c>
    </row>
    <row r="211" customFormat="false" ht="15" hidden="false" customHeight="false" outlineLevel="0" collapsed="false">
      <c r="A211" s="3" t="s">
        <v>879</v>
      </c>
      <c r="B211" s="3" t="s">
        <v>880</v>
      </c>
      <c r="C211" s="3" t="s">
        <v>816</v>
      </c>
      <c r="D211" s="3" t="s">
        <v>875</v>
      </c>
      <c r="E211" s="3" t="s">
        <v>881</v>
      </c>
      <c r="F211" s="3" t="s">
        <v>6</v>
      </c>
      <c r="G211" s="3" t="n">
        <v>115</v>
      </c>
      <c r="H211" s="3" t="n">
        <v>5</v>
      </c>
      <c r="I211" s="3" t="n">
        <v>15</v>
      </c>
      <c r="J211" s="4" t="n">
        <f aca="false">G211*2500</f>
        <v>287500</v>
      </c>
      <c r="K211" s="3" t="s">
        <v>2470</v>
      </c>
    </row>
    <row r="212" customFormat="false" ht="15" hidden="false" customHeight="false" outlineLevel="0" collapsed="false">
      <c r="A212" s="6" t="s">
        <v>882</v>
      </c>
      <c r="B212" s="6" t="s">
        <v>883</v>
      </c>
      <c r="C212" s="6" t="s">
        <v>816</v>
      </c>
      <c r="D212" s="6" t="s">
        <v>875</v>
      </c>
      <c r="E212" s="6" t="s">
        <v>884</v>
      </c>
      <c r="F212" s="6" t="s">
        <v>6</v>
      </c>
      <c r="G212" s="6" t="n">
        <v>53</v>
      </c>
      <c r="H212" s="6" t="n">
        <v>15</v>
      </c>
      <c r="I212" s="6" t="n">
        <v>50</v>
      </c>
      <c r="J212" s="7" t="n">
        <f aca="false">G212*380</f>
        <v>20140</v>
      </c>
      <c r="K212" s="6" t="s">
        <v>2470</v>
      </c>
    </row>
    <row r="213" customFormat="false" ht="15" hidden="false" customHeight="false" outlineLevel="0" collapsed="false">
      <c r="A213" s="3" t="s">
        <v>885</v>
      </c>
      <c r="B213" s="3" t="s">
        <v>886</v>
      </c>
      <c r="C213" s="3" t="s">
        <v>816</v>
      </c>
      <c r="D213" s="3" t="s">
        <v>875</v>
      </c>
      <c r="E213" s="3" t="s">
        <v>887</v>
      </c>
      <c r="F213" s="3" t="s">
        <v>6</v>
      </c>
      <c r="G213" s="3" t="n">
        <v>150</v>
      </c>
      <c r="H213" s="3" t="n">
        <v>20</v>
      </c>
      <c r="I213" s="3" t="n">
        <v>80</v>
      </c>
      <c r="J213" s="4" t="n">
        <f aca="false">G213*180</f>
        <v>27000</v>
      </c>
      <c r="K213" s="3" t="s">
        <v>2470</v>
      </c>
    </row>
    <row r="214" customFormat="false" ht="15" hidden="false" customHeight="false" outlineLevel="0" collapsed="false">
      <c r="A214" s="6" t="s">
        <v>889</v>
      </c>
      <c r="B214" s="6" t="s">
        <v>890</v>
      </c>
      <c r="C214" s="6" t="s">
        <v>816</v>
      </c>
      <c r="D214" s="6" t="s">
        <v>875</v>
      </c>
      <c r="E214" s="6" t="s">
        <v>891</v>
      </c>
      <c r="F214" s="6" t="s">
        <v>6</v>
      </c>
      <c r="G214" s="6" t="n">
        <v>0</v>
      </c>
      <c r="H214" s="6" t="n">
        <v>10</v>
      </c>
      <c r="I214" s="6" t="n">
        <v>30</v>
      </c>
      <c r="J214" s="7" t="n">
        <f aca="false">G214*550</f>
        <v>0</v>
      </c>
      <c r="K214" s="9" t="s">
        <v>2471</v>
      </c>
    </row>
    <row r="215" customFormat="false" ht="15" hidden="false" customHeight="false" outlineLevel="0" collapsed="false">
      <c r="A215" s="3" t="s">
        <v>892</v>
      </c>
      <c r="B215" s="3" t="s">
        <v>893</v>
      </c>
      <c r="C215" s="3" t="s">
        <v>816</v>
      </c>
      <c r="D215" s="3" t="s">
        <v>875</v>
      </c>
      <c r="E215" s="3" t="s">
        <v>894</v>
      </c>
      <c r="F215" s="3" t="s">
        <v>6</v>
      </c>
      <c r="G215" s="3" t="n">
        <v>34</v>
      </c>
      <c r="H215" s="3" t="n">
        <v>5</v>
      </c>
      <c r="I215" s="3" t="n">
        <v>15</v>
      </c>
      <c r="J215" s="4" t="n">
        <f aca="false">G215*1800</f>
        <v>61200</v>
      </c>
      <c r="K215" s="3" t="s">
        <v>2470</v>
      </c>
    </row>
    <row r="216" customFormat="false" ht="15" hidden="false" customHeight="false" outlineLevel="0" collapsed="false">
      <c r="A216" s="6" t="s">
        <v>895</v>
      </c>
      <c r="B216" s="6" t="s">
        <v>896</v>
      </c>
      <c r="C216" s="6" t="s">
        <v>816</v>
      </c>
      <c r="D216" s="6" t="s">
        <v>875</v>
      </c>
      <c r="E216" s="6" t="s">
        <v>897</v>
      </c>
      <c r="F216" s="6" t="s">
        <v>6</v>
      </c>
      <c r="G216" s="6" t="n">
        <v>29</v>
      </c>
      <c r="H216" s="6" t="n">
        <v>3</v>
      </c>
      <c r="I216" s="6" t="n">
        <v>10</v>
      </c>
      <c r="J216" s="7" t="n">
        <f aca="false">G216*5500</f>
        <v>159500</v>
      </c>
      <c r="K216" s="6" t="s">
        <v>2470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1" min="10" style="0" width="18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6.85" hidden="false" customHeight="false" outlineLevel="0" collapsed="false">
      <c r="A2" s="2" t="s">
        <v>2473</v>
      </c>
      <c r="B2" s="2" t="s">
        <v>2474</v>
      </c>
      <c r="C2" s="2" t="s">
        <v>2475</v>
      </c>
      <c r="D2" s="2" t="s">
        <v>2476</v>
      </c>
      <c r="E2" s="2" t="s">
        <v>2477</v>
      </c>
      <c r="F2" s="2" t="s">
        <v>2478</v>
      </c>
      <c r="G2" s="2" t="s">
        <v>902</v>
      </c>
      <c r="H2" s="2" t="s">
        <v>903</v>
      </c>
      <c r="I2" s="2" t="s">
        <v>904</v>
      </c>
      <c r="J2" s="2" t="s">
        <v>2479</v>
      </c>
      <c r="K2" s="2" t="s">
        <v>2480</v>
      </c>
      <c r="L2" s="2" t="s">
        <v>15</v>
      </c>
    </row>
    <row r="3" customFormat="false" ht="15" hidden="false" customHeight="false" outlineLevel="0" collapsed="false">
      <c r="A3" s="3" t="s">
        <v>2481</v>
      </c>
      <c r="B3" s="3" t="s">
        <v>2482</v>
      </c>
      <c r="C3" s="3" t="s">
        <v>2483</v>
      </c>
      <c r="D3" s="3" t="s">
        <v>2484</v>
      </c>
      <c r="E3" s="3" t="s">
        <v>2485</v>
      </c>
      <c r="F3" s="4" t="n">
        <v>250000</v>
      </c>
      <c r="G3" s="3" t="s">
        <v>2486</v>
      </c>
      <c r="H3" s="3" t="s">
        <v>2487</v>
      </c>
      <c r="I3" s="3" t="s">
        <v>912</v>
      </c>
      <c r="J3" s="3" t="s">
        <v>2488</v>
      </c>
      <c r="K3" s="3" t="s">
        <v>2489</v>
      </c>
      <c r="L3" s="3" t="s">
        <v>23</v>
      </c>
    </row>
    <row r="4" customFormat="false" ht="15" hidden="false" customHeight="false" outlineLevel="0" collapsed="false">
      <c r="A4" s="6" t="s">
        <v>2490</v>
      </c>
      <c r="B4" s="6" t="s">
        <v>2491</v>
      </c>
      <c r="C4" s="6" t="s">
        <v>2483</v>
      </c>
      <c r="D4" s="6" t="s">
        <v>2492</v>
      </c>
      <c r="E4" s="6" t="s">
        <v>2493</v>
      </c>
      <c r="F4" s="7" t="n">
        <v>180000</v>
      </c>
      <c r="G4" s="6" t="s">
        <v>2494</v>
      </c>
      <c r="H4" s="6" t="s">
        <v>2495</v>
      </c>
      <c r="I4" s="6" t="s">
        <v>912</v>
      </c>
      <c r="J4" s="6" t="s">
        <v>2496</v>
      </c>
      <c r="K4" s="6" t="s">
        <v>2497</v>
      </c>
      <c r="L4" s="6" t="s">
        <v>23</v>
      </c>
    </row>
    <row r="5" customFormat="false" ht="15" hidden="false" customHeight="false" outlineLevel="0" collapsed="false">
      <c r="A5" s="3" t="s">
        <v>2498</v>
      </c>
      <c r="B5" s="3" t="s">
        <v>2499</v>
      </c>
      <c r="C5" s="3" t="s">
        <v>2500</v>
      </c>
      <c r="D5" s="3" t="s">
        <v>2501</v>
      </c>
      <c r="E5" s="3" t="s">
        <v>2502</v>
      </c>
      <c r="F5" s="4" t="n">
        <v>90000</v>
      </c>
      <c r="G5" s="3" t="s">
        <v>2503</v>
      </c>
      <c r="H5" s="3" t="s">
        <v>2504</v>
      </c>
      <c r="I5" s="3" t="s">
        <v>912</v>
      </c>
      <c r="J5" s="3" t="s">
        <v>2505</v>
      </c>
      <c r="K5" s="3" t="s">
        <v>2506</v>
      </c>
      <c r="L5" s="3" t="s">
        <v>23</v>
      </c>
    </row>
    <row r="6" customFormat="false" ht="15" hidden="false" customHeight="false" outlineLevel="0" collapsed="false">
      <c r="A6" s="6" t="s">
        <v>2507</v>
      </c>
      <c r="B6" s="6" t="s">
        <v>2508</v>
      </c>
      <c r="C6" s="6" t="s">
        <v>2509</v>
      </c>
      <c r="D6" s="6" t="s">
        <v>2510</v>
      </c>
      <c r="E6" s="6" t="s">
        <v>2511</v>
      </c>
      <c r="F6" s="7" t="n">
        <v>80000</v>
      </c>
      <c r="G6" s="6" t="s">
        <v>2512</v>
      </c>
      <c r="H6" s="6" t="s">
        <v>2513</v>
      </c>
      <c r="I6" s="6" t="s">
        <v>912</v>
      </c>
      <c r="J6" s="6" t="s">
        <v>2514</v>
      </c>
      <c r="K6" s="6" t="s">
        <v>2515</v>
      </c>
      <c r="L6" s="6" t="s">
        <v>23</v>
      </c>
    </row>
    <row r="7" customFormat="false" ht="15" hidden="false" customHeight="false" outlineLevel="0" collapsed="false">
      <c r="A7" s="3" t="s">
        <v>2516</v>
      </c>
      <c r="B7" s="3" t="s">
        <v>2517</v>
      </c>
      <c r="C7" s="3" t="s">
        <v>2518</v>
      </c>
      <c r="D7" s="3" t="s">
        <v>2519</v>
      </c>
      <c r="E7" s="3" t="s">
        <v>2520</v>
      </c>
      <c r="F7" s="4" t="n">
        <v>75000</v>
      </c>
      <c r="G7" s="3" t="s">
        <v>2521</v>
      </c>
      <c r="H7" s="3" t="s">
        <v>2522</v>
      </c>
      <c r="I7" s="3" t="s">
        <v>912</v>
      </c>
      <c r="J7" s="3" t="s">
        <v>2523</v>
      </c>
      <c r="K7" s="3" t="s">
        <v>2524</v>
      </c>
      <c r="L7" s="3" t="s">
        <v>23</v>
      </c>
    </row>
    <row r="8" customFormat="false" ht="15" hidden="false" customHeight="false" outlineLevel="0" collapsed="false">
      <c r="A8" s="6" t="s">
        <v>2525</v>
      </c>
      <c r="B8" s="6" t="s">
        <v>2526</v>
      </c>
      <c r="C8" s="6" t="s">
        <v>2527</v>
      </c>
      <c r="D8" s="6" t="s">
        <v>2528</v>
      </c>
      <c r="E8" s="6" t="s">
        <v>2529</v>
      </c>
      <c r="F8" s="7" t="n">
        <v>65000</v>
      </c>
      <c r="G8" s="6" t="s">
        <v>2530</v>
      </c>
      <c r="H8" s="6" t="s">
        <v>2531</v>
      </c>
      <c r="I8" s="6" t="s">
        <v>912</v>
      </c>
      <c r="J8" s="6" t="s">
        <v>2532</v>
      </c>
      <c r="K8" s="6" t="s">
        <v>2533</v>
      </c>
      <c r="L8" s="6" t="s">
        <v>23</v>
      </c>
    </row>
    <row r="9" customFormat="false" ht="15" hidden="false" customHeight="false" outlineLevel="0" collapsed="false">
      <c r="A9" s="3" t="s">
        <v>2534</v>
      </c>
      <c r="B9" s="3" t="s">
        <v>932</v>
      </c>
      <c r="C9" s="3" t="s">
        <v>2535</v>
      </c>
      <c r="D9" s="3" t="s">
        <v>2536</v>
      </c>
      <c r="E9" s="3" t="s">
        <v>2537</v>
      </c>
      <c r="F9" s="4" t="n">
        <v>70000</v>
      </c>
      <c r="G9" s="3" t="s">
        <v>2538</v>
      </c>
      <c r="H9" s="3" t="s">
        <v>2539</v>
      </c>
      <c r="I9" s="3" t="s">
        <v>912</v>
      </c>
      <c r="J9" s="3" t="s">
        <v>2540</v>
      </c>
      <c r="K9" s="3" t="s">
        <v>2541</v>
      </c>
      <c r="L9" s="3" t="s">
        <v>23</v>
      </c>
    </row>
    <row r="10" customFormat="false" ht="15" hidden="false" customHeight="false" outlineLevel="0" collapsed="false">
      <c r="A10" s="6" t="s">
        <v>2542</v>
      </c>
      <c r="B10" s="6" t="s">
        <v>2543</v>
      </c>
      <c r="C10" s="6" t="s">
        <v>2509</v>
      </c>
      <c r="D10" s="6" t="s">
        <v>2544</v>
      </c>
      <c r="E10" s="6" t="s">
        <v>2545</v>
      </c>
      <c r="F10" s="7" t="n">
        <v>45000</v>
      </c>
      <c r="G10" s="6" t="s">
        <v>2546</v>
      </c>
      <c r="H10" s="6" t="s">
        <v>2547</v>
      </c>
      <c r="I10" s="6" t="s">
        <v>912</v>
      </c>
      <c r="J10" s="6" t="s">
        <v>2548</v>
      </c>
      <c r="K10" s="6" t="s">
        <v>2549</v>
      </c>
      <c r="L10" s="6" t="s">
        <v>23</v>
      </c>
    </row>
    <row r="11" customFormat="false" ht="15" hidden="false" customHeight="false" outlineLevel="0" collapsed="false">
      <c r="A11" s="3" t="s">
        <v>2550</v>
      </c>
      <c r="B11" s="3" t="s">
        <v>957</v>
      </c>
      <c r="C11" s="3" t="s">
        <v>2509</v>
      </c>
      <c r="D11" s="3" t="s">
        <v>2544</v>
      </c>
      <c r="E11" s="3" t="s">
        <v>2551</v>
      </c>
      <c r="F11" s="4" t="n">
        <v>42000</v>
      </c>
      <c r="G11" s="3" t="s">
        <v>2552</v>
      </c>
      <c r="H11" s="3" t="s">
        <v>2553</v>
      </c>
      <c r="I11" s="3" t="s">
        <v>912</v>
      </c>
      <c r="J11" s="3" t="s">
        <v>2554</v>
      </c>
      <c r="K11" s="3" t="s">
        <v>2555</v>
      </c>
      <c r="L11" s="3" t="s">
        <v>23</v>
      </c>
    </row>
    <row r="12" customFormat="false" ht="15" hidden="false" customHeight="false" outlineLevel="0" collapsed="false">
      <c r="A12" s="6" t="s">
        <v>2556</v>
      </c>
      <c r="B12" s="6" t="s">
        <v>970</v>
      </c>
      <c r="C12" s="6" t="s">
        <v>2509</v>
      </c>
      <c r="D12" s="6" t="s">
        <v>2544</v>
      </c>
      <c r="E12" s="6" t="s">
        <v>2557</v>
      </c>
      <c r="F12" s="7" t="n">
        <v>42000</v>
      </c>
      <c r="G12" s="6" t="s">
        <v>1228</v>
      </c>
      <c r="H12" s="6" t="s">
        <v>2558</v>
      </c>
      <c r="I12" s="6" t="s">
        <v>912</v>
      </c>
      <c r="J12" s="6" t="s">
        <v>2559</v>
      </c>
      <c r="K12" s="6" t="s">
        <v>2560</v>
      </c>
      <c r="L12" s="6" t="s">
        <v>23</v>
      </c>
    </row>
    <row r="13" customFormat="false" ht="15" hidden="false" customHeight="false" outlineLevel="0" collapsed="false">
      <c r="A13" s="3" t="s">
        <v>2561</v>
      </c>
      <c r="B13" s="3" t="s">
        <v>2562</v>
      </c>
      <c r="C13" s="3" t="s">
        <v>2563</v>
      </c>
      <c r="D13" s="3" t="s">
        <v>2564</v>
      </c>
      <c r="E13" s="3" t="s">
        <v>2565</v>
      </c>
      <c r="F13" s="4" t="n">
        <v>65000</v>
      </c>
      <c r="G13" s="3" t="s">
        <v>2566</v>
      </c>
      <c r="H13" s="3" t="s">
        <v>2567</v>
      </c>
      <c r="I13" s="3" t="s">
        <v>912</v>
      </c>
      <c r="J13" s="3" t="s">
        <v>2568</v>
      </c>
      <c r="K13" s="3" t="s">
        <v>2569</v>
      </c>
      <c r="L13" s="3" t="s">
        <v>23</v>
      </c>
    </row>
    <row r="14" customFormat="false" ht="15" hidden="false" customHeight="false" outlineLevel="0" collapsed="false">
      <c r="A14" s="6" t="s">
        <v>2570</v>
      </c>
      <c r="B14" s="6" t="s">
        <v>2571</v>
      </c>
      <c r="C14" s="6" t="s">
        <v>2563</v>
      </c>
      <c r="D14" s="6" t="s">
        <v>2572</v>
      </c>
      <c r="E14" s="6" t="s">
        <v>2573</v>
      </c>
      <c r="F14" s="7" t="n">
        <v>35000</v>
      </c>
      <c r="G14" s="6" t="s">
        <v>2574</v>
      </c>
      <c r="H14" s="6" t="s">
        <v>2575</v>
      </c>
      <c r="I14" s="6" t="s">
        <v>912</v>
      </c>
      <c r="J14" s="6" t="s">
        <v>2576</v>
      </c>
      <c r="K14" s="6" t="s">
        <v>2577</v>
      </c>
      <c r="L14" s="6" t="s">
        <v>23</v>
      </c>
    </row>
    <row r="15" customFormat="false" ht="15" hidden="false" customHeight="false" outlineLevel="0" collapsed="false">
      <c r="A15" s="3" t="s">
        <v>2578</v>
      </c>
      <c r="B15" s="3" t="s">
        <v>2579</v>
      </c>
      <c r="C15" s="3" t="s">
        <v>2563</v>
      </c>
      <c r="D15" s="3" t="s">
        <v>2572</v>
      </c>
      <c r="E15" s="3" t="s">
        <v>2580</v>
      </c>
      <c r="F15" s="4" t="n">
        <v>33000</v>
      </c>
      <c r="G15" s="3" t="s">
        <v>2581</v>
      </c>
      <c r="H15" s="3" t="s">
        <v>2582</v>
      </c>
      <c r="I15" s="3" t="s">
        <v>912</v>
      </c>
      <c r="J15" s="3" t="s">
        <v>2583</v>
      </c>
      <c r="K15" s="3" t="s">
        <v>2584</v>
      </c>
      <c r="L15" s="3" t="s">
        <v>23</v>
      </c>
    </row>
    <row r="16" customFormat="false" ht="15" hidden="false" customHeight="false" outlineLevel="0" collapsed="false">
      <c r="A16" s="6" t="s">
        <v>2585</v>
      </c>
      <c r="B16" s="6" t="s">
        <v>2586</v>
      </c>
      <c r="C16" s="6" t="s">
        <v>2587</v>
      </c>
      <c r="D16" s="6" t="s">
        <v>2588</v>
      </c>
      <c r="E16" s="6" t="s">
        <v>2589</v>
      </c>
      <c r="F16" s="7" t="n">
        <v>45000</v>
      </c>
      <c r="G16" s="6" t="s">
        <v>2590</v>
      </c>
      <c r="H16" s="6" t="s">
        <v>2591</v>
      </c>
      <c r="I16" s="6" t="s">
        <v>912</v>
      </c>
      <c r="J16" s="6" t="s">
        <v>2592</v>
      </c>
      <c r="K16" s="6" t="s">
        <v>2593</v>
      </c>
      <c r="L16" s="6" t="s">
        <v>23</v>
      </c>
    </row>
    <row r="17" customFormat="false" ht="15" hidden="false" customHeight="false" outlineLevel="0" collapsed="false">
      <c r="A17" s="3" t="s">
        <v>2594</v>
      </c>
      <c r="B17" s="3" t="s">
        <v>2595</v>
      </c>
      <c r="C17" s="3" t="s">
        <v>2587</v>
      </c>
      <c r="D17" s="3" t="s">
        <v>2596</v>
      </c>
      <c r="E17" s="3" t="s">
        <v>2597</v>
      </c>
      <c r="F17" s="4" t="n">
        <v>28000</v>
      </c>
      <c r="G17" s="3" t="s">
        <v>2598</v>
      </c>
      <c r="H17" s="3" t="s">
        <v>2599</v>
      </c>
      <c r="I17" s="3" t="s">
        <v>912</v>
      </c>
      <c r="J17" s="3" t="s">
        <v>2600</v>
      </c>
      <c r="K17" s="3" t="s">
        <v>2601</v>
      </c>
      <c r="L17" s="3" t="s">
        <v>23</v>
      </c>
    </row>
    <row r="18" customFormat="false" ht="15" hidden="false" customHeight="false" outlineLevel="0" collapsed="false">
      <c r="A18" s="6" t="s">
        <v>2602</v>
      </c>
      <c r="B18" s="6" t="s">
        <v>2603</v>
      </c>
      <c r="C18" s="6" t="s">
        <v>2587</v>
      </c>
      <c r="D18" s="6" t="s">
        <v>2596</v>
      </c>
      <c r="E18" s="6" t="s">
        <v>2604</v>
      </c>
      <c r="F18" s="7" t="n">
        <v>28000</v>
      </c>
      <c r="G18" s="6" t="s">
        <v>2605</v>
      </c>
      <c r="H18" s="6" t="s">
        <v>2606</v>
      </c>
      <c r="I18" s="6" t="s">
        <v>912</v>
      </c>
      <c r="J18" s="6" t="s">
        <v>2607</v>
      </c>
      <c r="K18" s="6" t="s">
        <v>2608</v>
      </c>
      <c r="L18" s="6" t="s">
        <v>23</v>
      </c>
    </row>
    <row r="19" customFormat="false" ht="15" hidden="false" customHeight="false" outlineLevel="0" collapsed="false">
      <c r="A19" s="3" t="s">
        <v>2609</v>
      </c>
      <c r="B19" s="3" t="s">
        <v>2610</v>
      </c>
      <c r="C19" s="3" t="s">
        <v>2527</v>
      </c>
      <c r="D19" s="3" t="s">
        <v>2611</v>
      </c>
      <c r="E19" s="3" t="s">
        <v>2612</v>
      </c>
      <c r="F19" s="4" t="n">
        <v>40000</v>
      </c>
      <c r="G19" s="3" t="s">
        <v>2613</v>
      </c>
      <c r="H19" s="3" t="s">
        <v>2614</v>
      </c>
      <c r="I19" s="3" t="s">
        <v>912</v>
      </c>
      <c r="J19" s="3" t="s">
        <v>2615</v>
      </c>
      <c r="K19" s="3" t="s">
        <v>2616</v>
      </c>
      <c r="L19" s="3" t="s">
        <v>23</v>
      </c>
    </row>
    <row r="20" customFormat="false" ht="15" hidden="false" customHeight="false" outlineLevel="0" collapsed="false">
      <c r="A20" s="6" t="s">
        <v>2617</v>
      </c>
      <c r="B20" s="6" t="s">
        <v>2618</v>
      </c>
      <c r="C20" s="6" t="s">
        <v>2518</v>
      </c>
      <c r="D20" s="6" t="s">
        <v>2619</v>
      </c>
      <c r="E20" s="6" t="s">
        <v>2620</v>
      </c>
      <c r="F20" s="7" t="n">
        <v>38000</v>
      </c>
      <c r="G20" s="6" t="s">
        <v>2621</v>
      </c>
      <c r="H20" s="6" t="s">
        <v>2622</v>
      </c>
      <c r="I20" s="6" t="s">
        <v>912</v>
      </c>
      <c r="J20" s="6" t="s">
        <v>2623</v>
      </c>
      <c r="K20" s="6" t="s">
        <v>2624</v>
      </c>
      <c r="L20" s="6" t="s">
        <v>23</v>
      </c>
    </row>
    <row r="21" customFormat="false" ht="15" hidden="false" customHeight="false" outlineLevel="0" collapsed="false">
      <c r="A21" s="3" t="s">
        <v>2625</v>
      </c>
      <c r="B21" s="3" t="s">
        <v>2626</v>
      </c>
      <c r="C21" s="3" t="s">
        <v>2500</v>
      </c>
      <c r="D21" s="3" t="s">
        <v>2627</v>
      </c>
      <c r="E21" s="3" t="s">
        <v>2628</v>
      </c>
      <c r="F21" s="4" t="n">
        <v>38000</v>
      </c>
      <c r="G21" s="3" t="s">
        <v>2629</v>
      </c>
      <c r="H21" s="3" t="s">
        <v>2630</v>
      </c>
      <c r="I21" s="3" t="s">
        <v>912</v>
      </c>
      <c r="J21" s="3" t="s">
        <v>2631</v>
      </c>
      <c r="K21" s="3" t="s">
        <v>2632</v>
      </c>
      <c r="L21" s="3" t="s">
        <v>23</v>
      </c>
    </row>
    <row r="22" customFormat="false" ht="15" hidden="false" customHeight="false" outlineLevel="0" collapsed="false">
      <c r="A22" s="6" t="s">
        <v>2633</v>
      </c>
      <c r="B22" s="6" t="s">
        <v>2634</v>
      </c>
      <c r="C22" s="6" t="s">
        <v>2535</v>
      </c>
      <c r="D22" s="6" t="s">
        <v>2635</v>
      </c>
      <c r="E22" s="6" t="s">
        <v>2636</v>
      </c>
      <c r="F22" s="7" t="n">
        <v>40000</v>
      </c>
      <c r="G22" s="6" t="s">
        <v>2637</v>
      </c>
      <c r="H22" s="6" t="s">
        <v>2638</v>
      </c>
      <c r="I22" s="6" t="s">
        <v>912</v>
      </c>
      <c r="J22" s="6" t="s">
        <v>2639</v>
      </c>
      <c r="K22" s="6" t="s">
        <v>2640</v>
      </c>
      <c r="L22" s="6" t="s">
        <v>23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22"/>
    <col collapsed="false" customWidth="true" hidden="false" outlineLevel="0" max="3" min="3" style="0" width="5"/>
    <col collapsed="false" customWidth="true" hidden="false" outlineLevel="0" max="4" min="4" style="0" width="35"/>
    <col collapsed="false" customWidth="true" hidden="false" outlineLevel="0" max="5" min="5" style="0" width="22"/>
  </cols>
  <sheetData>
    <row r="1" customFormat="false" ht="34.5" hidden="false" customHeight="true" outlineLevel="0" collapsed="false">
      <c r="A1" s="10" t="s">
        <v>2641</v>
      </c>
      <c r="B1" s="10"/>
      <c r="C1" s="10"/>
      <c r="D1" s="10"/>
      <c r="E1" s="10"/>
      <c r="F1" s="10"/>
    </row>
    <row r="3" customFormat="false" ht="15" hidden="false" customHeight="false" outlineLevel="0" collapsed="false">
      <c r="A3" s="11"/>
      <c r="B3" s="11"/>
      <c r="C3" s="11"/>
      <c r="D3" s="11"/>
      <c r="E3" s="11"/>
      <c r="F3" s="11"/>
    </row>
    <row r="4" customFormat="false" ht="15" hidden="false" customHeight="false" outlineLevel="0" collapsed="false">
      <c r="A4" s="12" t="s">
        <v>2642</v>
      </c>
      <c r="B4" s="13"/>
      <c r="C4" s="12"/>
      <c r="D4" s="12"/>
      <c r="E4" s="13"/>
      <c r="F4" s="12"/>
    </row>
    <row r="5" customFormat="false" ht="15" hidden="false" customHeight="false" outlineLevel="0" collapsed="false">
      <c r="A5" s="12" t="s">
        <v>2643</v>
      </c>
      <c r="B5" s="13" t="n">
        <f aca="false">COUNTA(Products!A3:A1000)-1</f>
        <v>213</v>
      </c>
      <c r="C5" s="12"/>
      <c r="D5" s="12" t="s">
        <v>2644</v>
      </c>
      <c r="E5" s="13" t="n">
        <f aca="false">COUNTA(Suppliers!A3:A100)-1</f>
        <v>59</v>
      </c>
      <c r="F5" s="12"/>
    </row>
    <row r="6" customFormat="false" ht="15" hidden="false" customHeight="false" outlineLevel="0" collapsed="false">
      <c r="A6" s="12" t="s">
        <v>2645</v>
      </c>
      <c r="B6" s="13" t="n">
        <f aca="false">COUNTA(Customers!A3:A200)-1</f>
        <v>99</v>
      </c>
      <c r="C6" s="12"/>
      <c r="D6" s="12" t="s">
        <v>2646</v>
      </c>
      <c r="E6" s="13" t="n">
        <f aca="false">COUNTA(Employees!A3:A50)-1</f>
        <v>19</v>
      </c>
      <c r="F6" s="12"/>
    </row>
    <row r="7" customFormat="false" ht="15" hidden="false" customHeight="false" outlineLevel="0" collapsed="false">
      <c r="A7" s="14"/>
      <c r="B7" s="14"/>
      <c r="C7" s="14"/>
      <c r="D7" s="14"/>
      <c r="E7" s="14"/>
      <c r="F7" s="14"/>
    </row>
    <row r="8" customFormat="false" ht="15" hidden="false" customHeight="false" outlineLevel="0" collapsed="false">
      <c r="A8" s="12" t="s">
        <v>2647</v>
      </c>
      <c r="B8" s="13"/>
      <c r="C8" s="12"/>
      <c r="D8" s="12"/>
      <c r="E8" s="13"/>
      <c r="F8" s="12"/>
    </row>
    <row r="9" customFormat="false" ht="15" hidden="false" customHeight="false" outlineLevel="0" collapsed="false">
      <c r="A9" s="12" t="s">
        <v>2648</v>
      </c>
      <c r="B9" s="13" t="n">
        <f aca="false">COUNTIF(Inventory!K3:K1000,"In Stock")</f>
        <v>202</v>
      </c>
      <c r="C9" s="12"/>
      <c r="D9" s="12" t="s">
        <v>2649</v>
      </c>
      <c r="E9" s="13" t="n">
        <f aca="false">COUNTIF(Inventory!K3:K1000,"Low Stock")</f>
        <v>12</v>
      </c>
      <c r="F9" s="12"/>
    </row>
    <row r="10" customFormat="false" ht="15" hidden="false" customHeight="false" outlineLevel="0" collapsed="false">
      <c r="A10" s="12" t="s">
        <v>2650</v>
      </c>
      <c r="B10" s="13" t="n">
        <f aca="false">COUNTIF(Inventory!K3:K1000,"Out of Stock")</f>
        <v>0</v>
      </c>
      <c r="C10" s="12"/>
      <c r="D10" s="12" t="s">
        <v>2651</v>
      </c>
      <c r="E10" s="13" t="n">
        <f aca="false">SUM(Inventory!J3:J1000)</f>
        <v>245258985</v>
      </c>
      <c r="F10" s="12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4"/>
    </row>
    <row r="12" customFormat="false" ht="15" hidden="false" customHeight="false" outlineLevel="0" collapsed="false">
      <c r="A12" s="12" t="s">
        <v>2652</v>
      </c>
      <c r="B12" s="13"/>
      <c r="C12" s="12"/>
      <c r="D12" s="12"/>
      <c r="E12" s="13"/>
      <c r="F12" s="12"/>
    </row>
    <row r="13" customFormat="false" ht="15" hidden="false" customHeight="false" outlineLevel="0" collapsed="false">
      <c r="A13" s="12" t="s">
        <v>2653</v>
      </c>
      <c r="B13" s="13" t="n">
        <f aca="false">COUNTA('Sales Orders'!A3:A500)-1</f>
        <v>299</v>
      </c>
      <c r="C13" s="12"/>
      <c r="D13" s="12" t="s">
        <v>2039</v>
      </c>
      <c r="E13" s="13" t="n">
        <f aca="false">SUM('Sales Orders'!K3:K500)</f>
        <v>150549505</v>
      </c>
      <c r="F13" s="12"/>
    </row>
    <row r="14" customFormat="false" ht="15" hidden="false" customHeight="false" outlineLevel="0" collapsed="false">
      <c r="A14" s="12" t="s">
        <v>2654</v>
      </c>
      <c r="B14" s="13" t="n">
        <f aca="false">SUM('Sales Orders'!L3:L500)</f>
        <v>122431193</v>
      </c>
      <c r="C14" s="12"/>
      <c r="D14" s="12" t="s">
        <v>2655</v>
      </c>
      <c r="E14" s="13" t="n">
        <f aca="false">SUM('Sales Orders'!M3:M500)</f>
        <v>28118312</v>
      </c>
      <c r="F14" s="12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4"/>
    </row>
    <row r="16" customFormat="false" ht="15" hidden="false" customHeight="false" outlineLevel="0" collapsed="false">
      <c r="A16" s="12" t="s">
        <v>2656</v>
      </c>
      <c r="B16" s="13"/>
      <c r="C16" s="12"/>
      <c r="D16" s="12"/>
      <c r="E16" s="13"/>
      <c r="F16" s="12"/>
    </row>
    <row r="17" customFormat="false" ht="15" hidden="false" customHeight="false" outlineLevel="0" collapsed="false">
      <c r="A17" s="12" t="s">
        <v>2657</v>
      </c>
      <c r="B17" s="13" t="n">
        <f aca="false">COUNTA('Purchase Orders'!A3:A500)-1</f>
        <v>199</v>
      </c>
      <c r="C17" s="12"/>
      <c r="D17" s="12" t="s">
        <v>2658</v>
      </c>
      <c r="E17" s="13" t="n">
        <f aca="false">SUM('Purchase Orders'!J3:J500)</f>
        <v>190014470</v>
      </c>
      <c r="F17" s="12"/>
    </row>
    <row r="18" customFormat="false" ht="15" hidden="false" customHeight="false" outlineLevel="0" collapsed="false">
      <c r="A18" s="12" t="s">
        <v>2659</v>
      </c>
      <c r="B18" s="13" t="n">
        <f aca="false">COUNTIF('Purchase Orders'!K3:K500,"Received")</f>
        <v>43</v>
      </c>
      <c r="C18" s="12"/>
      <c r="D18" s="12" t="s">
        <v>2660</v>
      </c>
      <c r="E18" s="13" t="n">
        <f aca="false">COUNTIF('Purchase Orders'!K3:K500,"Pending")</f>
        <v>49</v>
      </c>
      <c r="F18" s="12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2026-05-02T20:43:37Z</dcterms:created>
  <dc:creator>openpyxl</dc:creator>
  <dc:description/>
  <dc:language>en-US</dc:language>
  <cp:lastModifiedBy/>
  <dcterms:modified xsi:type="dcterms:W3CDTF">2026-05-02T20:43:38Z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