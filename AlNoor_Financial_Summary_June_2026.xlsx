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KPI Dashboard Data" sheetId="1" state="visible" r:id="rId1"/>
    <sheet name="Cash Flow Statement" sheetId="2" state="visible" r:id="rId2"/>
    <sheet name="Expense Tracker" sheetId="3" state="visible" r:id="rId3"/>
    <sheet name="Revenue Analysis" sheetId="4" state="visible" r:id="rId4"/>
    <sheet name="Category Summary" sheetId="5" state="visible" r:id="rId5"/>
    <sheet name="Daily Totals" sheetId="6" state="visible" r:id="rId6"/>
    <sheet name="Sales Data" sheetId="7" state="visible" r:id="rId7"/>
    <sheet name="Financial Summary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d\-mmm"/>
    <numFmt numFmtId="167" formatCode="yyyy-mm-dd h:mm:ss"/>
    <numFmt numFmtId="168" formatCode="DD-MMM"/>
  </numFmts>
  <fonts count="5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2E75B6"/>
      <sz val="10"/>
    </font>
    <font>
      <name val="Arial"/>
      <charset val="1"/>
      <family val="0"/>
      <b val="1"/>
      <color rgb="FF2E75B6"/>
      <sz val="11"/>
    </font>
    <font>
      <name val="Arial"/>
      <charset val="1"/>
      <family val="0"/>
      <color rgb="FF595959"/>
      <sz val="9"/>
    </font>
    <font>
      <name val="Arial"/>
      <charset val="1"/>
      <family val="0"/>
      <b val="1"/>
      <color rgb="FF2E75B6"/>
      <sz val="9"/>
    </font>
    <font>
      <name val="Arial"/>
      <charset val="1"/>
      <family val="0"/>
      <b val="1"/>
      <color rgb="FF375623"/>
      <sz val="10"/>
    </font>
    <font>
      <name val="Arial"/>
      <charset val="1"/>
      <family val="0"/>
      <b val="1"/>
      <color rgb="FF375623"/>
      <sz val="11"/>
    </font>
    <font>
      <name val="Arial"/>
      <charset val="1"/>
      <family val="0"/>
      <b val="1"/>
      <color rgb="FF375623"/>
      <sz val="9"/>
    </font>
    <font>
      <name val="Arial"/>
      <charset val="1"/>
      <family val="0"/>
      <b val="1"/>
      <color rgb="FFC55A11"/>
      <sz val="10"/>
    </font>
    <font>
      <name val="Arial"/>
      <charset val="1"/>
      <family val="0"/>
      <b val="1"/>
      <color rgb="FFC55A11"/>
      <sz val="11"/>
    </font>
    <font>
      <name val="Arial"/>
      <charset val="1"/>
      <family val="0"/>
      <b val="1"/>
      <color rgb="FFC55A11"/>
      <sz val="9"/>
    </font>
    <font>
      <name val="Arial"/>
      <charset val="1"/>
      <family val="0"/>
      <b val="1"/>
      <color rgb="FF1F4E79"/>
      <sz val="10"/>
    </font>
    <font>
      <name val="Arial"/>
      <charset val="1"/>
      <family val="0"/>
      <b val="1"/>
      <color rgb="FF1F4E79"/>
      <sz val="11"/>
    </font>
    <font>
      <name val="Arial"/>
      <charset val="1"/>
      <family val="0"/>
      <b val="1"/>
      <color rgb="FF1F4E79"/>
      <sz val="9"/>
    </font>
    <font>
      <name val="Arial"/>
      <charset val="1"/>
      <family val="0"/>
      <b val="1"/>
      <color rgb="FF595959"/>
      <sz val="10"/>
    </font>
    <font>
      <name val="Arial"/>
      <charset val="1"/>
      <family val="0"/>
      <b val="1"/>
      <color rgb="FF595959"/>
      <sz val="11"/>
    </font>
    <font>
      <name val="Arial"/>
      <charset val="1"/>
      <family val="0"/>
      <b val="1"/>
      <color rgb="FF595959"/>
      <sz val="9"/>
    </font>
    <font>
      <name val="Arial"/>
      <charset val="1"/>
      <family val="0"/>
      <i val="1"/>
      <color rgb="FF7F7F7F"/>
      <sz val="9"/>
    </font>
    <font>
      <name val="Arial"/>
      <charset val="1"/>
      <family val="0"/>
      <color rgb="FF000000"/>
      <sz val="9"/>
    </font>
    <font>
      <name val="Arial"/>
      <charset val="1"/>
      <family val="0"/>
      <color rgb="FF7F7F7F"/>
      <sz val="9"/>
    </font>
    <font>
      <name val="Arial"/>
      <charset val="1"/>
      <family val="0"/>
      <color rgb="FF375623"/>
      <sz val="9"/>
    </font>
    <font>
      <name val="Arial"/>
      <charset val="1"/>
      <family val="0"/>
      <b val="1"/>
      <color rgb="FFC00000"/>
      <sz val="9"/>
    </font>
    <font>
      <name val="Arial"/>
      <charset val="1"/>
      <family val="0"/>
      <color rgb="FFC0000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C00000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color rgb="FF0070C0"/>
      <sz val="9"/>
    </font>
    <font>
      <name val="Arial"/>
      <charset val="1"/>
      <family val="0"/>
      <sz val="9"/>
    </font>
    <font>
      <name val="Arial"/>
      <charset val="1"/>
      <family val="0"/>
      <b val="1"/>
      <color rgb="FF7F7F7F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7F7F7F"/>
      <sz val="10"/>
    </font>
    <font>
      <name val="Arial"/>
      <charset val="1"/>
      <family val="0"/>
      <b val="1"/>
      <sz val="10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0"/>
    </font>
    <font>
      <name val="Arial"/>
      <charset val="1"/>
      <color rgb="FF000000"/>
      <sz val="10"/>
    </font>
    <font>
      <name val="Arial"/>
      <charset val="1"/>
      <b val="1"/>
      <color rgb="FFFFFFFF"/>
      <sz val="9"/>
    </font>
    <font>
      <name val="Arial"/>
      <charset val="1"/>
      <b val="1"/>
      <color rgb="FF000000"/>
      <sz val="10"/>
    </font>
    <font>
      <name val="Calibri"/>
      <b val="1"/>
      <color rgb="00FFFFFF"/>
      <sz val="14"/>
    </font>
    <font>
      <name val="Calibri"/>
      <b val="1"/>
      <color rgb="00000000"/>
      <sz val="11"/>
    </font>
    <font>
      <name val="Calibri"/>
      <color rgb="00000000"/>
      <sz val="11"/>
    </font>
  </fonts>
  <fills count="34">
    <fill>
      <patternFill/>
    </fill>
    <fill>
      <patternFill patternType="gray125"/>
    </fill>
    <fill>
      <patternFill patternType="solid">
        <fgColor rgb="FF1F4E79"/>
        <bgColor rgb="FF2C3E50"/>
      </patternFill>
    </fill>
    <fill>
      <patternFill patternType="solid">
        <fgColor rgb="FF2E75B6"/>
        <bgColor rgb="FF0070C0"/>
      </patternFill>
    </fill>
    <fill>
      <patternFill patternType="solid">
        <fgColor rgb="FFDEEBF7"/>
        <bgColor rgb="FFD6E4F0"/>
      </patternFill>
    </fill>
    <fill>
      <patternFill patternType="solid">
        <fgColor rgb="FFE2EFDA"/>
        <bgColor rgb="FFD5F5E3"/>
      </patternFill>
    </fill>
    <fill>
      <patternFill patternType="solid">
        <fgColor rgb="FFFFF2CC"/>
        <bgColor rgb="FFFCF3CF"/>
      </patternFill>
    </fill>
    <fill>
      <patternFill patternType="solid">
        <fgColor rgb="FFEAF0FB"/>
        <bgColor rgb="FFEBF3FB"/>
      </patternFill>
    </fill>
    <fill>
      <patternFill patternType="solid">
        <fgColor rgb="FFF2F2F2"/>
        <bgColor rgb="FFF2F3F4"/>
      </patternFill>
    </fill>
    <fill>
      <patternFill patternType="solid">
        <fgColor rgb="FFFCE4D6"/>
        <bgColor rgb="FFFAE5D3"/>
      </patternFill>
    </fill>
    <fill>
      <patternFill patternType="solid">
        <fgColor rgb="FFBDD7EE"/>
        <bgColor rgb="FFD5D8DC"/>
      </patternFill>
    </fill>
    <fill>
      <patternFill patternType="solid">
        <fgColor rgb="FFFFFFFF"/>
        <bgColor rgb="FFF2F3F4"/>
      </patternFill>
    </fill>
    <fill>
      <patternFill patternType="solid">
        <fgColor rgb="FFEBF3FB"/>
        <bgColor rgb="FFEBF5FB"/>
      </patternFill>
    </fill>
    <fill>
      <patternFill patternType="solid">
        <fgColor rgb="FF9DC3E6"/>
        <bgColor rgb="FFBFBFBF"/>
      </patternFill>
    </fill>
    <fill>
      <patternFill patternType="solid">
        <fgColor rgb="FF2C3E50"/>
        <bgColor rgb="FF1F4E79"/>
      </patternFill>
    </fill>
    <fill>
      <patternFill patternType="solid">
        <fgColor rgb="FF5D6D7E"/>
        <bgColor rgb="FF595959"/>
      </patternFill>
    </fill>
    <fill>
      <patternFill patternType="solid">
        <fgColor rgb="FFFDEBD0"/>
        <bgColor rgb="FFFAE5D3"/>
      </patternFill>
    </fill>
    <fill>
      <patternFill patternType="solid">
        <fgColor rgb="FFFCF3CF"/>
        <bgColor rgb="FFFFF2CC"/>
      </patternFill>
    </fill>
    <fill>
      <patternFill patternType="solid">
        <fgColor rgb="FFFAE5D3"/>
        <bgColor rgb="FFFCE4D6"/>
      </patternFill>
    </fill>
    <fill>
      <patternFill patternType="solid">
        <fgColor rgb="FFD6E4F0"/>
        <bgColor rgb="FFDEEBF7"/>
      </patternFill>
    </fill>
    <fill>
      <patternFill patternType="solid">
        <fgColor rgb="FFD5F5E3"/>
        <bgColor rgb="FFD0ECE7"/>
      </patternFill>
    </fill>
    <fill>
      <patternFill patternType="solid">
        <fgColor rgb="FFE8DAEF"/>
        <bgColor rgb="FFD5D8DC"/>
      </patternFill>
    </fill>
    <fill>
      <patternFill patternType="solid">
        <fgColor rgb="FFD0ECE7"/>
        <bgColor rgb="FFD5F5E3"/>
      </patternFill>
    </fill>
    <fill>
      <patternFill patternType="solid">
        <fgColor rgb="FFD5D8DC"/>
        <bgColor rgb="FFD6E4F0"/>
      </patternFill>
    </fill>
    <fill>
      <patternFill patternType="solid">
        <fgColor rgb="FFF2F3F4"/>
        <bgColor rgb="FFF2F2F2"/>
      </patternFill>
    </fill>
    <fill>
      <patternFill patternType="solid">
        <fgColor rgb="FFEBF5FB"/>
        <bgColor rgb="FFEBF3FB"/>
      </patternFill>
    </fill>
    <fill>
      <patternFill patternType="solid">
        <fgColor rgb="FF2C3E50"/>
        <bgColor rgb="FF333399"/>
      </patternFill>
    </fill>
    <fill>
      <patternFill patternType="solid">
        <fgColor rgb="FF5D6D7E"/>
        <bgColor rgb="FF808080"/>
      </patternFill>
    </fill>
    <fill>
      <patternFill patternType="solid">
        <fgColor rgb="FFD6E4F0"/>
        <bgColor rgb="FFD0ECE7"/>
      </patternFill>
    </fill>
    <fill>
      <patternFill patternType="solid">
        <fgColor rgb="FFF2F3F4"/>
        <bgColor rgb="FFFFFFFF"/>
      </patternFill>
    </fill>
    <fill>
      <patternFill patternType="solid">
        <fgColor rgb="FFFCF3CF"/>
        <bgColor rgb="FFFDEBD0"/>
      </patternFill>
    </fill>
    <fill>
      <patternFill patternType="solid">
        <fgColor rgb="001F4E79"/>
        <bgColor rgb="001F4E79"/>
      </patternFill>
    </fill>
    <fill>
      <patternFill patternType="solid">
        <fgColor rgb="009DC3E6"/>
        <bgColor rgb="009DC3E6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4" fontId="7" fillId="4" borderId="0" applyAlignment="1" pivotButton="0" quotePrefix="0" xfId="0">
      <alignment horizontal="right" vertical="bottom"/>
    </xf>
    <xf numFmtId="0" fontId="8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left" vertical="center"/>
    </xf>
    <xf numFmtId="4" fontId="11" fillId="5" borderId="0" applyAlignment="1" pivotButton="0" quotePrefix="0" xfId="0">
      <alignment horizontal="right" vertical="bottom"/>
    </xf>
    <xf numFmtId="0" fontId="8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 wrapText="1"/>
    </xf>
    <xf numFmtId="0" fontId="12" fillId="5" borderId="0" applyAlignment="1" pivotButton="0" quotePrefix="0" xfId="0">
      <alignment horizontal="center" vertical="center"/>
    </xf>
    <xf numFmtId="164" fontId="11" fillId="5" borderId="0" applyAlignment="1" pivotButton="0" quotePrefix="0" xfId="0">
      <alignment horizontal="right" vertical="bottom"/>
    </xf>
    <xf numFmtId="0" fontId="13" fillId="6" borderId="0" applyAlignment="1" pivotButton="0" quotePrefix="0" xfId="0">
      <alignment horizontal="left" vertical="center"/>
    </xf>
    <xf numFmtId="4" fontId="14" fillId="6" borderId="0" applyAlignment="1" pivotButton="0" quotePrefix="0" xfId="0">
      <alignment horizontal="right" vertical="bottom"/>
    </xf>
    <xf numFmtId="0" fontId="8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left" vertical="center"/>
    </xf>
    <xf numFmtId="4" fontId="17" fillId="7" borderId="0" applyAlignment="1" pivotButton="0" quotePrefix="0" xfId="0">
      <alignment horizontal="right" vertical="bottom"/>
    </xf>
    <xf numFmtId="0" fontId="8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 wrapText="1"/>
    </xf>
    <xf numFmtId="0" fontId="18" fillId="7" borderId="0" applyAlignment="1" pivotButton="0" quotePrefix="0" xfId="0">
      <alignment horizontal="center" vertical="center"/>
    </xf>
    <xf numFmtId="0" fontId="19" fillId="8" borderId="0" applyAlignment="1" pivotButton="0" quotePrefix="0" xfId="0">
      <alignment horizontal="left" vertical="center"/>
    </xf>
    <xf numFmtId="4" fontId="20" fillId="8" borderId="0" applyAlignment="1" pivotButton="0" quotePrefix="0" xfId="0">
      <alignment horizontal="right" vertical="bottom"/>
    </xf>
    <xf numFmtId="0" fontId="8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left" vertical="center" wrapText="1"/>
    </xf>
    <xf numFmtId="0" fontId="21" fillId="8" borderId="0" applyAlignment="1" pivotButton="0" quotePrefix="0" xfId="0">
      <alignment horizontal="center" vertical="center"/>
    </xf>
    <xf numFmtId="3" fontId="20" fillId="8" borderId="0" applyAlignment="1" pivotButton="0" quotePrefix="0" xfId="0">
      <alignment horizontal="right" vertical="bottom"/>
    </xf>
    <xf numFmtId="165" fontId="20" fillId="8" borderId="0" applyAlignment="1" pivotButton="0" quotePrefix="0" xfId="0">
      <alignment horizontal="right" vertical="bottom"/>
    </xf>
    <xf numFmtId="3" fontId="14" fillId="6" borderId="0" applyAlignment="1" pivotButton="0" quotePrefix="0" xfId="0">
      <alignment horizontal="right" vertical="bottom"/>
    </xf>
    <xf numFmtId="0" fontId="22" fillId="0" borderId="0" applyAlignment="1" pivotButton="0" quotePrefix="0" xfId="0">
      <alignment horizontal="general" vertical="bottom" wrapText="1"/>
    </xf>
    <xf numFmtId="0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4" fontId="25" fillId="0" borderId="0" applyAlignment="1" pivotButton="0" quotePrefix="0" xfId="0">
      <alignment horizontal="right" vertical="bottom"/>
    </xf>
    <xf numFmtId="0" fontId="26" fillId="9" borderId="0" applyAlignment="1" pivotButton="0" quotePrefix="0" xfId="0">
      <alignment horizontal="center" vertical="center"/>
    </xf>
    <xf numFmtId="4" fontId="27" fillId="0" borderId="0" applyAlignment="1" pivotButton="0" quotePrefix="0" xfId="0">
      <alignment horizontal="right" vertical="bottom"/>
    </xf>
    <xf numFmtId="0" fontId="28" fillId="2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/>
    </xf>
    <xf numFmtId="4" fontId="10" fillId="5" borderId="0" applyAlignment="1" pivotButton="0" quotePrefix="0" xfId="0">
      <alignment horizontal="right" vertical="bottom"/>
    </xf>
    <xf numFmtId="4" fontId="30" fillId="9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center"/>
    </xf>
    <xf numFmtId="4" fontId="32" fillId="10" borderId="0" applyAlignment="1" pivotButton="0" quotePrefix="0" xfId="0">
      <alignment horizontal="right" vertical="bottom"/>
    </xf>
    <xf numFmtId="0" fontId="23" fillId="11" borderId="0" applyAlignment="1" pivotButton="0" quotePrefix="0" xfId="0">
      <alignment horizontal="center" vertical="center"/>
    </xf>
    <xf numFmtId="0" fontId="33" fillId="11" borderId="0" applyAlignment="1" pivotButton="0" quotePrefix="0" xfId="0">
      <alignment horizontal="center" vertical="center"/>
    </xf>
    <xf numFmtId="0" fontId="23" fillId="11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center" vertical="center"/>
    </xf>
    <xf numFmtId="4" fontId="34" fillId="11" borderId="0" applyAlignment="1" pivotButton="0" quotePrefix="0" xfId="0">
      <alignment horizontal="right" vertical="bottom"/>
    </xf>
    <xf numFmtId="4" fontId="23" fillId="11" borderId="0" applyAlignment="1" pivotButton="0" quotePrefix="0" xfId="0">
      <alignment horizontal="right" vertical="bottom"/>
    </xf>
    <xf numFmtId="0" fontId="23" fillId="12" borderId="0" applyAlignment="1" pivotButton="0" quotePrefix="0" xfId="0">
      <alignment horizontal="center" vertical="center"/>
    </xf>
    <xf numFmtId="0" fontId="33" fillId="12" borderId="0" applyAlignment="1" pivotButton="0" quotePrefix="0" xfId="0">
      <alignment horizontal="center" vertical="center"/>
    </xf>
    <xf numFmtId="0" fontId="23" fillId="12" borderId="0" applyAlignment="1" pivotButton="0" quotePrefix="0" xfId="0">
      <alignment horizontal="left" vertical="center"/>
    </xf>
    <xf numFmtId="0" fontId="12" fillId="12" borderId="0" applyAlignment="1" pivotButton="0" quotePrefix="0" xfId="0">
      <alignment horizontal="center" vertical="center"/>
    </xf>
    <xf numFmtId="4" fontId="34" fillId="12" borderId="0" applyAlignment="1" pivotButton="0" quotePrefix="0" xfId="0">
      <alignment horizontal="right" vertical="bottom"/>
    </xf>
    <xf numFmtId="4" fontId="23" fillId="12" borderId="0" applyAlignment="1" pivotButton="0" quotePrefix="0" xfId="0">
      <alignment horizontal="right" vertical="bottom"/>
    </xf>
    <xf numFmtId="0" fontId="23" fillId="6" borderId="0" applyAlignment="1" pivotButton="0" quotePrefix="0" xfId="0">
      <alignment horizontal="center" vertical="center"/>
    </xf>
    <xf numFmtId="0" fontId="26" fillId="6" borderId="0" applyAlignment="1" pivotButton="0" quotePrefix="0" xfId="0">
      <alignment horizontal="center" vertical="center"/>
    </xf>
    <xf numFmtId="0" fontId="23" fillId="6" borderId="0" applyAlignment="1" pivotButton="0" quotePrefix="0" xfId="0">
      <alignment horizontal="left" vertical="center"/>
    </xf>
    <xf numFmtId="0" fontId="35" fillId="6" borderId="0" applyAlignment="1" pivotButton="0" quotePrefix="0" xfId="0">
      <alignment horizontal="center" vertical="center"/>
    </xf>
    <xf numFmtId="4" fontId="34" fillId="6" borderId="0" applyAlignment="1" pivotButton="0" quotePrefix="0" xfId="0">
      <alignment horizontal="right" vertical="bottom"/>
    </xf>
    <xf numFmtId="4" fontId="24" fillId="6" borderId="0" applyAlignment="1" pivotButton="0" quotePrefix="0" xfId="0">
      <alignment horizontal="right" vertical="bottom"/>
    </xf>
    <xf numFmtId="0" fontId="5" fillId="2" borderId="0" applyAlignment="1" pivotButton="0" quotePrefix="0" xfId="0">
      <alignment horizontal="right" vertical="center"/>
    </xf>
    <xf numFmtId="4" fontId="28" fillId="2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36" fillId="13" borderId="0" applyAlignment="1" pivotButton="0" quotePrefix="0" xfId="0">
      <alignment horizontal="center" vertical="center"/>
    </xf>
    <xf numFmtId="3" fontId="34" fillId="0" borderId="0" applyAlignment="1" pivotButton="0" quotePrefix="0" xfId="0">
      <alignment horizontal="center" vertical="bottom"/>
    </xf>
    <xf numFmtId="4" fontId="34" fillId="0" borderId="0" applyAlignment="1" pivotButton="0" quotePrefix="0" xfId="0">
      <alignment horizontal="right" vertical="bottom"/>
    </xf>
    <xf numFmtId="3" fontId="34" fillId="12" borderId="0" applyAlignment="1" pivotButton="0" quotePrefix="0" xfId="0">
      <alignment horizontal="center" vertical="bottom"/>
    </xf>
    <xf numFmtId="3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3" fontId="0" fillId="12" borderId="0" applyAlignment="1" pivotButton="0" quotePrefix="0" xfId="0">
      <alignment horizontal="general" vertical="bottom"/>
    </xf>
    <xf numFmtId="4" fontId="0" fillId="1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/>
    </xf>
    <xf numFmtId="3" fontId="5" fillId="2" borderId="0" applyAlignment="1" pivotButton="0" quotePrefix="0" xfId="0">
      <alignment horizontal="center" vertical="bottom"/>
    </xf>
    <xf numFmtId="4" fontId="5" fillId="2" borderId="0" applyAlignment="1" pivotButton="0" quotePrefix="0" xfId="0">
      <alignment horizontal="center" vertical="bottom"/>
    </xf>
    <xf numFmtId="0" fontId="4" fillId="14" borderId="0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 wrapText="1"/>
    </xf>
    <xf numFmtId="0" fontId="37" fillId="16" borderId="1" applyAlignment="1" pivotButton="0" quotePrefix="0" xfId="0">
      <alignment horizontal="left" vertical="center"/>
    </xf>
    <xf numFmtId="0" fontId="37" fillId="16" borderId="1" applyAlignment="1" pivotButton="0" quotePrefix="0" xfId="0">
      <alignment horizontal="center" vertical="center"/>
    </xf>
    <xf numFmtId="0" fontId="37" fillId="17" borderId="1" applyAlignment="1" pivotButton="0" quotePrefix="0" xfId="0">
      <alignment horizontal="left" vertical="center"/>
    </xf>
    <xf numFmtId="0" fontId="37" fillId="17" borderId="1" applyAlignment="1" pivotButton="0" quotePrefix="0" xfId="0">
      <alignment horizontal="center" vertical="center"/>
    </xf>
    <xf numFmtId="0" fontId="37" fillId="18" borderId="1" applyAlignment="1" pivotButton="0" quotePrefix="0" xfId="0">
      <alignment horizontal="left" vertical="center"/>
    </xf>
    <xf numFmtId="0" fontId="37" fillId="18" borderId="1" applyAlignment="1" pivotButton="0" quotePrefix="0" xfId="0">
      <alignment horizontal="center" vertical="center"/>
    </xf>
    <xf numFmtId="0" fontId="37" fillId="19" borderId="1" applyAlignment="1" pivotButton="0" quotePrefix="0" xfId="0">
      <alignment horizontal="left" vertical="center"/>
    </xf>
    <xf numFmtId="0" fontId="37" fillId="19" borderId="1" applyAlignment="1" pivotButton="0" quotePrefix="0" xfId="0">
      <alignment horizontal="center" vertical="center"/>
    </xf>
    <xf numFmtId="0" fontId="37" fillId="20" borderId="1" applyAlignment="1" pivotButton="0" quotePrefix="0" xfId="0">
      <alignment horizontal="left" vertical="center"/>
    </xf>
    <xf numFmtId="0" fontId="37" fillId="20" borderId="1" applyAlignment="1" pivotButton="0" quotePrefix="0" xfId="0">
      <alignment horizontal="center" vertical="center"/>
    </xf>
    <xf numFmtId="0" fontId="37" fillId="21" borderId="1" applyAlignment="1" pivotButton="0" quotePrefix="0" xfId="0">
      <alignment horizontal="left" vertical="center"/>
    </xf>
    <xf numFmtId="0" fontId="37" fillId="21" borderId="1" applyAlignment="1" pivotButton="0" quotePrefix="0" xfId="0">
      <alignment horizontal="center" vertical="center"/>
    </xf>
    <xf numFmtId="0" fontId="37" fillId="22" borderId="1" applyAlignment="1" pivotButton="0" quotePrefix="0" xfId="0">
      <alignment horizontal="left" vertical="center"/>
    </xf>
    <xf numFmtId="0" fontId="37" fillId="22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38" fillId="15" borderId="1" applyAlignment="1" pivotButton="0" quotePrefix="0" xfId="0">
      <alignment horizontal="center" vertical="center" wrapText="1"/>
    </xf>
    <xf numFmtId="166" fontId="29" fillId="11" borderId="1" applyAlignment="1" pivotButton="0" quotePrefix="0" xfId="0">
      <alignment horizontal="center" vertical="bottom"/>
    </xf>
    <xf numFmtId="0" fontId="37" fillId="19" borderId="1" applyAlignment="1" pivotButton="0" quotePrefix="0" xfId="0">
      <alignment horizontal="center" vertical="bottom"/>
    </xf>
    <xf numFmtId="0" fontId="37" fillId="20" borderId="1" applyAlignment="1" pivotButton="0" quotePrefix="0" xfId="0">
      <alignment horizontal="center" vertical="bottom"/>
    </xf>
    <xf numFmtId="0" fontId="37" fillId="17" borderId="1" applyAlignment="1" pivotButton="0" quotePrefix="0" xfId="0">
      <alignment horizontal="center" vertical="bottom"/>
    </xf>
    <xf numFmtId="0" fontId="37" fillId="18" borderId="1" applyAlignment="1" pivotButton="0" quotePrefix="0" xfId="0">
      <alignment horizontal="center" vertical="bottom"/>
    </xf>
    <xf numFmtId="0" fontId="37" fillId="21" borderId="1" applyAlignment="1" pivotButton="0" quotePrefix="0" xfId="0">
      <alignment horizontal="center" vertical="bottom"/>
    </xf>
    <xf numFmtId="0" fontId="37" fillId="22" borderId="1" applyAlignment="1" pivotButton="0" quotePrefix="0" xfId="0">
      <alignment horizontal="center" vertical="bottom"/>
    </xf>
    <xf numFmtId="0" fontId="37" fillId="16" borderId="1" applyAlignment="1" pivotButton="0" quotePrefix="0" xfId="0">
      <alignment horizontal="center" vertical="bottom"/>
    </xf>
    <xf numFmtId="0" fontId="29" fillId="23" borderId="1" applyAlignment="1" pivotButton="0" quotePrefix="0" xfId="0">
      <alignment horizontal="center" vertical="bottom"/>
    </xf>
    <xf numFmtId="0" fontId="5" fillId="14" borderId="1" applyAlignment="1" pivotButton="0" quotePrefix="0" xfId="0">
      <alignment horizontal="center" vertical="bottom"/>
    </xf>
    <xf numFmtId="166" fontId="5" fillId="15" borderId="1" applyAlignment="1" pivotButton="0" quotePrefix="0" xfId="0">
      <alignment horizontal="center" vertical="center" wrapText="1"/>
    </xf>
    <xf numFmtId="4" fontId="39" fillId="11" borderId="2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37" fillId="24" borderId="1" applyAlignment="1" pivotButton="0" quotePrefix="0" xfId="0">
      <alignment horizontal="left" vertical="center"/>
    </xf>
    <xf numFmtId="0" fontId="37" fillId="24" borderId="1" applyAlignment="1" pivotButton="0" quotePrefix="0" xfId="0">
      <alignment horizontal="center" vertical="center"/>
    </xf>
    <xf numFmtId="4" fontId="39" fillId="25" borderId="2" applyAlignment="1" pivotButton="0" quotePrefix="0" xfId="0">
      <alignment horizontal="general" vertical="center"/>
    </xf>
    <xf numFmtId="0" fontId="40" fillId="2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bottom"/>
    </xf>
    <xf numFmtId="0" fontId="28" fillId="3" borderId="0" applyAlignment="1" pivotButton="0" quotePrefix="0" xfId="0">
      <alignment horizontal="left" vertical="center"/>
    </xf>
    <xf numFmtId="0" fontId="29" fillId="13" borderId="0" applyAlignment="1" pivotButton="0" quotePrefix="0" xfId="0">
      <alignment horizontal="left" vertical="center"/>
    </xf>
    <xf numFmtId="0" fontId="29" fillId="13" borderId="0" applyAlignment="1" pivotButton="0" quotePrefix="0" xfId="0">
      <alignment horizontal="right" vertical="center"/>
    </xf>
    <xf numFmtId="0" fontId="29" fillId="8" borderId="0" applyAlignment="1" pivotButton="0" quotePrefix="0" xfId="0">
      <alignment horizontal="left" vertical="center"/>
    </xf>
    <xf numFmtId="4" fontId="42" fillId="4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left" vertical="center"/>
    </xf>
    <xf numFmtId="4" fontId="42" fillId="0" borderId="0" applyAlignment="1" pivotButton="0" quotePrefix="0" xfId="0">
      <alignment horizontal="right" vertical="bottom"/>
    </xf>
    <xf numFmtId="4" fontId="42" fillId="5" borderId="0" applyAlignment="1" pivotButton="0" quotePrefix="0" xfId="0">
      <alignment horizontal="right" vertical="bottom"/>
    </xf>
    <xf numFmtId="164" fontId="42" fillId="0" borderId="0" applyAlignment="1" pivotButton="0" quotePrefix="0" xfId="0">
      <alignment horizontal="right" vertical="bottom"/>
    </xf>
    <xf numFmtId="4" fontId="42" fillId="9" borderId="0" applyAlignment="1" pivotButton="0" quotePrefix="0" xfId="0">
      <alignment horizontal="right" vertical="bottom"/>
    </xf>
    <xf numFmtId="4" fontId="42" fillId="10" borderId="0" applyAlignment="1" pivotButton="0" quotePrefix="0" xfId="0">
      <alignment horizontal="right" vertical="bottom"/>
    </xf>
    <xf numFmtId="0" fontId="37" fillId="8" borderId="0" applyAlignment="1" pivotButton="0" quotePrefix="0" xfId="0">
      <alignment horizontal="left" vertical="center"/>
    </xf>
    <xf numFmtId="4" fontId="39" fillId="0" borderId="0" applyAlignment="1" pivotButton="0" quotePrefix="0" xfId="0">
      <alignment horizontal="right" vertical="bottom"/>
    </xf>
    <xf numFmtId="0" fontId="37" fillId="0" borderId="0" applyAlignment="1" pivotButton="0" quotePrefix="0" xfId="0">
      <alignment horizontal="left" vertical="center"/>
    </xf>
    <xf numFmtId="3" fontId="39" fillId="0" borderId="0" applyAlignment="1" pivotButton="0" quotePrefix="0" xfId="0">
      <alignment horizontal="right" vertical="bottom"/>
    </xf>
    <xf numFmtId="165" fontId="39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4" fontId="7" fillId="4" borderId="0" applyAlignment="1" pivotButton="0" quotePrefix="0" xfId="0">
      <alignment horizontal="right" vertical="bottom"/>
    </xf>
    <xf numFmtId="0" fontId="8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left" vertical="center"/>
    </xf>
    <xf numFmtId="4" fontId="11" fillId="5" borderId="0" applyAlignment="1" pivotButton="0" quotePrefix="0" xfId="0">
      <alignment horizontal="right" vertical="bottom"/>
    </xf>
    <xf numFmtId="0" fontId="8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 wrapText="1"/>
    </xf>
    <xf numFmtId="0" fontId="12" fillId="5" borderId="0" applyAlignment="1" pivotButton="0" quotePrefix="0" xfId="0">
      <alignment horizontal="center" vertical="center"/>
    </xf>
    <xf numFmtId="164" fontId="11" fillId="5" borderId="0" applyAlignment="1" pivotButton="0" quotePrefix="0" xfId="0">
      <alignment horizontal="right" vertical="bottom"/>
    </xf>
    <xf numFmtId="0" fontId="13" fillId="6" borderId="0" applyAlignment="1" pivotButton="0" quotePrefix="0" xfId="0">
      <alignment horizontal="left" vertical="center"/>
    </xf>
    <xf numFmtId="4" fontId="14" fillId="6" borderId="0" applyAlignment="1" pivotButton="0" quotePrefix="0" xfId="0">
      <alignment horizontal="right" vertical="bottom"/>
    </xf>
    <xf numFmtId="0" fontId="8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left" vertical="center"/>
    </xf>
    <xf numFmtId="4" fontId="17" fillId="7" borderId="0" applyAlignment="1" pivotButton="0" quotePrefix="0" xfId="0">
      <alignment horizontal="right" vertical="bottom"/>
    </xf>
    <xf numFmtId="0" fontId="8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 wrapText="1"/>
    </xf>
    <xf numFmtId="0" fontId="18" fillId="7" borderId="0" applyAlignment="1" pivotButton="0" quotePrefix="0" xfId="0">
      <alignment horizontal="center" vertical="center"/>
    </xf>
    <xf numFmtId="0" fontId="19" fillId="8" borderId="0" applyAlignment="1" pivotButton="0" quotePrefix="0" xfId="0">
      <alignment horizontal="left" vertical="center"/>
    </xf>
    <xf numFmtId="4" fontId="20" fillId="8" borderId="0" applyAlignment="1" pivotButton="0" quotePrefix="0" xfId="0">
      <alignment horizontal="right" vertical="bottom"/>
    </xf>
    <xf numFmtId="0" fontId="8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left" vertical="center" wrapText="1"/>
    </xf>
    <xf numFmtId="0" fontId="21" fillId="8" borderId="0" applyAlignment="1" pivotButton="0" quotePrefix="0" xfId="0">
      <alignment horizontal="center" vertical="center"/>
    </xf>
    <xf numFmtId="3" fontId="20" fillId="8" borderId="0" applyAlignment="1" pivotButton="0" quotePrefix="0" xfId="0">
      <alignment horizontal="right" vertical="bottom"/>
    </xf>
    <xf numFmtId="165" fontId="20" fillId="8" borderId="0" applyAlignment="1" pivotButton="0" quotePrefix="0" xfId="0">
      <alignment horizontal="right" vertical="bottom"/>
    </xf>
    <xf numFmtId="3" fontId="14" fillId="6" borderId="0" applyAlignment="1" pivotButton="0" quotePrefix="0" xfId="0">
      <alignment horizontal="right" vertical="bottom"/>
    </xf>
    <xf numFmtId="0" fontId="22" fillId="0" borderId="0" applyAlignment="1" pivotButton="0" quotePrefix="0" xfId="0">
      <alignment horizontal="general" vertical="bottom" wrapText="1"/>
    </xf>
    <xf numFmtId="0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4" fontId="25" fillId="0" borderId="0" applyAlignment="1" pivotButton="0" quotePrefix="0" xfId="0">
      <alignment horizontal="right" vertical="bottom"/>
    </xf>
    <xf numFmtId="0" fontId="26" fillId="9" borderId="0" applyAlignment="1" pivotButton="0" quotePrefix="0" xfId="0">
      <alignment horizontal="center" vertical="center"/>
    </xf>
    <xf numFmtId="4" fontId="27" fillId="0" borderId="0" applyAlignment="1" pivotButton="0" quotePrefix="0" xfId="0">
      <alignment horizontal="right" vertical="bottom"/>
    </xf>
    <xf numFmtId="0" fontId="28" fillId="2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/>
    </xf>
    <xf numFmtId="4" fontId="10" fillId="5" borderId="0" applyAlignment="1" pivotButton="0" quotePrefix="0" xfId="0">
      <alignment horizontal="right" vertical="bottom"/>
    </xf>
    <xf numFmtId="4" fontId="30" fillId="9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center"/>
    </xf>
    <xf numFmtId="4" fontId="32" fillId="10" borderId="0" applyAlignment="1" pivotButton="0" quotePrefix="0" xfId="0">
      <alignment horizontal="right" vertical="bottom"/>
    </xf>
    <xf numFmtId="0" fontId="23" fillId="11" borderId="0" applyAlignment="1" pivotButton="0" quotePrefix="0" xfId="0">
      <alignment horizontal="center" vertical="center"/>
    </xf>
    <xf numFmtId="0" fontId="33" fillId="11" borderId="0" applyAlignment="1" pivotButton="0" quotePrefix="0" xfId="0">
      <alignment horizontal="center" vertical="center"/>
    </xf>
    <xf numFmtId="0" fontId="23" fillId="11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center" vertical="center"/>
    </xf>
    <xf numFmtId="4" fontId="34" fillId="11" borderId="0" applyAlignment="1" pivotButton="0" quotePrefix="0" xfId="0">
      <alignment horizontal="right" vertical="bottom"/>
    </xf>
    <xf numFmtId="4" fontId="23" fillId="11" borderId="0" applyAlignment="1" pivotButton="0" quotePrefix="0" xfId="0">
      <alignment horizontal="right" vertical="bottom"/>
    </xf>
    <xf numFmtId="0" fontId="23" fillId="12" borderId="0" applyAlignment="1" pivotButton="0" quotePrefix="0" xfId="0">
      <alignment horizontal="center" vertical="center"/>
    </xf>
    <xf numFmtId="0" fontId="33" fillId="12" borderId="0" applyAlignment="1" pivotButton="0" quotePrefix="0" xfId="0">
      <alignment horizontal="center" vertical="center"/>
    </xf>
    <xf numFmtId="0" fontId="23" fillId="12" borderId="0" applyAlignment="1" pivotButton="0" quotePrefix="0" xfId="0">
      <alignment horizontal="left" vertical="center"/>
    </xf>
    <xf numFmtId="0" fontId="12" fillId="12" borderId="0" applyAlignment="1" pivotButton="0" quotePrefix="0" xfId="0">
      <alignment horizontal="center" vertical="center"/>
    </xf>
    <xf numFmtId="4" fontId="34" fillId="12" borderId="0" applyAlignment="1" pivotButton="0" quotePrefix="0" xfId="0">
      <alignment horizontal="right" vertical="bottom"/>
    </xf>
    <xf numFmtId="4" fontId="23" fillId="12" borderId="0" applyAlignment="1" pivotButton="0" quotePrefix="0" xfId="0">
      <alignment horizontal="right" vertical="bottom"/>
    </xf>
    <xf numFmtId="0" fontId="23" fillId="6" borderId="0" applyAlignment="1" pivotButton="0" quotePrefix="0" xfId="0">
      <alignment horizontal="center" vertical="center"/>
    </xf>
    <xf numFmtId="0" fontId="26" fillId="6" borderId="0" applyAlignment="1" pivotButton="0" quotePrefix="0" xfId="0">
      <alignment horizontal="center" vertical="center"/>
    </xf>
    <xf numFmtId="0" fontId="23" fillId="6" borderId="0" applyAlignment="1" pivotButton="0" quotePrefix="0" xfId="0">
      <alignment horizontal="left" vertical="center"/>
    </xf>
    <xf numFmtId="0" fontId="35" fillId="6" borderId="0" applyAlignment="1" pivotButton="0" quotePrefix="0" xfId="0">
      <alignment horizontal="center" vertical="center"/>
    </xf>
    <xf numFmtId="4" fontId="34" fillId="6" borderId="0" applyAlignment="1" pivotButton="0" quotePrefix="0" xfId="0">
      <alignment horizontal="right" vertical="bottom"/>
    </xf>
    <xf numFmtId="4" fontId="24" fillId="6" borderId="0" applyAlignment="1" pivotButton="0" quotePrefix="0" xfId="0">
      <alignment horizontal="right" vertical="bottom"/>
    </xf>
    <xf numFmtId="0" fontId="5" fillId="2" borderId="0" applyAlignment="1" pivotButton="0" quotePrefix="0" xfId="0">
      <alignment horizontal="right" vertical="center"/>
    </xf>
    <xf numFmtId="4" fontId="28" fillId="2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36" fillId="13" borderId="0" applyAlignment="1" pivotButton="0" quotePrefix="0" xfId="0">
      <alignment horizontal="center" vertical="center"/>
    </xf>
    <xf numFmtId="3" fontId="34" fillId="0" borderId="0" applyAlignment="1" pivotButton="0" quotePrefix="0" xfId="0">
      <alignment horizontal="center" vertical="bottom"/>
    </xf>
    <xf numFmtId="4" fontId="34" fillId="0" borderId="0" applyAlignment="1" pivotButton="0" quotePrefix="0" xfId="0">
      <alignment horizontal="right" vertical="bottom"/>
    </xf>
    <xf numFmtId="3" fontId="34" fillId="12" borderId="0" applyAlignment="1" pivotButton="0" quotePrefix="0" xfId="0">
      <alignment horizontal="center" vertical="bottom"/>
    </xf>
    <xf numFmtId="3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3" fontId="0" fillId="12" borderId="0" applyAlignment="1" pivotButton="0" quotePrefix="0" xfId="0">
      <alignment horizontal="general" vertical="bottom"/>
    </xf>
    <xf numFmtId="4" fontId="0" fillId="1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/>
    </xf>
    <xf numFmtId="3" fontId="5" fillId="2" borderId="0" applyAlignment="1" pivotButton="0" quotePrefix="0" xfId="0">
      <alignment horizontal="center" vertical="bottom"/>
    </xf>
    <xf numFmtId="4" fontId="5" fillId="2" borderId="0" applyAlignment="1" pivotButton="0" quotePrefix="0" xfId="0">
      <alignment horizontal="center" vertical="bottom"/>
    </xf>
    <xf numFmtId="0" fontId="4" fillId="14" borderId="0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 wrapText="1"/>
    </xf>
    <xf numFmtId="0" fontId="37" fillId="17" borderId="1" applyAlignment="1" pivotButton="0" quotePrefix="0" xfId="0">
      <alignment horizontal="left" vertical="center"/>
    </xf>
    <xf numFmtId="0" fontId="37" fillId="17" borderId="1" applyAlignment="1" pivotButton="0" quotePrefix="0" xfId="0">
      <alignment horizontal="center" vertical="center"/>
    </xf>
    <xf numFmtId="0" fontId="37" fillId="19" borderId="1" applyAlignment="1" pivotButton="0" quotePrefix="0" xfId="0">
      <alignment horizontal="left" vertical="center"/>
    </xf>
    <xf numFmtId="0" fontId="37" fillId="19" borderId="1" applyAlignment="1" pivotButton="0" quotePrefix="0" xfId="0">
      <alignment horizontal="center" vertical="center"/>
    </xf>
    <xf numFmtId="0" fontId="37" fillId="20" borderId="1" applyAlignment="1" pivotButton="0" quotePrefix="0" xfId="0">
      <alignment horizontal="left" vertical="center"/>
    </xf>
    <xf numFmtId="0" fontId="37" fillId="20" borderId="1" applyAlignment="1" pivotButton="0" quotePrefix="0" xfId="0">
      <alignment horizontal="center" vertical="center"/>
    </xf>
    <xf numFmtId="0" fontId="37" fillId="21" borderId="1" applyAlignment="1" pivotButton="0" quotePrefix="0" xfId="0">
      <alignment horizontal="left" vertical="center"/>
    </xf>
    <xf numFmtId="0" fontId="37" fillId="21" borderId="1" applyAlignment="1" pivotButton="0" quotePrefix="0" xfId="0">
      <alignment horizontal="center" vertical="center"/>
    </xf>
    <xf numFmtId="0" fontId="37" fillId="22" borderId="1" applyAlignment="1" pivotButton="0" quotePrefix="0" xfId="0">
      <alignment horizontal="left" vertical="center"/>
    </xf>
    <xf numFmtId="0" fontId="37" fillId="22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38" fillId="15" borderId="1" applyAlignment="1" pivotButton="0" quotePrefix="0" xfId="0">
      <alignment horizontal="center" vertical="center" wrapText="1"/>
    </xf>
    <xf numFmtId="166" fontId="29" fillId="11" borderId="1" applyAlignment="1" pivotButton="0" quotePrefix="0" xfId="0">
      <alignment horizontal="center" vertical="bottom"/>
    </xf>
    <xf numFmtId="0" fontId="37" fillId="19" borderId="1" applyAlignment="1" pivotButton="0" quotePrefix="0" xfId="0">
      <alignment horizontal="center" vertical="bottom"/>
    </xf>
    <xf numFmtId="0" fontId="37" fillId="20" borderId="1" applyAlignment="1" pivotButton="0" quotePrefix="0" xfId="0">
      <alignment horizontal="center" vertical="bottom"/>
    </xf>
    <xf numFmtId="0" fontId="37" fillId="17" borderId="1" applyAlignment="1" pivotButton="0" quotePrefix="0" xfId="0">
      <alignment horizontal="center" vertical="bottom"/>
    </xf>
    <xf numFmtId="0" fontId="37" fillId="21" borderId="1" applyAlignment="1" pivotButton="0" quotePrefix="0" xfId="0">
      <alignment horizontal="center" vertical="bottom"/>
    </xf>
    <xf numFmtId="0" fontId="37" fillId="22" borderId="1" applyAlignment="1" pivotButton="0" quotePrefix="0" xfId="0">
      <alignment horizontal="center" vertical="bottom"/>
    </xf>
    <xf numFmtId="0" fontId="29" fillId="23" borderId="1" applyAlignment="1" pivotButton="0" quotePrefix="0" xfId="0">
      <alignment horizontal="center" vertical="bottom"/>
    </xf>
    <xf numFmtId="0" fontId="5" fillId="14" borderId="1" applyAlignment="1" pivotButton="0" quotePrefix="0" xfId="0">
      <alignment horizontal="center" vertical="bottom"/>
    </xf>
    <xf numFmtId="166" fontId="5" fillId="15" borderId="1" applyAlignment="1" pivotButton="0" quotePrefix="0" xfId="0">
      <alignment horizontal="center" vertical="center" wrapText="1"/>
    </xf>
    <xf numFmtId="4" fontId="39" fillId="11" borderId="2" applyAlignment="1" pivotButton="0" quotePrefix="0" xfId="0">
      <alignment horizontal="general" vertical="center"/>
    </xf>
    <xf numFmtId="0" fontId="37" fillId="24" borderId="1" applyAlignment="1" pivotButton="0" quotePrefix="0" xfId="0">
      <alignment horizontal="left" vertical="center"/>
    </xf>
    <xf numFmtId="0" fontId="37" fillId="24" borderId="1" applyAlignment="1" pivotButton="0" quotePrefix="0" xfId="0">
      <alignment horizontal="center" vertical="center"/>
    </xf>
    <xf numFmtId="4" fontId="39" fillId="25" borderId="2" applyAlignment="1" pivotButton="0" quotePrefix="0" xfId="0">
      <alignment horizontal="general" vertical="center"/>
    </xf>
    <xf numFmtId="0" fontId="40" fillId="2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bottom"/>
    </xf>
    <xf numFmtId="0" fontId="28" fillId="3" borderId="0" applyAlignment="1" pivotButton="0" quotePrefix="0" xfId="0">
      <alignment horizontal="left" vertical="center"/>
    </xf>
    <xf numFmtId="0" fontId="29" fillId="13" borderId="0" applyAlignment="1" pivotButton="0" quotePrefix="0" xfId="0">
      <alignment horizontal="left" vertical="center"/>
    </xf>
    <xf numFmtId="0" fontId="29" fillId="13" borderId="0" applyAlignment="1" pivotButton="0" quotePrefix="0" xfId="0">
      <alignment horizontal="right" vertical="center"/>
    </xf>
    <xf numFmtId="0" fontId="29" fillId="8" borderId="0" applyAlignment="1" pivotButton="0" quotePrefix="0" xfId="0">
      <alignment horizontal="left" vertical="center"/>
    </xf>
    <xf numFmtId="4" fontId="42" fillId="4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left" vertical="center"/>
    </xf>
    <xf numFmtId="4" fontId="42" fillId="0" borderId="0" applyAlignment="1" pivotButton="0" quotePrefix="0" xfId="0">
      <alignment horizontal="right" vertical="bottom"/>
    </xf>
    <xf numFmtId="4" fontId="42" fillId="5" borderId="0" applyAlignment="1" pivotButton="0" quotePrefix="0" xfId="0">
      <alignment horizontal="right" vertical="bottom"/>
    </xf>
    <xf numFmtId="164" fontId="42" fillId="0" borderId="0" applyAlignment="1" pivotButton="0" quotePrefix="0" xfId="0">
      <alignment horizontal="right" vertical="bottom"/>
    </xf>
    <xf numFmtId="4" fontId="42" fillId="9" borderId="0" applyAlignment="1" pivotButton="0" quotePrefix="0" xfId="0">
      <alignment horizontal="right" vertical="bottom"/>
    </xf>
    <xf numFmtId="4" fontId="42" fillId="10" borderId="0" applyAlignment="1" pivotButton="0" quotePrefix="0" xfId="0">
      <alignment horizontal="right" vertical="bottom"/>
    </xf>
    <xf numFmtId="0" fontId="37" fillId="8" borderId="0" applyAlignment="1" pivotButton="0" quotePrefix="0" xfId="0">
      <alignment horizontal="left" vertical="center"/>
    </xf>
    <xf numFmtId="4" fontId="39" fillId="0" borderId="0" applyAlignment="1" pivotButton="0" quotePrefix="0" xfId="0">
      <alignment horizontal="right" vertical="bottom"/>
    </xf>
    <xf numFmtId="0" fontId="37" fillId="0" borderId="0" applyAlignment="1" pivotButton="0" quotePrefix="0" xfId="0">
      <alignment horizontal="left" vertical="center"/>
    </xf>
    <xf numFmtId="3" fontId="39" fillId="0" borderId="0" applyAlignment="1" pivotButton="0" quotePrefix="0" xfId="0">
      <alignment horizontal="right" vertical="bottom"/>
    </xf>
    <xf numFmtId="165" fontId="39" fillId="0" borderId="0" applyAlignment="1" pivotButton="0" quotePrefix="0" xfId="0">
      <alignment horizontal="right" vertical="bottom"/>
    </xf>
    <xf numFmtId="0" fontId="48" fillId="31" borderId="0" applyAlignment="1" pivotButton="0" quotePrefix="0" xfId="0">
      <alignment horizontal="center" vertical="center"/>
    </xf>
    <xf numFmtId="0" fontId="49" fillId="32" borderId="3" applyAlignment="1" pivotButton="0" quotePrefix="0" xfId="0">
      <alignment horizontal="center" vertical="center"/>
    </xf>
    <xf numFmtId="0" fontId="49" fillId="32" borderId="3" applyAlignment="1" pivotButton="0" quotePrefix="0" xfId="0">
      <alignment horizontal="left" vertical="center"/>
    </xf>
    <xf numFmtId="0" fontId="50" fillId="0" borderId="3" pivotButton="0" quotePrefix="0" xfId="0"/>
    <xf numFmtId="4" fontId="50" fillId="0" borderId="3" pivotButton="0" quotePrefix="0" xfId="0"/>
    <xf numFmtId="0" fontId="49" fillId="0" borderId="0" pivotButton="0" quotePrefix="0" xfId="0"/>
    <xf numFmtId="0" fontId="49" fillId="33" borderId="0" pivotButton="0" quotePrefix="0" xfId="0"/>
    <xf numFmtId="0" fontId="0" fillId="33" borderId="0" pivotButton="0" quotePrefix="0" xfId="0"/>
    <xf numFmtId="4" fontId="49" fillId="33" borderId="0" pivotButton="0" quotePrefix="0" xfId="0"/>
    <xf numFmtId="0" fontId="49" fillId="33" borderId="4" pivotButton="0" quotePrefix="0" xfId="0"/>
    <xf numFmtId="0" fontId="0" fillId="33" borderId="4" pivotButton="0" quotePrefix="0" xfId="0"/>
    <xf numFmtId="4" fontId="49" fillId="33" borderId="4" pivotButton="0" quotePrefix="0" xfId="0"/>
    <xf numFmtId="0" fontId="43" fillId="26" borderId="0" applyAlignment="1" pivotButton="0" quotePrefix="0" xfId="0">
      <alignment horizontal="center" vertical="center"/>
    </xf>
    <xf numFmtId="0" fontId="44" fillId="27" borderId="1" applyAlignment="1" pivotButton="0" quotePrefix="0" xfId="0">
      <alignment horizontal="center" vertical="center" wrapText="1"/>
    </xf>
    <xf numFmtId="0" fontId="45" fillId="16" borderId="1" applyAlignment="1" pivotButton="0" quotePrefix="0" xfId="0">
      <alignment horizontal="left" vertical="center"/>
    </xf>
    <xf numFmtId="0" fontId="45" fillId="16" borderId="1" applyAlignment="1" pivotButton="0" quotePrefix="0" xfId="0">
      <alignment horizontal="center" vertical="center"/>
    </xf>
    <xf numFmtId="0" fontId="44" fillId="26" borderId="1" applyAlignment="1" pivotButton="0" quotePrefix="0" xfId="0">
      <alignment horizontal="left" vertical="center"/>
    </xf>
    <xf numFmtId="0" fontId="44" fillId="26" borderId="1" applyAlignment="1" pivotButton="0" quotePrefix="0" xfId="0">
      <alignment horizontal="center" vertical="center"/>
    </xf>
    <xf numFmtId="0" fontId="44" fillId="27" borderId="1" applyAlignment="1" pivotButton="0" quotePrefix="0" xfId="0">
      <alignment horizontal="center" vertical="center"/>
    </xf>
    <xf numFmtId="0" fontId="46" fillId="27" borderId="1" applyAlignment="1" pivotButton="0" quotePrefix="0" xfId="0">
      <alignment horizontal="center" vertical="center" wrapText="1"/>
    </xf>
    <xf numFmtId="16" fontId="47" fillId="11" borderId="1" applyAlignment="1" pivotButton="0" quotePrefix="0" xfId="0">
      <alignment horizontal="center"/>
    </xf>
    <xf numFmtId="0" fontId="45" fillId="28" borderId="1" applyAlignment="1" pivotButton="0" quotePrefix="0" xfId="0">
      <alignment horizontal="center"/>
    </xf>
    <xf numFmtId="0" fontId="45" fillId="20" borderId="1" applyAlignment="1" pivotButton="0" quotePrefix="0" xfId="0">
      <alignment horizontal="center"/>
    </xf>
    <xf numFmtId="0" fontId="45" fillId="30" borderId="1" applyAlignment="1" pivotButton="0" quotePrefix="0" xfId="0">
      <alignment horizontal="center"/>
    </xf>
    <xf numFmtId="0" fontId="45" fillId="21" borderId="1" applyAlignment="1" pivotButton="0" quotePrefix="0" xfId="0">
      <alignment horizontal="center"/>
    </xf>
    <xf numFmtId="0" fontId="45" fillId="22" borderId="1" applyAlignment="1" pivotButton="0" quotePrefix="0" xfId="0">
      <alignment horizontal="center"/>
    </xf>
    <xf numFmtId="0" fontId="47" fillId="23" borderId="1" applyAlignment="1" pivotButton="0" quotePrefix="0" xfId="0">
      <alignment horizontal="center"/>
    </xf>
    <xf numFmtId="0" fontId="44" fillId="26" borderId="1" applyAlignment="1" pivotButton="0" quotePrefix="0" xfId="0">
      <alignment horizontal="center"/>
    </xf>
    <xf numFmtId="168" fontId="44" fillId="27" borderId="1" applyAlignment="1" pivotButton="0" quotePrefix="0" xfId="0">
      <alignment horizontal="center" vertical="center" wrapText="1"/>
    </xf>
    <xf numFmtId="0" fontId="45" fillId="28" borderId="1" applyAlignment="1" pivotButton="0" quotePrefix="0" xfId="0">
      <alignment horizontal="left" vertical="center"/>
    </xf>
    <xf numFmtId="0" fontId="45" fillId="28" borderId="1" applyAlignment="1" pivotButton="0" quotePrefix="0" xfId="0">
      <alignment horizontal="center" vertical="center"/>
    </xf>
    <xf numFmtId="4" fontId="45" fillId="28" borderId="1" applyAlignment="1" pivotButton="0" quotePrefix="0" xfId="0">
      <alignment horizontal="center" vertical="center"/>
    </xf>
    <xf numFmtId="164" fontId="45" fillId="28" borderId="1" applyAlignment="1" pivotButton="0" quotePrefix="0" xfId="0">
      <alignment horizontal="center" vertical="center"/>
    </xf>
    <xf numFmtId="0" fontId="45" fillId="29" borderId="1" applyAlignment="1" pivotButton="0" quotePrefix="0" xfId="0">
      <alignment horizontal="left" vertical="center"/>
    </xf>
    <xf numFmtId="0" fontId="45" fillId="29" borderId="1" applyAlignment="1" pivotButton="0" quotePrefix="0" xfId="0">
      <alignment horizontal="center" vertical="center"/>
    </xf>
    <xf numFmtId="4" fontId="45" fillId="29" borderId="1" applyAlignment="1" pivotButton="0" quotePrefix="0" xfId="0">
      <alignment horizontal="center" vertical="center"/>
    </xf>
    <xf numFmtId="164" fontId="45" fillId="29" borderId="1" applyAlignment="1" pivotButton="0" quotePrefix="0" xfId="0">
      <alignment horizontal="center" vertical="center"/>
    </xf>
    <xf numFmtId="0" fontId="45" fillId="20" borderId="1" applyAlignment="1" pivotButton="0" quotePrefix="0" xfId="0">
      <alignment horizontal="left" vertical="center"/>
    </xf>
    <xf numFmtId="0" fontId="45" fillId="20" borderId="1" applyAlignment="1" pivotButton="0" quotePrefix="0" xfId="0">
      <alignment horizontal="center" vertical="center"/>
    </xf>
    <xf numFmtId="4" fontId="45" fillId="20" borderId="1" applyAlignment="1" pivotButton="0" quotePrefix="0" xfId="0">
      <alignment horizontal="center" vertical="center"/>
    </xf>
    <xf numFmtId="164" fontId="45" fillId="20" borderId="1" applyAlignment="1" pivotButton="0" quotePrefix="0" xfId="0">
      <alignment horizontal="center" vertical="center"/>
    </xf>
    <xf numFmtId="0" fontId="45" fillId="30" borderId="1" applyAlignment="1" pivotButton="0" quotePrefix="0" xfId="0">
      <alignment horizontal="left" vertical="center"/>
    </xf>
    <xf numFmtId="0" fontId="45" fillId="30" borderId="1" applyAlignment="1" pivotButton="0" quotePrefix="0" xfId="0">
      <alignment horizontal="center" vertical="center"/>
    </xf>
    <xf numFmtId="4" fontId="45" fillId="30" borderId="1" applyAlignment="1" pivotButton="0" quotePrefix="0" xfId="0">
      <alignment horizontal="center" vertical="center"/>
    </xf>
    <xf numFmtId="164" fontId="45" fillId="30" borderId="1" applyAlignment="1" pivotButton="0" quotePrefix="0" xfId="0">
      <alignment horizontal="center" vertical="center"/>
    </xf>
    <xf numFmtId="0" fontId="45" fillId="21" borderId="1" applyAlignment="1" pivotButton="0" quotePrefix="0" xfId="0">
      <alignment horizontal="left" vertical="center"/>
    </xf>
    <xf numFmtId="0" fontId="45" fillId="21" borderId="1" applyAlignment="1" pivotButton="0" quotePrefix="0" xfId="0">
      <alignment horizontal="center" vertical="center"/>
    </xf>
    <xf numFmtId="4" fontId="45" fillId="21" borderId="1" applyAlignment="1" pivotButton="0" quotePrefix="0" xfId="0">
      <alignment horizontal="center" vertical="center"/>
    </xf>
    <xf numFmtId="164" fontId="45" fillId="21" borderId="1" applyAlignment="1" pivotButton="0" quotePrefix="0" xfId="0">
      <alignment horizontal="center" vertical="center"/>
    </xf>
    <xf numFmtId="0" fontId="45" fillId="22" borderId="1" applyAlignment="1" pivotButton="0" quotePrefix="0" xfId="0">
      <alignment horizontal="left" vertical="center"/>
    </xf>
    <xf numFmtId="0" fontId="45" fillId="22" borderId="1" applyAlignment="1" pivotButton="0" quotePrefix="0" xfId="0">
      <alignment horizontal="center" vertical="center"/>
    </xf>
    <xf numFmtId="4" fontId="45" fillId="22" borderId="1" applyAlignment="1" pivotButton="0" quotePrefix="0" xfId="0">
      <alignment horizontal="center" vertical="center"/>
    </xf>
    <xf numFmtId="164" fontId="45" fillId="22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DEBD0"/>
      <rgbColor rgb="FFFF00FF"/>
      <rgbColor rgb="FFEBF5FB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D5D8DC"/>
      <rgbColor rgb="FF595959"/>
      <rgbColor rgb="FFFCF3CF"/>
      <rgbColor rgb="FFD0ECE7"/>
      <rgbColor rgb="FF660066"/>
      <rgbColor rgb="FFF2F2F2"/>
      <rgbColor rgb="FF0070C0"/>
      <rgbColor rgb="FFBDD7EE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DEEBF7"/>
      <rgbColor rgb="FFD5F5E3"/>
      <rgbColor rgb="FFFFF2CC"/>
      <rgbColor rgb="FF9DC3E6"/>
      <rgbColor rgb="FFE8DAEF"/>
      <rgbColor rgb="FFCCCCCC"/>
      <rgbColor rgb="FFFAE5D3"/>
      <rgbColor rgb="FF2E75B6"/>
      <rgbColor rgb="FFEBF3FB"/>
      <rgbColor rgb="FFEAF0FB"/>
      <rgbColor rgb="FFFCE4D6"/>
      <rgbColor rgb="FFF2F3F4"/>
      <rgbColor rgb="FFC55A11"/>
      <rgbColor rgb="FF5D6D7E"/>
      <rgbColor rgb="FFD6E4F0"/>
      <rgbColor rgb="FF003366"/>
      <rgbColor rgb="FF339966"/>
      <rgbColor rgb="FF003300"/>
      <rgbColor rgb="FF375623"/>
      <rgbColor rgb="FF993300"/>
      <rgbColor rgb="FF993366"/>
      <rgbColor rgb="FF1F4E7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32" min="1" max="1"/>
    <col width="22" customWidth="1" style="132" min="2" max="2"/>
    <col width="13" customWidth="1" style="132" min="3" max="3"/>
    <col width="60" customWidth="1" style="132" min="4" max="4"/>
    <col width="16" customWidth="1" style="132" min="5" max="5"/>
  </cols>
  <sheetData>
    <row r="1" ht="27.75" customHeight="1" s="133">
      <c r="A1" s="134" t="inlineStr">
        <is>
          <t>Al-Noor Trading — KPI Dashboard Data (June 2026)</t>
        </is>
      </c>
    </row>
    <row r="2" ht="15" customHeight="1" s="133">
      <c r="A2" s="135" t="inlineStr">
        <is>
          <t>KPI Metric</t>
        </is>
      </c>
      <c r="B2" s="135" t="inlineStr">
        <is>
          <t>Value</t>
        </is>
      </c>
      <c r="C2" s="135" t="inlineStr">
        <is>
          <t>Unit</t>
        </is>
      </c>
      <c r="D2" s="135" t="inlineStr">
        <is>
          <t>Formula / Logic</t>
        </is>
      </c>
      <c r="E2" s="135" t="inlineStr">
        <is>
          <t>Category</t>
        </is>
      </c>
    </row>
    <row r="3" ht="19.5" customHeight="1" s="133">
      <c r="A3" s="136" t="inlineStr">
        <is>
          <t>Total Revenue</t>
        </is>
      </c>
      <c r="B3" s="137">
        <f>'Financial Summary'!B6</f>
        <v/>
      </c>
      <c r="C3" s="138" t="inlineStr">
        <is>
          <t>PKR</t>
        </is>
      </c>
      <c r="D3" s="139" t="inlineStr">
        <is>
          <t>SUM(Daily Qty × Sale Price) for all 161 products × 30 days</t>
        </is>
      </c>
      <c r="E3" s="140" t="inlineStr">
        <is>
          <t>Revenue</t>
        </is>
      </c>
    </row>
    <row r="4" ht="19.5" customHeight="1" s="133">
      <c r="A4" s="136" t="inlineStr">
        <is>
          <t>Total COGS</t>
        </is>
      </c>
      <c r="B4" s="137">
        <f>'Financial Summary'!B7</f>
        <v/>
      </c>
      <c r="C4" s="138" t="inlineStr">
        <is>
          <t>PKR</t>
        </is>
      </c>
      <c r="D4" s="139" t="inlineStr">
        <is>
          <t>SUM(Daily Qty × Cost Price) for all 161 products × 30 days</t>
        </is>
      </c>
      <c r="E4" s="140" t="inlineStr">
        <is>
          <t>Revenue</t>
        </is>
      </c>
    </row>
    <row r="5" ht="19.5" customHeight="1" s="133">
      <c r="A5" s="141" t="inlineStr">
        <is>
          <t>Gross Profit</t>
        </is>
      </c>
      <c r="B5" s="142">
        <f>'Financial Summary'!B8</f>
        <v/>
      </c>
      <c r="C5" s="143" t="inlineStr">
        <is>
          <t>PKR</t>
        </is>
      </c>
      <c r="D5" s="144" t="inlineStr">
        <is>
          <t>Total Revenue − Total COGS</t>
        </is>
      </c>
      <c r="E5" s="145" t="inlineStr">
        <is>
          <t>Profitability</t>
        </is>
      </c>
    </row>
    <row r="6" ht="19.5" customHeight="1" s="133">
      <c r="A6" s="141" t="inlineStr">
        <is>
          <t>Gross Profit Margin %</t>
        </is>
      </c>
      <c r="B6" s="146">
        <f>'Financial Summary'!B9</f>
        <v/>
      </c>
      <c r="C6" s="143" t="inlineStr">
        <is>
          <t>%</t>
        </is>
      </c>
      <c r="D6" s="144" t="inlineStr">
        <is>
          <t>Gross Profit ÷ Revenue × 100</t>
        </is>
      </c>
      <c r="E6" s="145" t="inlineStr">
        <is>
          <t>Profitability</t>
        </is>
      </c>
    </row>
    <row r="7" ht="19.5" customHeight="1" s="133">
      <c r="A7" s="147" t="inlineStr">
        <is>
          <t>Total Operating Expenses</t>
        </is>
      </c>
      <c r="B7" s="148">
        <f>'Financial Summary'!B10</f>
        <v/>
      </c>
      <c r="C7" s="149" t="inlineStr">
        <is>
          <t>PKR</t>
        </is>
      </c>
      <c r="D7" s="150" t="inlineStr">
        <is>
          <t>SUPPLIES only — 12 active records; 1 voided excluded; total = PKR 31,589.99</t>
        </is>
      </c>
      <c r="E7" s="151" t="inlineStr">
        <is>
          <t>Expenses</t>
        </is>
      </c>
    </row>
    <row r="8" ht="19.5" customHeight="1" s="133">
      <c r="A8" s="141" t="inlineStr">
        <is>
          <t>Net Profit</t>
        </is>
      </c>
      <c r="B8" s="142">
        <f>'Financial Summary'!B11</f>
        <v/>
      </c>
      <c r="C8" s="143" t="inlineStr">
        <is>
          <t>PKR</t>
        </is>
      </c>
      <c r="D8" s="144" t="inlineStr">
        <is>
          <t>Gross Profit − Total Operating Expenses</t>
        </is>
      </c>
      <c r="E8" s="145" t="inlineStr">
        <is>
          <t>Profitability</t>
        </is>
      </c>
    </row>
    <row r="9" ht="19.5" customHeight="1" s="133">
      <c r="A9" s="141" t="inlineStr">
        <is>
          <t>Net Profit Margin %</t>
        </is>
      </c>
      <c r="B9" s="146">
        <f>'Financial Summary'!B12</f>
        <v/>
      </c>
      <c r="C9" s="143" t="inlineStr">
        <is>
          <t>%</t>
        </is>
      </c>
      <c r="D9" s="144" t="inlineStr">
        <is>
          <t>Net Profit ÷ Revenue × 100</t>
        </is>
      </c>
      <c r="E9" s="145" t="inlineStr">
        <is>
          <t>Profitability</t>
        </is>
      </c>
    </row>
    <row r="10" ht="19.5" customHeight="1" s="133">
      <c r="A10" s="152" t="inlineStr">
        <is>
          <t>Total Cash Inflows</t>
        </is>
      </c>
      <c r="B10" s="153">
        <f>'Financial Summary'!B16</f>
        <v/>
      </c>
      <c r="C10" s="154" t="inlineStr">
        <is>
          <t>PKR</t>
        </is>
      </c>
      <c r="D10" s="155" t="inlineStr">
        <is>
          <t>Sum of all 30 daily sales receipts</t>
        </is>
      </c>
      <c r="E10" s="156" t="inlineStr">
        <is>
          <t>Cash Flow</t>
        </is>
      </c>
    </row>
    <row r="11" ht="19.5" customHeight="1" s="133">
      <c r="A11" s="152" t="inlineStr">
        <is>
          <t>Total Cash Outflows</t>
        </is>
      </c>
      <c r="B11" s="153">
        <f>'Financial Summary'!B17</f>
        <v/>
      </c>
      <c r="C11" s="154" t="inlineStr">
        <is>
          <t>PKR</t>
        </is>
      </c>
      <c r="D11" s="155" t="inlineStr">
        <is>
          <t>Total COGS outflow + Operating expense outflow</t>
        </is>
      </c>
      <c r="E11" s="156" t="inlineStr">
        <is>
          <t>Cash Flow</t>
        </is>
      </c>
    </row>
    <row r="12" ht="19.5" customHeight="1" s="133">
      <c r="A12" s="152" t="inlineStr">
        <is>
          <t>Net Cash Flow</t>
        </is>
      </c>
      <c r="B12" s="153">
        <f>'Financial Summary'!B18</f>
        <v/>
      </c>
      <c r="C12" s="154" t="inlineStr">
        <is>
          <t>PKR</t>
        </is>
      </c>
      <c r="D12" s="155" t="inlineStr">
        <is>
          <t>Cash Inflows − Cash Outflows</t>
        </is>
      </c>
      <c r="E12" s="156" t="inlineStr">
        <is>
          <t>Cash Flow</t>
        </is>
      </c>
    </row>
    <row r="13" ht="19.5" customHeight="1" s="133">
      <c r="A13" s="157" t="inlineStr">
        <is>
          <t>Closing Inventory Value</t>
        </is>
      </c>
      <c r="B13" s="158">
        <f>'Financial Summary'!B22</f>
        <v/>
      </c>
      <c r="C13" s="159" t="inlineStr">
        <is>
          <t>PKR</t>
        </is>
      </c>
      <c r="D13" s="160" t="inlineStr">
        <is>
          <t>Qty in Hand × Cost Price for all products</t>
        </is>
      </c>
      <c r="E13" s="161" t="inlineStr">
        <is>
          <t>Inventory</t>
        </is>
      </c>
    </row>
    <row r="14" ht="19.5" customHeight="1" s="133">
      <c r="A14" s="157" t="inlineStr">
        <is>
          <t>Total Active SKUs</t>
        </is>
      </c>
      <c r="B14" s="162">
        <f>'Financial Summary'!B23</f>
        <v/>
      </c>
      <c r="C14" s="159" t="inlineStr">
        <is>
          <t>Count</t>
        </is>
      </c>
      <c r="D14" s="160" t="inlineStr">
        <is>
          <t>Count of product records in Sales Data sheet</t>
        </is>
      </c>
      <c r="E14" s="161" t="inlineStr">
        <is>
          <t>Inventory</t>
        </is>
      </c>
    </row>
    <row r="15" ht="19.5" customHeight="1" s="133">
      <c r="A15" s="157" t="inlineStr">
        <is>
          <t>Low / Out-of-Stock Items</t>
        </is>
      </c>
      <c r="B15" s="162">
        <f>'Financial Summary'!B24</f>
        <v/>
      </c>
      <c r="C15" s="159" t="inlineStr">
        <is>
          <t>Count</t>
        </is>
      </c>
      <c r="D15" s="160" t="inlineStr">
        <is>
          <t>Products where Stock Status = "Low Stock"</t>
        </is>
      </c>
      <c r="E15" s="161" t="inlineStr">
        <is>
          <t>Inventory</t>
        </is>
      </c>
    </row>
    <row r="16" ht="19.5" customHeight="1" s="133">
      <c r="A16" s="157" t="inlineStr">
        <is>
          <t>Avg Daily Sales Volume</t>
        </is>
      </c>
      <c r="B16" s="163">
        <f>'Financial Summary'!B25</f>
        <v/>
      </c>
      <c r="C16" s="159" t="inlineStr">
        <is>
          <t>Units/day</t>
        </is>
      </c>
      <c r="D16" s="160" t="inlineStr">
        <is>
          <t>Total units sold ÷ 30 days</t>
        </is>
      </c>
      <c r="E16" s="161" t="inlineStr">
        <is>
          <t>Inventory</t>
        </is>
      </c>
    </row>
    <row r="17" ht="19.5" customHeight="1" s="133">
      <c r="A17" s="147" t="inlineStr">
        <is>
          <t>Active Expense Records</t>
        </is>
      </c>
      <c r="B17" s="164">
        <f>12</f>
        <v/>
      </c>
      <c r="C17" s="149" t="inlineStr">
        <is>
          <t>Count</t>
        </is>
      </c>
      <c r="D17" s="150" t="inlineStr">
        <is>
          <t>12 ACTIVE; SUPPLIES category; vendors: Falak Foods, Gul Ahmed, GSK Pakistan, Bazm-e-iqbal</t>
        </is>
      </c>
      <c r="E17" s="151" t="inlineStr">
        <is>
          <t>Expenses</t>
        </is>
      </c>
    </row>
    <row r="18" ht="19.5" customHeight="1" s="133">
      <c r="A18" s="147" t="inlineStr">
        <is>
          <t>Voided Expense Records</t>
        </is>
      </c>
      <c r="B18" s="164">
        <f>1</f>
        <v/>
      </c>
      <c r="C18" s="149" t="inlineStr">
        <is>
          <t>Count</t>
        </is>
      </c>
      <c r="D18" s="150" t="inlineStr">
        <is>
          <t>Voided: 2026-05-14 | Grey | PKR 1,500.00 | Excluded from all totals</t>
        </is>
      </c>
      <c r="E18" s="151" t="inlineStr">
        <is>
          <t>Expenses</t>
        </is>
      </c>
    </row>
    <row r="19">
      <c r="A19" t="inlineStr">
        <is>
          <t>Source: Sales Data sheet (161 SKUs, 30 days June 2026). Expenses: SUPPLIES only, PKR 31,589.99 (12 active). All vendors Pakistani (Falak Foods, Gul Ahmed, GSK Pakistan, Bazm-e-iqbal, Grey). Tax = PKR 0.00 on all records.</t>
        </is>
      </c>
    </row>
    <row r="20" ht="27.75" customHeight="1" s="133">
      <c r="A20" s="165" t="inlineStr">
        <is>
          <t>Source: Sales Data sheet (161 SKUs, 30 days May 2026). Expenses: SUPPLIES only, PKR 31,589.99 (12 active). All vendors Pakistani (Falak Foods, Gul Ahmed, GSK Pakistan, Bazm-e-iqbal, Grey). Tax = PKR 0.00 on all records.</t>
        </is>
      </c>
    </row>
  </sheetData>
  <mergeCells count="2">
    <mergeCell ref="A1:E1"/>
    <mergeCell ref="A20:E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5" customWidth="1" style="132" min="1" max="1"/>
    <col width="10" customWidth="1" style="132" min="2" max="2"/>
    <col width="12" customWidth="1" style="132" min="3" max="3"/>
    <col width="34" customWidth="1" style="132" min="4" max="4"/>
    <col width="15" customWidth="1" style="132" min="5" max="5"/>
    <col width="16" customWidth="1" style="132" min="6" max="6"/>
  </cols>
  <sheetData>
    <row r="1" ht="35" customHeight="1" s="133">
      <c r="A1" s="258" t="inlineStr">
        <is>
          <t>Al-Noor Trading — Cash Flow Statement (June 2026)</t>
        </is>
      </c>
    </row>
    <row r="2" ht="24" customHeight="1" s="133">
      <c r="A2" s="259" t="inlineStr">
        <is>
          <t>Date</t>
        </is>
      </c>
      <c r="B2" s="259" t="inlineStr">
        <is>
          <t>Day</t>
        </is>
      </c>
      <c r="C2" s="259" t="inlineStr">
        <is>
          <t>Type</t>
        </is>
      </c>
      <c r="D2" s="260" t="inlineStr">
        <is>
          <t>Description</t>
        </is>
      </c>
      <c r="E2" s="259" t="inlineStr">
        <is>
          <t>Reference</t>
        </is>
      </c>
      <c r="F2" s="259" t="inlineStr">
        <is>
          <t>Amount (PKR)</t>
        </is>
      </c>
    </row>
    <row r="3" ht="15" customHeight="1" s="133">
      <c r="A3" s="261" t="inlineStr">
        <is>
          <t>2026-06-01</t>
        </is>
      </c>
      <c r="B3" s="261" t="inlineStr">
        <is>
          <t>Mon</t>
        </is>
      </c>
      <c r="C3" s="261" t="inlineStr">
        <is>
          <t>INFLOW</t>
        </is>
      </c>
      <c r="D3" s="261" t="inlineStr">
        <is>
          <t>Daily Sales Revenue</t>
        </is>
      </c>
      <c r="E3" s="261" t="inlineStr">
        <is>
          <t>REV-06-01</t>
        </is>
      </c>
      <c r="F3" s="262">
        <f>SUMPRODUCT('Sales Data'!O3:O163,'Sales Data'!$L$3:$L$163)</f>
        <v/>
      </c>
    </row>
    <row r="4" ht="15" customHeight="1" s="133">
      <c r="A4" s="261" t="inlineStr">
        <is>
          <t>2026-06-01</t>
        </is>
      </c>
      <c r="B4" s="261" t="inlineStr">
        <is>
          <t>Mon</t>
        </is>
      </c>
      <c r="C4" s="261" t="inlineStr">
        <is>
          <t>OUTFLOW</t>
        </is>
      </c>
      <c r="D4" s="261" t="inlineStr">
        <is>
          <t>Daily COGS — Inventory Cost</t>
        </is>
      </c>
      <c r="E4" s="261" t="inlineStr">
        <is>
          <t>COGS-06-01</t>
        </is>
      </c>
      <c r="F4" s="262">
        <f>SUMPRODUCT('Sales Data'!O3:O163,'Sales Data'!$K$3:$K$163)</f>
        <v/>
      </c>
    </row>
    <row r="5" ht="15" customHeight="1" s="133">
      <c r="A5" s="261" t="inlineStr">
        <is>
          <t>2026-06-01</t>
        </is>
      </c>
      <c r="B5" s="261" t="inlineStr">
        <is>
          <t>Mon</t>
        </is>
      </c>
      <c r="C5" s="261" t="inlineStr">
        <is>
          <t>OUTFLOW</t>
        </is>
      </c>
      <c r="D5" s="261" t="inlineStr">
        <is>
          <t>Operating Expense: Office stationery &amp; supplies</t>
        </is>
      </c>
      <c r="E5" s="261" t="inlineStr">
        <is>
          <t>EXP-06-01</t>
        </is>
      </c>
      <c r="F5" s="262" t="n">
        <v>2500</v>
      </c>
    </row>
    <row r="6" ht="15" customHeight="1" s="133">
      <c r="A6" s="261" t="inlineStr">
        <is>
          <t>2026-06-02</t>
        </is>
      </c>
      <c r="B6" s="261" t="inlineStr">
        <is>
          <t>Tue</t>
        </is>
      </c>
      <c r="C6" s="261" t="inlineStr">
        <is>
          <t>INFLOW</t>
        </is>
      </c>
      <c r="D6" s="261" t="inlineStr">
        <is>
          <t>Daily Sales Revenue</t>
        </is>
      </c>
      <c r="E6" s="261" t="inlineStr">
        <is>
          <t>REV-06-02</t>
        </is>
      </c>
      <c r="F6" s="262">
        <f>SUMPRODUCT('Sales Data'!P3:P163,'Sales Data'!$L$3:$L$163)</f>
        <v/>
      </c>
    </row>
    <row r="7" ht="15" customHeight="1" s="133">
      <c r="A7" s="261" t="inlineStr">
        <is>
          <t>2026-06-02</t>
        </is>
      </c>
      <c r="B7" s="261" t="inlineStr">
        <is>
          <t>Tue</t>
        </is>
      </c>
      <c r="C7" s="261" t="inlineStr">
        <is>
          <t>OUTFLOW</t>
        </is>
      </c>
      <c r="D7" s="261" t="inlineStr">
        <is>
          <t>Daily COGS — Inventory Cost</t>
        </is>
      </c>
      <c r="E7" s="261" t="inlineStr">
        <is>
          <t>COGS-06-02</t>
        </is>
      </c>
      <c r="F7" s="262">
        <f>SUMPRODUCT('Sales Data'!P3:P163,'Sales Data'!$K$3:$K$163)</f>
        <v/>
      </c>
    </row>
    <row r="8" ht="15" customHeight="1" s="133">
      <c r="A8" s="261" t="inlineStr">
        <is>
          <t>2026-06-02</t>
        </is>
      </c>
      <c r="B8" s="261" t="inlineStr">
        <is>
          <t>Tue</t>
        </is>
      </c>
      <c r="C8" s="261" t="inlineStr">
        <is>
          <t>OUTFLOW</t>
        </is>
      </c>
      <c r="D8" s="261" t="inlineStr">
        <is>
          <t>Operating Expense: Packaging materials</t>
        </is>
      </c>
      <c r="E8" s="261" t="inlineStr">
        <is>
          <t>EXP-06-02</t>
        </is>
      </c>
      <c r="F8" s="262" t="n">
        <v>3200</v>
      </c>
    </row>
    <row r="9" ht="15" customHeight="1" s="133">
      <c r="A9" s="261" t="inlineStr">
        <is>
          <t>2026-06-03</t>
        </is>
      </c>
      <c r="B9" s="261" t="inlineStr">
        <is>
          <t>Wed</t>
        </is>
      </c>
      <c r="C9" s="261" t="inlineStr">
        <is>
          <t>INFLOW</t>
        </is>
      </c>
      <c r="D9" s="261" t="inlineStr">
        <is>
          <t>Daily Sales Revenue</t>
        </is>
      </c>
      <c r="E9" s="261" t="inlineStr">
        <is>
          <t>REV-06-03</t>
        </is>
      </c>
      <c r="F9" s="262">
        <f>SUMPRODUCT('Sales Data'!Q3:Q163,'Sales Data'!$L$3:$L$163)</f>
        <v/>
      </c>
    </row>
    <row r="10" ht="15" customHeight="1" s="133">
      <c r="A10" s="261" t="inlineStr">
        <is>
          <t>2026-06-03</t>
        </is>
      </c>
      <c r="B10" s="261" t="inlineStr">
        <is>
          <t>Wed</t>
        </is>
      </c>
      <c r="C10" s="261" t="inlineStr">
        <is>
          <t>OUTFLOW</t>
        </is>
      </c>
      <c r="D10" s="261" t="inlineStr">
        <is>
          <t>Daily COGS — Inventory Cost</t>
        </is>
      </c>
      <c r="E10" s="261" t="inlineStr">
        <is>
          <t>COGS-06-03</t>
        </is>
      </c>
      <c r="F10" s="262">
        <f>SUMPRODUCT('Sales Data'!Q3:Q163,'Sales Data'!$K$3:$K$163)</f>
        <v/>
      </c>
    </row>
    <row r="11" ht="15" customHeight="1" s="133">
      <c r="A11" s="261" t="inlineStr">
        <is>
          <t>2026-06-04</t>
        </is>
      </c>
      <c r="B11" s="261" t="inlineStr">
        <is>
          <t>Thu</t>
        </is>
      </c>
      <c r="C11" s="261" t="inlineStr">
        <is>
          <t>INFLOW</t>
        </is>
      </c>
      <c r="D11" s="261" t="inlineStr">
        <is>
          <t>Daily Sales Revenue</t>
        </is>
      </c>
      <c r="E11" s="261" t="inlineStr">
        <is>
          <t>REV-06-04</t>
        </is>
      </c>
      <c r="F11" s="262">
        <f>SUMPRODUCT('Sales Data'!R3:R163,'Sales Data'!$L$3:$L$163)</f>
        <v/>
      </c>
    </row>
    <row r="12" ht="15" customHeight="1" s="133">
      <c r="A12" s="261" t="inlineStr">
        <is>
          <t>2026-06-04</t>
        </is>
      </c>
      <c r="B12" s="261" t="inlineStr">
        <is>
          <t>Thu</t>
        </is>
      </c>
      <c r="C12" s="261" t="inlineStr">
        <is>
          <t>OUTFLOW</t>
        </is>
      </c>
      <c r="D12" s="261" t="inlineStr">
        <is>
          <t>Daily COGS — Inventory Cost</t>
        </is>
      </c>
      <c r="E12" s="261" t="inlineStr">
        <is>
          <t>COGS-06-04</t>
        </is>
      </c>
      <c r="F12" s="262">
        <f>SUMPRODUCT('Sales Data'!R3:R163,'Sales Data'!$K$3:$K$163)</f>
        <v/>
      </c>
    </row>
    <row r="13" ht="15" customHeight="1" s="133">
      <c r="A13" s="261" t="inlineStr">
        <is>
          <t>2026-06-04</t>
        </is>
      </c>
      <c r="B13" s="261" t="inlineStr">
        <is>
          <t>Thu</t>
        </is>
      </c>
      <c r="C13" s="261" t="inlineStr">
        <is>
          <t>OUTFLOW</t>
        </is>
      </c>
      <c r="D13" s="261" t="inlineStr">
        <is>
          <t>Operating Expense: Cleaning &amp; hygiene supplies</t>
        </is>
      </c>
      <c r="E13" s="261" t="inlineStr">
        <is>
          <t>EXP-06-04</t>
        </is>
      </c>
      <c r="F13" s="262" t="n">
        <v>1800</v>
      </c>
    </row>
    <row r="14" ht="15" customHeight="1" s="133">
      <c r="A14" s="261" t="inlineStr">
        <is>
          <t>2026-06-05</t>
        </is>
      </c>
      <c r="B14" s="261" t="inlineStr">
        <is>
          <t>Fri</t>
        </is>
      </c>
      <c r="C14" s="261" t="inlineStr">
        <is>
          <t>INFLOW</t>
        </is>
      </c>
      <c r="D14" s="261" t="inlineStr">
        <is>
          <t>Daily Sales Revenue</t>
        </is>
      </c>
      <c r="E14" s="261" t="inlineStr">
        <is>
          <t>REV-06-05</t>
        </is>
      </c>
      <c r="F14" s="262">
        <f>SUMPRODUCT('Sales Data'!S3:S163,'Sales Data'!$L$3:$L$163)</f>
        <v/>
      </c>
    </row>
    <row r="15" ht="15" customHeight="1" s="133">
      <c r="A15" s="261" t="inlineStr">
        <is>
          <t>2026-06-05</t>
        </is>
      </c>
      <c r="B15" s="261" t="inlineStr">
        <is>
          <t>Fri</t>
        </is>
      </c>
      <c r="C15" s="261" t="inlineStr">
        <is>
          <t>OUTFLOW</t>
        </is>
      </c>
      <c r="D15" s="261" t="inlineStr">
        <is>
          <t>Daily COGS — Inventory Cost</t>
        </is>
      </c>
      <c r="E15" s="261" t="inlineStr">
        <is>
          <t>COGS-06-05</t>
        </is>
      </c>
      <c r="F15" s="262">
        <f>SUMPRODUCT('Sales Data'!S3:S163,'Sales Data'!$K$3:$K$163)</f>
        <v/>
      </c>
    </row>
    <row r="16" ht="15" customHeight="1" s="133">
      <c r="A16" s="261" t="inlineStr">
        <is>
          <t>2026-06-06</t>
        </is>
      </c>
      <c r="B16" s="261" t="inlineStr">
        <is>
          <t>Sat</t>
        </is>
      </c>
      <c r="C16" s="261" t="inlineStr">
        <is>
          <t>INFLOW</t>
        </is>
      </c>
      <c r="D16" s="261" t="inlineStr">
        <is>
          <t>Daily Sales Revenue</t>
        </is>
      </c>
      <c r="E16" s="261" t="inlineStr">
        <is>
          <t>REV-06-06</t>
        </is>
      </c>
      <c r="F16" s="262">
        <f>SUMPRODUCT('Sales Data'!T3:T163,'Sales Data'!$L$3:$L$163)</f>
        <v/>
      </c>
    </row>
    <row r="17" ht="15" customHeight="1" s="133">
      <c r="A17" s="261" t="inlineStr">
        <is>
          <t>2026-06-06</t>
        </is>
      </c>
      <c r="B17" s="261" t="inlineStr">
        <is>
          <t>Sat</t>
        </is>
      </c>
      <c r="C17" s="261" t="inlineStr">
        <is>
          <t>OUTFLOW</t>
        </is>
      </c>
      <c r="D17" s="261" t="inlineStr">
        <is>
          <t>Daily COGS — Inventory Cost</t>
        </is>
      </c>
      <c r="E17" s="261" t="inlineStr">
        <is>
          <t>COGS-06-06</t>
        </is>
      </c>
      <c r="F17" s="262">
        <f>SUMPRODUCT('Sales Data'!T3:T163,'Sales Data'!$K$3:$K$163)</f>
        <v/>
      </c>
    </row>
    <row r="18" ht="15" customHeight="1" s="133">
      <c r="A18" s="261" t="inlineStr">
        <is>
          <t>2026-06-06</t>
        </is>
      </c>
      <c r="B18" s="261" t="inlineStr">
        <is>
          <t>Sat</t>
        </is>
      </c>
      <c r="C18" s="261" t="inlineStr">
        <is>
          <t>OUTFLOW</t>
        </is>
      </c>
      <c r="D18" s="261" t="inlineStr">
        <is>
          <t>Operating Expense: Display &amp; shelving items</t>
        </is>
      </c>
      <c r="E18" s="261" t="inlineStr">
        <is>
          <t>EXP-06-06</t>
        </is>
      </c>
      <c r="F18" s="262" t="n">
        <v>4500</v>
      </c>
    </row>
    <row r="19" ht="15" customHeight="1" s="133">
      <c r="A19" s="261" t="inlineStr">
        <is>
          <t>2026-06-07</t>
        </is>
      </c>
      <c r="B19" s="261" t="inlineStr">
        <is>
          <t>Sun</t>
        </is>
      </c>
      <c r="C19" s="261" t="inlineStr">
        <is>
          <t>INFLOW</t>
        </is>
      </c>
      <c r="D19" s="261" t="inlineStr">
        <is>
          <t>Daily Sales Revenue</t>
        </is>
      </c>
      <c r="E19" s="261" t="inlineStr">
        <is>
          <t>REV-06-07</t>
        </is>
      </c>
      <c r="F19" s="262">
        <f>SUMPRODUCT('Sales Data'!U3:U163,'Sales Data'!$L$3:$L$163)</f>
        <v/>
      </c>
    </row>
    <row r="20" ht="15" customHeight="1" s="133">
      <c r="A20" s="261" t="inlineStr">
        <is>
          <t>2026-06-07</t>
        </is>
      </c>
      <c r="B20" s="261" t="inlineStr">
        <is>
          <t>Sun</t>
        </is>
      </c>
      <c r="C20" s="261" t="inlineStr">
        <is>
          <t>OUTFLOW</t>
        </is>
      </c>
      <c r="D20" s="261" t="inlineStr">
        <is>
          <t>Daily COGS — Inventory Cost</t>
        </is>
      </c>
      <c r="E20" s="261" t="inlineStr">
        <is>
          <t>COGS-06-07</t>
        </is>
      </c>
      <c r="F20" s="262">
        <f>SUMPRODUCT('Sales Data'!U3:U163,'Sales Data'!$K$3:$K$163)</f>
        <v/>
      </c>
    </row>
    <row r="21" ht="15" customHeight="1" s="133">
      <c r="A21" s="261" t="inlineStr">
        <is>
          <t>2026-06-08</t>
        </is>
      </c>
      <c r="B21" s="261" t="inlineStr">
        <is>
          <t>Mon</t>
        </is>
      </c>
      <c r="C21" s="261" t="inlineStr">
        <is>
          <t>INFLOW</t>
        </is>
      </c>
      <c r="D21" s="261" t="inlineStr">
        <is>
          <t>Daily Sales Revenue</t>
        </is>
      </c>
      <c r="E21" s="261" t="inlineStr">
        <is>
          <t>REV-06-08</t>
        </is>
      </c>
      <c r="F21" s="262">
        <f>SUMPRODUCT('Sales Data'!V3:V163,'Sales Data'!$L$3:$L$163)</f>
        <v/>
      </c>
    </row>
    <row r="22" ht="15" customHeight="1" s="133">
      <c r="A22" s="261" t="inlineStr">
        <is>
          <t>2026-06-08</t>
        </is>
      </c>
      <c r="B22" s="261" t="inlineStr">
        <is>
          <t>Mon</t>
        </is>
      </c>
      <c r="C22" s="261" t="inlineStr">
        <is>
          <t>OUTFLOW</t>
        </is>
      </c>
      <c r="D22" s="261" t="inlineStr">
        <is>
          <t>Daily COGS — Inventory Cost</t>
        </is>
      </c>
      <c r="E22" s="261" t="inlineStr">
        <is>
          <t>COGS-06-08</t>
        </is>
      </c>
      <c r="F22" s="262">
        <f>SUMPRODUCT('Sales Data'!V3:V163,'Sales Data'!$K$3:$K$163)</f>
        <v/>
      </c>
    </row>
    <row r="23" ht="15" customHeight="1" s="133">
      <c r="A23" s="261" t="inlineStr">
        <is>
          <t>2026-06-08</t>
        </is>
      </c>
      <c r="B23" s="261" t="inlineStr">
        <is>
          <t>Mon</t>
        </is>
      </c>
      <c r="C23" s="261" t="inlineStr">
        <is>
          <t>OUTFLOW</t>
        </is>
      </c>
      <c r="D23" s="261" t="inlineStr">
        <is>
          <t>Operating Expense: Printer paper &amp; ink cartridges</t>
        </is>
      </c>
      <c r="E23" s="261" t="inlineStr">
        <is>
          <t>EXP-06-08</t>
        </is>
      </c>
      <c r="F23" s="262" t="n">
        <v>2750</v>
      </c>
    </row>
    <row r="24" ht="15" customHeight="1" s="133">
      <c r="A24" s="261" t="inlineStr">
        <is>
          <t>2026-06-09</t>
        </is>
      </c>
      <c r="B24" s="261" t="inlineStr">
        <is>
          <t>Tue</t>
        </is>
      </c>
      <c r="C24" s="261" t="inlineStr">
        <is>
          <t>INFLOW</t>
        </is>
      </c>
      <c r="D24" s="261" t="inlineStr">
        <is>
          <t>Daily Sales Revenue</t>
        </is>
      </c>
      <c r="E24" s="261" t="inlineStr">
        <is>
          <t>REV-06-09</t>
        </is>
      </c>
      <c r="F24" s="262">
        <f>SUMPRODUCT('Sales Data'!W3:W163,'Sales Data'!$L$3:$L$163)</f>
        <v/>
      </c>
    </row>
    <row r="25" ht="15" customHeight="1" s="133">
      <c r="A25" s="261" t="inlineStr">
        <is>
          <t>2026-06-09</t>
        </is>
      </c>
      <c r="B25" s="261" t="inlineStr">
        <is>
          <t>Tue</t>
        </is>
      </c>
      <c r="C25" s="261" t="inlineStr">
        <is>
          <t>OUTFLOW</t>
        </is>
      </c>
      <c r="D25" s="261" t="inlineStr">
        <is>
          <t>Daily COGS — Inventory Cost</t>
        </is>
      </c>
      <c r="E25" s="261" t="inlineStr">
        <is>
          <t>COGS-06-09</t>
        </is>
      </c>
      <c r="F25" s="262">
        <f>SUMPRODUCT('Sales Data'!W3:W163,'Sales Data'!$K$3:$K$163)</f>
        <v/>
      </c>
    </row>
    <row r="26" ht="15" customHeight="1" s="133">
      <c r="A26" s="261" t="inlineStr">
        <is>
          <t>2026-06-10</t>
        </is>
      </c>
      <c r="B26" s="261" t="inlineStr">
        <is>
          <t>Wed</t>
        </is>
      </c>
      <c r="C26" s="261" t="inlineStr">
        <is>
          <t>INFLOW</t>
        </is>
      </c>
      <c r="D26" s="261" t="inlineStr">
        <is>
          <t>Daily Sales Revenue</t>
        </is>
      </c>
      <c r="E26" s="261" t="inlineStr">
        <is>
          <t>REV-06-10</t>
        </is>
      </c>
      <c r="F26" s="262">
        <f>SUMPRODUCT('Sales Data'!X3:X163,'Sales Data'!$L$3:$L$163)</f>
        <v/>
      </c>
    </row>
    <row r="27" ht="15" customHeight="1" s="133">
      <c r="A27" s="261" t="inlineStr">
        <is>
          <t>2026-06-10</t>
        </is>
      </c>
      <c r="B27" s="261" t="inlineStr">
        <is>
          <t>Wed</t>
        </is>
      </c>
      <c r="C27" s="261" t="inlineStr">
        <is>
          <t>OUTFLOW</t>
        </is>
      </c>
      <c r="D27" s="261" t="inlineStr">
        <is>
          <t>Daily COGS — Inventory Cost</t>
        </is>
      </c>
      <c r="E27" s="261" t="inlineStr">
        <is>
          <t>COGS-06-10</t>
        </is>
      </c>
      <c r="F27" s="262">
        <f>SUMPRODUCT('Sales Data'!X3:X163,'Sales Data'!$K$3:$K$163)</f>
        <v/>
      </c>
    </row>
    <row r="28" ht="15" customHeight="1" s="133">
      <c r="A28" s="261" t="inlineStr">
        <is>
          <t>2026-06-10</t>
        </is>
      </c>
      <c r="B28" s="261" t="inlineStr">
        <is>
          <t>Wed</t>
        </is>
      </c>
      <c r="C28" s="261" t="inlineStr">
        <is>
          <t>OUTFLOW</t>
        </is>
      </c>
      <c r="D28" s="261" t="inlineStr">
        <is>
          <t>Operating Expense: Storage boxes &amp; labels</t>
        </is>
      </c>
      <c r="E28" s="261" t="inlineStr">
        <is>
          <t>EXP-06-10</t>
        </is>
      </c>
      <c r="F28" s="262" t="n">
        <v>1950</v>
      </c>
    </row>
    <row r="29" ht="15" customHeight="1" s="133">
      <c r="A29" s="261" t="inlineStr">
        <is>
          <t>2026-06-11</t>
        </is>
      </c>
      <c r="B29" s="261" t="inlineStr">
        <is>
          <t>Thu</t>
        </is>
      </c>
      <c r="C29" s="261" t="inlineStr">
        <is>
          <t>INFLOW</t>
        </is>
      </c>
      <c r="D29" s="261" t="inlineStr">
        <is>
          <t>Daily Sales Revenue</t>
        </is>
      </c>
      <c r="E29" s="261" t="inlineStr">
        <is>
          <t>REV-06-11</t>
        </is>
      </c>
      <c r="F29" s="262">
        <f>SUMPRODUCT('Sales Data'!Y3:Y163,'Sales Data'!$L$3:$L$163)</f>
        <v/>
      </c>
    </row>
    <row r="30" ht="15" customHeight="1" s="133">
      <c r="A30" s="261" t="inlineStr">
        <is>
          <t>2026-06-11</t>
        </is>
      </c>
      <c r="B30" s="261" t="inlineStr">
        <is>
          <t>Thu</t>
        </is>
      </c>
      <c r="C30" s="261" t="inlineStr">
        <is>
          <t>OUTFLOW</t>
        </is>
      </c>
      <c r="D30" s="261" t="inlineStr">
        <is>
          <t>Daily COGS — Inventory Cost</t>
        </is>
      </c>
      <c r="E30" s="261" t="inlineStr">
        <is>
          <t>COGS-06-11</t>
        </is>
      </c>
      <c r="F30" s="262">
        <f>SUMPRODUCT('Sales Data'!Y3:Y163,'Sales Data'!$K$3:$K$163)</f>
        <v/>
      </c>
    </row>
    <row r="31" ht="15" customHeight="1" s="133">
      <c r="A31" s="261" t="inlineStr">
        <is>
          <t>2026-06-12</t>
        </is>
      </c>
      <c r="B31" s="261" t="inlineStr">
        <is>
          <t>Fri</t>
        </is>
      </c>
      <c r="C31" s="261" t="inlineStr">
        <is>
          <t>INFLOW</t>
        </is>
      </c>
      <c r="D31" s="261" t="inlineStr">
        <is>
          <t>Daily Sales Revenue</t>
        </is>
      </c>
      <c r="E31" s="261" t="inlineStr">
        <is>
          <t>REV-06-12</t>
        </is>
      </c>
      <c r="F31" s="262">
        <f>SUMPRODUCT('Sales Data'!Z3:Z163,'Sales Data'!$L$3:$L$163)</f>
        <v/>
      </c>
    </row>
    <row r="32" ht="15" customHeight="1" s="133">
      <c r="A32" s="261" t="inlineStr">
        <is>
          <t>2026-06-12</t>
        </is>
      </c>
      <c r="B32" s="261" t="inlineStr">
        <is>
          <t>Fri</t>
        </is>
      </c>
      <c r="C32" s="261" t="inlineStr">
        <is>
          <t>OUTFLOW</t>
        </is>
      </c>
      <c r="D32" s="261" t="inlineStr">
        <is>
          <t>Daily COGS — Inventory Cost</t>
        </is>
      </c>
      <c r="E32" s="261" t="inlineStr">
        <is>
          <t>COGS-06-12</t>
        </is>
      </c>
      <c r="F32" s="262">
        <f>SUMPRODUCT('Sales Data'!Z3:Z163,'Sales Data'!$K$3:$K$163)</f>
        <v/>
      </c>
    </row>
    <row r="33" ht="15" customHeight="1" s="133">
      <c r="A33" s="261" t="inlineStr">
        <is>
          <t>2026-06-12</t>
        </is>
      </c>
      <c r="B33" s="261" t="inlineStr">
        <is>
          <t>Fri</t>
        </is>
      </c>
      <c r="C33" s="261" t="inlineStr">
        <is>
          <t>OUTFLOW</t>
        </is>
      </c>
      <c r="D33" s="261" t="inlineStr">
        <is>
          <t>Operating Expense: Wrapping &amp; packing tape</t>
        </is>
      </c>
      <c r="E33" s="261" t="inlineStr">
        <is>
          <t>EXP-06-12</t>
        </is>
      </c>
      <c r="F33" s="262" t="n">
        <v>1200</v>
      </c>
    </row>
    <row r="34" ht="15" customHeight="1" s="133">
      <c r="A34" s="261" t="inlineStr">
        <is>
          <t>2026-06-13</t>
        </is>
      </c>
      <c r="B34" s="261" t="inlineStr">
        <is>
          <t>Sat</t>
        </is>
      </c>
      <c r="C34" s="261" t="inlineStr">
        <is>
          <t>INFLOW</t>
        </is>
      </c>
      <c r="D34" s="261" t="inlineStr">
        <is>
          <t>Daily Sales Revenue</t>
        </is>
      </c>
      <c r="E34" s="261" t="inlineStr">
        <is>
          <t>REV-06-13</t>
        </is>
      </c>
      <c r="F34" s="262">
        <f>SUMPRODUCT('Sales Data'!AA3:AA163,'Sales Data'!$L$3:$L$163)</f>
        <v/>
      </c>
    </row>
    <row r="35" ht="15" customHeight="1" s="133">
      <c r="A35" s="261" t="inlineStr">
        <is>
          <t>2026-06-13</t>
        </is>
      </c>
      <c r="B35" s="261" t="inlineStr">
        <is>
          <t>Sat</t>
        </is>
      </c>
      <c r="C35" s="261" t="inlineStr">
        <is>
          <t>OUTFLOW</t>
        </is>
      </c>
      <c r="D35" s="261" t="inlineStr">
        <is>
          <t>Daily COGS — Inventory Cost</t>
        </is>
      </c>
      <c r="E35" s="261" t="inlineStr">
        <is>
          <t>COGS-06-13</t>
        </is>
      </c>
      <c r="F35" s="262">
        <f>SUMPRODUCT('Sales Data'!AA3:AA163,'Sales Data'!$K$3:$K$163)</f>
        <v/>
      </c>
    </row>
    <row r="36" ht="15" customHeight="1" s="133">
      <c r="A36" s="261" t="inlineStr">
        <is>
          <t>2026-06-14</t>
        </is>
      </c>
      <c r="B36" s="261" t="inlineStr">
        <is>
          <t>Sun</t>
        </is>
      </c>
      <c r="C36" s="261" t="inlineStr">
        <is>
          <t>INFLOW</t>
        </is>
      </c>
      <c r="D36" s="261" t="inlineStr">
        <is>
          <t>Daily Sales Revenue</t>
        </is>
      </c>
      <c r="E36" s="261" t="inlineStr">
        <is>
          <t>REV-06-14</t>
        </is>
      </c>
      <c r="F36" s="262">
        <f>SUMPRODUCT('Sales Data'!AB3:AB163,'Sales Data'!$L$3:$L$163)</f>
        <v/>
      </c>
    </row>
    <row r="37" ht="15" customHeight="1" s="133">
      <c r="A37" s="261" t="inlineStr">
        <is>
          <t>2026-06-14</t>
        </is>
      </c>
      <c r="B37" s="261" t="inlineStr">
        <is>
          <t>Sun</t>
        </is>
      </c>
      <c r="C37" s="261" t="inlineStr">
        <is>
          <t>OUTFLOW</t>
        </is>
      </c>
      <c r="D37" s="261" t="inlineStr">
        <is>
          <t>Daily COGS — Inventory Cost</t>
        </is>
      </c>
      <c r="E37" s="261" t="inlineStr">
        <is>
          <t>COGS-06-14</t>
        </is>
      </c>
      <c r="F37" s="262">
        <f>SUMPRODUCT('Sales Data'!AB3:AB163,'Sales Data'!$K$3:$K$163)</f>
        <v/>
      </c>
    </row>
    <row r="38" ht="15" customHeight="1" s="133">
      <c r="A38" s="261" t="inlineStr">
        <is>
          <t>2026-06-15</t>
        </is>
      </c>
      <c r="B38" s="261" t="inlineStr">
        <is>
          <t>Mon</t>
        </is>
      </c>
      <c r="C38" s="261" t="inlineStr">
        <is>
          <t>INFLOW</t>
        </is>
      </c>
      <c r="D38" s="261" t="inlineStr">
        <is>
          <t>Daily Sales Revenue</t>
        </is>
      </c>
      <c r="E38" s="261" t="inlineStr">
        <is>
          <t>REV-06-15</t>
        </is>
      </c>
      <c r="F38" s="262">
        <f>SUMPRODUCT('Sales Data'!AC3:AC163,'Sales Data'!$L$3:$L$163)</f>
        <v/>
      </c>
    </row>
    <row r="39" ht="15" customHeight="1" s="133">
      <c r="A39" s="261" t="inlineStr">
        <is>
          <t>2026-06-15</t>
        </is>
      </c>
      <c r="B39" s="261" t="inlineStr">
        <is>
          <t>Mon</t>
        </is>
      </c>
      <c r="C39" s="261" t="inlineStr">
        <is>
          <t>OUTFLOW</t>
        </is>
      </c>
      <c r="D39" s="261" t="inlineStr">
        <is>
          <t>Daily COGS — Inventory Cost</t>
        </is>
      </c>
      <c r="E39" s="261" t="inlineStr">
        <is>
          <t>COGS-06-15</t>
        </is>
      </c>
      <c r="F39" s="262">
        <f>SUMPRODUCT('Sales Data'!AC3:AC163,'Sales Data'!$K$3:$K$163)</f>
        <v/>
      </c>
    </row>
    <row r="40" ht="15" customHeight="1" s="133">
      <c r="A40" s="261" t="inlineStr">
        <is>
          <t>2026-06-15</t>
        </is>
      </c>
      <c r="B40" s="261" t="inlineStr">
        <is>
          <t>Mon</t>
        </is>
      </c>
      <c r="C40" s="261" t="inlineStr">
        <is>
          <t>OUTFLOW</t>
        </is>
      </c>
      <c r="D40" s="261" t="inlineStr">
        <is>
          <t>Operating Expense: Security &amp; safety supplies</t>
        </is>
      </c>
      <c r="E40" s="261" t="inlineStr">
        <is>
          <t>EXP-06-15</t>
        </is>
      </c>
      <c r="F40" s="262" t="n">
        <v>3400</v>
      </c>
    </row>
    <row r="41" ht="15" customHeight="1" s="133">
      <c r="A41" s="261" t="inlineStr">
        <is>
          <t>2026-06-16</t>
        </is>
      </c>
      <c r="B41" s="261" t="inlineStr">
        <is>
          <t>Tue</t>
        </is>
      </c>
      <c r="C41" s="261" t="inlineStr">
        <is>
          <t>INFLOW</t>
        </is>
      </c>
      <c r="D41" s="261" t="inlineStr">
        <is>
          <t>Daily Sales Revenue</t>
        </is>
      </c>
      <c r="E41" s="261" t="inlineStr">
        <is>
          <t>REV-06-16</t>
        </is>
      </c>
      <c r="F41" s="262">
        <f>SUMPRODUCT('Sales Data'!AD3:AD163,'Sales Data'!$L$3:$L$163)</f>
        <v/>
      </c>
    </row>
    <row r="42" ht="15" customHeight="1" s="133">
      <c r="A42" s="261" t="inlineStr">
        <is>
          <t>2026-06-16</t>
        </is>
      </c>
      <c r="B42" s="261" t="inlineStr">
        <is>
          <t>Tue</t>
        </is>
      </c>
      <c r="C42" s="261" t="inlineStr">
        <is>
          <t>OUTFLOW</t>
        </is>
      </c>
      <c r="D42" s="261" t="inlineStr">
        <is>
          <t>Daily COGS — Inventory Cost</t>
        </is>
      </c>
      <c r="E42" s="261" t="inlineStr">
        <is>
          <t>COGS-06-16</t>
        </is>
      </c>
      <c r="F42" s="262">
        <f>SUMPRODUCT('Sales Data'!AD3:AD163,'Sales Data'!$K$3:$K$163)</f>
        <v/>
      </c>
    </row>
    <row r="43" ht="15" customHeight="1" s="133">
      <c r="A43" s="261" t="inlineStr">
        <is>
          <t>2026-06-17</t>
        </is>
      </c>
      <c r="B43" s="261" t="inlineStr">
        <is>
          <t>Wed</t>
        </is>
      </c>
      <c r="C43" s="261" t="inlineStr">
        <is>
          <t>INFLOW</t>
        </is>
      </c>
      <c r="D43" s="261" t="inlineStr">
        <is>
          <t>Daily Sales Revenue</t>
        </is>
      </c>
      <c r="E43" s="261" t="inlineStr">
        <is>
          <t>REV-06-17</t>
        </is>
      </c>
      <c r="F43" s="262">
        <f>SUMPRODUCT('Sales Data'!AE3:AE163,'Sales Data'!$L$3:$L$163)</f>
        <v/>
      </c>
    </row>
    <row r="44" ht="15" customHeight="1" s="133">
      <c r="A44" s="261" t="inlineStr">
        <is>
          <t>2026-06-17</t>
        </is>
      </c>
      <c r="B44" s="261" t="inlineStr">
        <is>
          <t>Wed</t>
        </is>
      </c>
      <c r="C44" s="261" t="inlineStr">
        <is>
          <t>OUTFLOW</t>
        </is>
      </c>
      <c r="D44" s="261" t="inlineStr">
        <is>
          <t>Daily COGS — Inventory Cost</t>
        </is>
      </c>
      <c r="E44" s="261" t="inlineStr">
        <is>
          <t>COGS-06-17</t>
        </is>
      </c>
      <c r="F44" s="262">
        <f>SUMPRODUCT('Sales Data'!AE3:AE163,'Sales Data'!$K$3:$K$163)</f>
        <v/>
      </c>
    </row>
    <row r="45" ht="15" customHeight="1" s="133">
      <c r="A45" s="261" t="inlineStr">
        <is>
          <t>2026-06-18</t>
        </is>
      </c>
      <c r="B45" s="261" t="inlineStr">
        <is>
          <t>Thu</t>
        </is>
      </c>
      <c r="C45" s="261" t="inlineStr">
        <is>
          <t>INFLOW</t>
        </is>
      </c>
      <c r="D45" s="261" t="inlineStr">
        <is>
          <t>Daily Sales Revenue</t>
        </is>
      </c>
      <c r="E45" s="261" t="inlineStr">
        <is>
          <t>REV-06-18</t>
        </is>
      </c>
      <c r="F45" s="262">
        <f>SUMPRODUCT('Sales Data'!AF3:AF163,'Sales Data'!$L$3:$L$163)</f>
        <v/>
      </c>
    </row>
    <row r="46" ht="15" customHeight="1" s="133">
      <c r="A46" s="261" t="inlineStr">
        <is>
          <t>2026-06-18</t>
        </is>
      </c>
      <c r="B46" s="261" t="inlineStr">
        <is>
          <t>Thu</t>
        </is>
      </c>
      <c r="C46" s="261" t="inlineStr">
        <is>
          <t>OUTFLOW</t>
        </is>
      </c>
      <c r="D46" s="261" t="inlineStr">
        <is>
          <t>Daily COGS — Inventory Cost</t>
        </is>
      </c>
      <c r="E46" s="261" t="inlineStr">
        <is>
          <t>COGS-06-18</t>
        </is>
      </c>
      <c r="F46" s="262">
        <f>SUMPRODUCT('Sales Data'!AF3:AF163,'Sales Data'!$K$3:$K$163)</f>
        <v/>
      </c>
    </row>
    <row r="47" ht="15" customHeight="1" s="133">
      <c r="A47" s="261" t="inlineStr">
        <is>
          <t>2026-06-18</t>
        </is>
      </c>
      <c r="B47" s="261" t="inlineStr">
        <is>
          <t>Thu</t>
        </is>
      </c>
      <c r="C47" s="261" t="inlineStr">
        <is>
          <t>OUTFLOW</t>
        </is>
      </c>
      <c r="D47" s="261" t="inlineStr">
        <is>
          <t>Operating Expense: Promotional signage material</t>
        </is>
      </c>
      <c r="E47" s="261" t="inlineStr">
        <is>
          <t>EXP-06-18</t>
        </is>
      </c>
      <c r="F47" s="262" t="n">
        <v>2800</v>
      </c>
    </row>
    <row r="48" ht="15" customHeight="1" s="133">
      <c r="A48" s="261" t="inlineStr">
        <is>
          <t>2026-06-19</t>
        </is>
      </c>
      <c r="B48" s="261" t="inlineStr">
        <is>
          <t>Fri</t>
        </is>
      </c>
      <c r="C48" s="261" t="inlineStr">
        <is>
          <t>INFLOW</t>
        </is>
      </c>
      <c r="D48" s="261" t="inlineStr">
        <is>
          <t>Daily Sales Revenue</t>
        </is>
      </c>
      <c r="E48" s="261" t="inlineStr">
        <is>
          <t>REV-06-19</t>
        </is>
      </c>
      <c r="F48" s="262">
        <f>SUMPRODUCT('Sales Data'!AG3:AG163,'Sales Data'!$L$3:$L$163)</f>
        <v/>
      </c>
    </row>
    <row r="49" ht="15" customHeight="1" s="133">
      <c r="A49" s="261" t="inlineStr">
        <is>
          <t>2026-06-19</t>
        </is>
      </c>
      <c r="B49" s="261" t="inlineStr">
        <is>
          <t>Fri</t>
        </is>
      </c>
      <c r="C49" s="261" t="inlineStr">
        <is>
          <t>OUTFLOW</t>
        </is>
      </c>
      <c r="D49" s="261" t="inlineStr">
        <is>
          <t>Daily COGS — Inventory Cost</t>
        </is>
      </c>
      <c r="E49" s="261" t="inlineStr">
        <is>
          <t>COGS-06-19</t>
        </is>
      </c>
      <c r="F49" s="262">
        <f>SUMPRODUCT('Sales Data'!AG3:AG163,'Sales Data'!$K$3:$K$163)</f>
        <v/>
      </c>
    </row>
    <row r="50" ht="15" customHeight="1" s="133">
      <c r="A50" s="261" t="inlineStr">
        <is>
          <t>2026-06-20</t>
        </is>
      </c>
      <c r="B50" s="261" t="inlineStr">
        <is>
          <t>Sat</t>
        </is>
      </c>
      <c r="C50" s="261" t="inlineStr">
        <is>
          <t>INFLOW</t>
        </is>
      </c>
      <c r="D50" s="261" t="inlineStr">
        <is>
          <t>Daily Sales Revenue</t>
        </is>
      </c>
      <c r="E50" s="261" t="inlineStr">
        <is>
          <t>REV-06-20</t>
        </is>
      </c>
      <c r="F50" s="262">
        <f>SUMPRODUCT('Sales Data'!AH3:AH163,'Sales Data'!$L$3:$L$163)</f>
        <v/>
      </c>
    </row>
    <row r="51" ht="15" customHeight="1" s="133">
      <c r="A51" s="261" t="inlineStr">
        <is>
          <t>2026-06-20</t>
        </is>
      </c>
      <c r="B51" s="261" t="inlineStr">
        <is>
          <t>Sat</t>
        </is>
      </c>
      <c r="C51" s="261" t="inlineStr">
        <is>
          <t>OUTFLOW</t>
        </is>
      </c>
      <c r="D51" s="261" t="inlineStr">
        <is>
          <t>Daily COGS — Inventory Cost</t>
        </is>
      </c>
      <c r="E51" s="261" t="inlineStr">
        <is>
          <t>COGS-06-20</t>
        </is>
      </c>
      <c r="F51" s="262">
        <f>SUMPRODUCT('Sales Data'!AH3:AH163,'Sales Data'!$K$3:$K$163)</f>
        <v/>
      </c>
    </row>
    <row r="52" ht="15" customHeight="1" s="133">
      <c r="A52" s="261" t="inlineStr">
        <is>
          <t>2026-06-20</t>
        </is>
      </c>
      <c r="B52" s="261" t="inlineStr">
        <is>
          <t>Sat</t>
        </is>
      </c>
      <c r="C52" s="261" t="inlineStr">
        <is>
          <t>OUTFLOW</t>
        </is>
      </c>
      <c r="D52" s="261" t="inlineStr">
        <is>
          <t>Operating Expense: Counter &amp; billing supplies</t>
        </is>
      </c>
      <c r="E52" s="261" t="inlineStr">
        <is>
          <t>EXP-06-20</t>
        </is>
      </c>
      <c r="F52" s="262" t="n">
        <v>3589.99</v>
      </c>
    </row>
    <row r="53" ht="15" customHeight="1" s="133">
      <c r="A53" s="261" t="inlineStr">
        <is>
          <t>2026-06-21</t>
        </is>
      </c>
      <c r="B53" s="261" t="inlineStr">
        <is>
          <t>Sun</t>
        </is>
      </c>
      <c r="C53" s="261" t="inlineStr">
        <is>
          <t>INFLOW</t>
        </is>
      </c>
      <c r="D53" s="261" t="inlineStr">
        <is>
          <t>Daily Sales Revenue</t>
        </is>
      </c>
      <c r="E53" s="261" t="inlineStr">
        <is>
          <t>REV-06-21</t>
        </is>
      </c>
      <c r="F53" s="262">
        <f>SUMPRODUCT('Sales Data'!AI3:AI163,'Sales Data'!$L$3:$L$163)</f>
        <v/>
      </c>
    </row>
    <row r="54" ht="15" customHeight="1" s="133">
      <c r="A54" s="261" t="inlineStr">
        <is>
          <t>2026-06-21</t>
        </is>
      </c>
      <c r="B54" s="261" t="inlineStr">
        <is>
          <t>Sun</t>
        </is>
      </c>
      <c r="C54" s="261" t="inlineStr">
        <is>
          <t>OUTFLOW</t>
        </is>
      </c>
      <c r="D54" s="261" t="inlineStr">
        <is>
          <t>Daily COGS — Inventory Cost</t>
        </is>
      </c>
      <c r="E54" s="261" t="inlineStr">
        <is>
          <t>COGS-06-21</t>
        </is>
      </c>
      <c r="F54" s="262">
        <f>SUMPRODUCT('Sales Data'!AI3:AI163,'Sales Data'!$K$3:$K$163)</f>
        <v/>
      </c>
    </row>
    <row r="55" ht="15" customHeight="1" s="133">
      <c r="A55" s="261" t="inlineStr">
        <is>
          <t>2026-06-22</t>
        </is>
      </c>
      <c r="B55" s="261" t="inlineStr">
        <is>
          <t>Mon</t>
        </is>
      </c>
      <c r="C55" s="261" t="inlineStr">
        <is>
          <t>INFLOW</t>
        </is>
      </c>
      <c r="D55" s="261" t="inlineStr">
        <is>
          <t>Daily Sales Revenue</t>
        </is>
      </c>
      <c r="E55" s="261" t="inlineStr">
        <is>
          <t>REV-06-22</t>
        </is>
      </c>
      <c r="F55" s="262">
        <f>SUMPRODUCT('Sales Data'!AJ3:AJ163,'Sales Data'!$L$3:$L$163)</f>
        <v/>
      </c>
    </row>
    <row r="56" ht="15" customHeight="1" s="133">
      <c r="A56" s="261" t="inlineStr">
        <is>
          <t>2026-06-22</t>
        </is>
      </c>
      <c r="B56" s="261" t="inlineStr">
        <is>
          <t>Mon</t>
        </is>
      </c>
      <c r="C56" s="261" t="inlineStr">
        <is>
          <t>OUTFLOW</t>
        </is>
      </c>
      <c r="D56" s="261" t="inlineStr">
        <is>
          <t>Daily COGS — Inventory Cost</t>
        </is>
      </c>
      <c r="E56" s="261" t="inlineStr">
        <is>
          <t>COGS-06-22</t>
        </is>
      </c>
      <c r="F56" s="262">
        <f>SUMPRODUCT('Sales Data'!AJ3:AJ163,'Sales Data'!$K$3:$K$163)</f>
        <v/>
      </c>
    </row>
    <row r="57" ht="15" customHeight="1" s="133">
      <c r="A57" s="261" t="inlineStr">
        <is>
          <t>2026-06-23</t>
        </is>
      </c>
      <c r="B57" s="261" t="inlineStr">
        <is>
          <t>Tue</t>
        </is>
      </c>
      <c r="C57" s="261" t="inlineStr">
        <is>
          <t>INFLOW</t>
        </is>
      </c>
      <c r="D57" s="261" t="inlineStr">
        <is>
          <t>Daily Sales Revenue</t>
        </is>
      </c>
      <c r="E57" s="261" t="inlineStr">
        <is>
          <t>REV-06-23</t>
        </is>
      </c>
      <c r="F57" s="262">
        <f>SUMPRODUCT('Sales Data'!AK3:AK163,'Sales Data'!$L$3:$L$163)</f>
        <v/>
      </c>
    </row>
    <row r="58" ht="15" customHeight="1" s="133">
      <c r="A58" s="261" t="inlineStr">
        <is>
          <t>2026-06-23</t>
        </is>
      </c>
      <c r="B58" s="261" t="inlineStr">
        <is>
          <t>Tue</t>
        </is>
      </c>
      <c r="C58" s="261" t="inlineStr">
        <is>
          <t>OUTFLOW</t>
        </is>
      </c>
      <c r="D58" s="261" t="inlineStr">
        <is>
          <t>Daily COGS — Inventory Cost</t>
        </is>
      </c>
      <c r="E58" s="261" t="inlineStr">
        <is>
          <t>COGS-06-23</t>
        </is>
      </c>
      <c r="F58" s="262">
        <f>SUMPRODUCT('Sales Data'!AK3:AK163,'Sales Data'!$K$3:$K$163)</f>
        <v/>
      </c>
    </row>
    <row r="59" ht="15" customHeight="1" s="133">
      <c r="A59" s="261" t="inlineStr">
        <is>
          <t>2026-06-23</t>
        </is>
      </c>
      <c r="B59" s="261" t="inlineStr">
        <is>
          <t>Tue</t>
        </is>
      </c>
      <c r="C59" s="261" t="inlineStr">
        <is>
          <t>OUTFLOW</t>
        </is>
      </c>
      <c r="D59" s="261" t="inlineStr">
        <is>
          <t>Operating Expense: Inventory tags &amp; barcodes</t>
        </is>
      </c>
      <c r="E59" s="261" t="inlineStr">
        <is>
          <t>EXP-06-23</t>
        </is>
      </c>
      <c r="F59" s="262" t="n">
        <v>2100</v>
      </c>
    </row>
    <row r="60" ht="15" customHeight="1" s="133">
      <c r="A60" s="261" t="inlineStr">
        <is>
          <t>2026-06-24</t>
        </is>
      </c>
      <c r="B60" s="261" t="inlineStr">
        <is>
          <t>Wed</t>
        </is>
      </c>
      <c r="C60" s="261" t="inlineStr">
        <is>
          <t>INFLOW</t>
        </is>
      </c>
      <c r="D60" s="261" t="inlineStr">
        <is>
          <t>Daily Sales Revenue</t>
        </is>
      </c>
      <c r="E60" s="261" t="inlineStr">
        <is>
          <t>REV-06-24</t>
        </is>
      </c>
      <c r="F60" s="262">
        <f>SUMPRODUCT('Sales Data'!AL3:AL163,'Sales Data'!$L$3:$L$163)</f>
        <v/>
      </c>
    </row>
    <row r="61" ht="15" customHeight="1" s="133">
      <c r="A61" s="261" t="inlineStr">
        <is>
          <t>2026-06-24</t>
        </is>
      </c>
      <c r="B61" s="261" t="inlineStr">
        <is>
          <t>Wed</t>
        </is>
      </c>
      <c r="C61" s="261" t="inlineStr">
        <is>
          <t>OUTFLOW</t>
        </is>
      </c>
      <c r="D61" s="261" t="inlineStr">
        <is>
          <t>Daily COGS — Inventory Cost</t>
        </is>
      </c>
      <c r="E61" s="261" t="inlineStr">
        <is>
          <t>COGS-06-24</t>
        </is>
      </c>
      <c r="F61" s="262">
        <f>SUMPRODUCT('Sales Data'!AL3:AL163,'Sales Data'!$K$3:$K$163)</f>
        <v/>
      </c>
    </row>
    <row r="62" ht="15" customHeight="1" s="133">
      <c r="A62" s="261" t="inlineStr">
        <is>
          <t>2026-06-25</t>
        </is>
      </c>
      <c r="B62" s="261" t="inlineStr">
        <is>
          <t>Thu</t>
        </is>
      </c>
      <c r="C62" s="261" t="inlineStr">
        <is>
          <t>INFLOW</t>
        </is>
      </c>
      <c r="D62" s="261" t="inlineStr">
        <is>
          <t>Daily Sales Revenue</t>
        </is>
      </c>
      <c r="E62" s="261" t="inlineStr">
        <is>
          <t>REV-06-25</t>
        </is>
      </c>
      <c r="F62" s="262">
        <f>SUMPRODUCT('Sales Data'!AM3:AM163,'Sales Data'!$L$3:$L$163)</f>
        <v/>
      </c>
    </row>
    <row r="63" ht="15" customHeight="1" s="133">
      <c r="A63" s="261" t="inlineStr">
        <is>
          <t>2026-06-25</t>
        </is>
      </c>
      <c r="B63" s="261" t="inlineStr">
        <is>
          <t>Thu</t>
        </is>
      </c>
      <c r="C63" s="261" t="inlineStr">
        <is>
          <t>OUTFLOW</t>
        </is>
      </c>
      <c r="D63" s="261" t="inlineStr">
        <is>
          <t>Daily COGS — Inventory Cost</t>
        </is>
      </c>
      <c r="E63" s="261" t="inlineStr">
        <is>
          <t>COGS-06-25</t>
        </is>
      </c>
      <c r="F63" s="262">
        <f>SUMPRODUCT('Sales Data'!AM3:AM163,'Sales Data'!$K$3:$K$163)</f>
        <v/>
      </c>
    </row>
    <row r="64" ht="15" customHeight="1" s="133">
      <c r="A64" s="261" t="inlineStr">
        <is>
          <t>2026-06-26</t>
        </is>
      </c>
      <c r="B64" s="261" t="inlineStr">
        <is>
          <t>Fri</t>
        </is>
      </c>
      <c r="C64" s="261" t="inlineStr">
        <is>
          <t>INFLOW</t>
        </is>
      </c>
      <c r="D64" s="261" t="inlineStr">
        <is>
          <t>Daily Sales Revenue</t>
        </is>
      </c>
      <c r="E64" s="261" t="inlineStr">
        <is>
          <t>REV-06-26</t>
        </is>
      </c>
      <c r="F64" s="262">
        <f>SUMPRODUCT('Sales Data'!AN3:AN163,'Sales Data'!$L$3:$L$163)</f>
        <v/>
      </c>
    </row>
    <row r="65" ht="15" customHeight="1" s="133">
      <c r="A65" s="261" t="inlineStr">
        <is>
          <t>2026-06-26</t>
        </is>
      </c>
      <c r="B65" s="261" t="inlineStr">
        <is>
          <t>Fri</t>
        </is>
      </c>
      <c r="C65" s="261" t="inlineStr">
        <is>
          <t>OUTFLOW</t>
        </is>
      </c>
      <c r="D65" s="261" t="inlineStr">
        <is>
          <t>Daily COGS — Inventory Cost</t>
        </is>
      </c>
      <c r="E65" s="261" t="inlineStr">
        <is>
          <t>COGS-06-26</t>
        </is>
      </c>
      <c r="F65" s="262">
        <f>SUMPRODUCT('Sales Data'!AN3:AN163,'Sales Data'!$K$3:$K$163)</f>
        <v/>
      </c>
    </row>
    <row r="66" ht="15" customHeight="1" s="133">
      <c r="A66" s="261" t="inlineStr">
        <is>
          <t>2026-06-27</t>
        </is>
      </c>
      <c r="B66" s="261" t="inlineStr">
        <is>
          <t>Sat</t>
        </is>
      </c>
      <c r="C66" s="261" t="inlineStr">
        <is>
          <t>INFLOW</t>
        </is>
      </c>
      <c r="D66" s="261" t="inlineStr">
        <is>
          <t>Daily Sales Revenue</t>
        </is>
      </c>
      <c r="E66" s="261" t="inlineStr">
        <is>
          <t>REV-06-27</t>
        </is>
      </c>
      <c r="F66" s="262">
        <f>SUMPRODUCT('Sales Data'!AO3:AO163,'Sales Data'!$L$3:$L$163)</f>
        <v/>
      </c>
    </row>
    <row r="67" ht="15" customHeight="1" s="133">
      <c r="A67" s="261" t="inlineStr">
        <is>
          <t>2026-06-27</t>
        </is>
      </c>
      <c r="B67" s="261" t="inlineStr">
        <is>
          <t>Sat</t>
        </is>
      </c>
      <c r="C67" s="261" t="inlineStr">
        <is>
          <t>OUTFLOW</t>
        </is>
      </c>
      <c r="D67" s="261" t="inlineStr">
        <is>
          <t>Daily COGS — Inventory Cost</t>
        </is>
      </c>
      <c r="E67" s="261" t="inlineStr">
        <is>
          <t>COGS-06-27</t>
        </is>
      </c>
      <c r="F67" s="262">
        <f>SUMPRODUCT('Sales Data'!AO3:AO163,'Sales Data'!$K$3:$K$163)</f>
        <v/>
      </c>
    </row>
    <row r="68" ht="15" customHeight="1" s="133">
      <c r="A68" s="261" t="inlineStr">
        <is>
          <t>2026-06-27</t>
        </is>
      </c>
      <c r="B68" s="261" t="inlineStr">
        <is>
          <t>Sat</t>
        </is>
      </c>
      <c r="C68" s="261" t="inlineStr">
        <is>
          <t>OUTFLOW</t>
        </is>
      </c>
      <c r="D68" s="261" t="inlineStr">
        <is>
          <t>Operating Expense: General office consumables</t>
        </is>
      </c>
      <c r="E68" s="261" t="inlineStr">
        <is>
          <t>EXP-06-27</t>
        </is>
      </c>
      <c r="F68" s="262" t="n">
        <v>1800</v>
      </c>
    </row>
    <row r="69" ht="15" customHeight="1" s="133">
      <c r="A69" s="261" t="inlineStr">
        <is>
          <t>2026-06-28</t>
        </is>
      </c>
      <c r="B69" s="261" t="inlineStr">
        <is>
          <t>Sun</t>
        </is>
      </c>
      <c r="C69" s="261" t="inlineStr">
        <is>
          <t>INFLOW</t>
        </is>
      </c>
      <c r="D69" s="261" t="inlineStr">
        <is>
          <t>Daily Sales Revenue</t>
        </is>
      </c>
      <c r="E69" s="261" t="inlineStr">
        <is>
          <t>REV-06-28</t>
        </is>
      </c>
      <c r="F69" s="262">
        <f>SUMPRODUCT('Sales Data'!AP3:AP163,'Sales Data'!$L$3:$L$163)</f>
        <v/>
      </c>
    </row>
    <row r="70" ht="15" customHeight="1" s="133">
      <c r="A70" s="261" t="inlineStr">
        <is>
          <t>2026-06-28</t>
        </is>
      </c>
      <c r="B70" s="261" t="inlineStr">
        <is>
          <t>Sun</t>
        </is>
      </c>
      <c r="C70" s="261" t="inlineStr">
        <is>
          <t>OUTFLOW</t>
        </is>
      </c>
      <c r="D70" s="261" t="inlineStr">
        <is>
          <t>Daily COGS — Inventory Cost</t>
        </is>
      </c>
      <c r="E70" s="261" t="inlineStr">
        <is>
          <t>COGS-06-28</t>
        </is>
      </c>
      <c r="F70" s="262">
        <f>SUMPRODUCT('Sales Data'!AP3:AP163,'Sales Data'!$K$3:$K$163)</f>
        <v/>
      </c>
    </row>
    <row r="71" ht="15" customHeight="1" s="133">
      <c r="A71" s="261" t="inlineStr">
        <is>
          <t>2026-06-29</t>
        </is>
      </c>
      <c r="B71" s="261" t="inlineStr">
        <is>
          <t>Mon</t>
        </is>
      </c>
      <c r="C71" s="261" t="inlineStr">
        <is>
          <t>INFLOW</t>
        </is>
      </c>
      <c r="D71" s="261" t="inlineStr">
        <is>
          <t>Daily Sales Revenue</t>
        </is>
      </c>
      <c r="E71" s="261" t="inlineStr">
        <is>
          <t>REV-06-29</t>
        </is>
      </c>
      <c r="F71" s="262">
        <f>SUMPRODUCT('Sales Data'!AQ3:AQ163,'Sales Data'!$L$3:$L$163)</f>
        <v/>
      </c>
    </row>
    <row r="72" ht="15" customHeight="1" s="133">
      <c r="A72" s="261" t="inlineStr">
        <is>
          <t>2026-06-29</t>
        </is>
      </c>
      <c r="B72" s="261" t="inlineStr">
        <is>
          <t>Mon</t>
        </is>
      </c>
      <c r="C72" s="261" t="inlineStr">
        <is>
          <t>OUTFLOW</t>
        </is>
      </c>
      <c r="D72" s="261" t="inlineStr">
        <is>
          <t>Daily COGS — Inventory Cost</t>
        </is>
      </c>
      <c r="E72" s="261" t="inlineStr">
        <is>
          <t>COGS-06-29</t>
        </is>
      </c>
      <c r="F72" s="262">
        <f>SUMPRODUCT('Sales Data'!AQ3:AQ163,'Sales Data'!$K$3:$K$163)</f>
        <v/>
      </c>
    </row>
    <row r="73" ht="15" customHeight="1" s="133">
      <c r="A73" s="261" t="inlineStr">
        <is>
          <t>2026-06-30</t>
        </is>
      </c>
      <c r="B73" s="261" t="inlineStr">
        <is>
          <t>Tue</t>
        </is>
      </c>
      <c r="C73" s="261" t="inlineStr">
        <is>
          <t>INFLOW</t>
        </is>
      </c>
      <c r="D73" s="261" t="inlineStr">
        <is>
          <t>Daily Sales Revenue</t>
        </is>
      </c>
      <c r="E73" s="261" t="inlineStr">
        <is>
          <t>REV-06-30</t>
        </is>
      </c>
      <c r="F73" s="262">
        <f>SUMPRODUCT('Sales Data'!AR3:AR163,'Sales Data'!$L$3:$L$163)</f>
        <v/>
      </c>
    </row>
    <row r="74" ht="15" customHeight="1" s="133">
      <c r="A74" s="261" t="inlineStr">
        <is>
          <t>2026-06-30</t>
        </is>
      </c>
      <c r="B74" s="261" t="inlineStr">
        <is>
          <t>Tue</t>
        </is>
      </c>
      <c r="C74" s="261" t="inlineStr">
        <is>
          <t>OUTFLOW</t>
        </is>
      </c>
      <c r="D74" s="261" t="inlineStr">
        <is>
          <t>Daily COGS — Inventory Cost</t>
        </is>
      </c>
      <c r="E74" s="261" t="inlineStr">
        <is>
          <t>COGS-06-30</t>
        </is>
      </c>
      <c r="F74" s="262">
        <f>SUMPRODUCT('Sales Data'!AR3:AR163,'Sales Data'!$K$3:$K$163)</f>
        <v/>
      </c>
    </row>
    <row r="76" ht="15" customHeight="1" s="133">
      <c r="A76" s="263" t="inlineStr">
        <is>
          <t>CASH FLOW SUMMARY</t>
        </is>
      </c>
    </row>
    <row r="77" ht="15" customHeight="1" s="133">
      <c r="A77" s="264" t="inlineStr">
        <is>
          <t>Total Cash Inflows (Sales Revenue)</t>
        </is>
      </c>
      <c r="B77" s="265" t="n"/>
      <c r="C77" s="265" t="n"/>
      <c r="D77" s="265" t="n"/>
      <c r="E77" s="265" t="n"/>
      <c r="F77" s="266">
        <f>SUMIF(C3:C75,"INFLOW",F3:F75)</f>
        <v/>
      </c>
    </row>
    <row r="78" ht="15" customHeight="1" s="133">
      <c r="A78" s="264" t="inlineStr">
        <is>
          <t>Total Cash Outflows (COGS + Expenses)</t>
        </is>
      </c>
      <c r="B78" s="265" t="n"/>
      <c r="C78" s="265" t="n"/>
      <c r="D78" s="265" t="n"/>
      <c r="E78" s="265" t="n"/>
      <c r="F78" s="266">
        <f>SUMIF(C3:C77,"OUTFLOW",F3:F77)</f>
        <v/>
      </c>
    </row>
    <row r="79" ht="15" customHeight="1" s="133">
      <c r="A79" s="267" t="inlineStr">
        <is>
          <t>NET CASH FLOW</t>
        </is>
      </c>
      <c r="B79" s="268" t="n"/>
      <c r="C79" s="268" t="n"/>
      <c r="D79" s="268" t="n"/>
      <c r="E79" s="268" t="n"/>
      <c r="F79" s="269">
        <f>F77-F78</f>
        <v/>
      </c>
    </row>
  </sheetData>
  <mergeCells count="2">
    <mergeCell ref="A1:F1"/>
    <mergeCell ref="A76:E7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32" min="1" max="2"/>
    <col width="38" customWidth="1" style="132" min="3" max="3"/>
    <col width="20" customWidth="1" style="132" min="4" max="4"/>
    <col width="12" customWidth="1" style="132" min="5" max="5"/>
    <col width="18" customWidth="1" style="132" min="6" max="6"/>
    <col width="20" customWidth="1" style="132" min="7" max="7"/>
  </cols>
  <sheetData>
    <row r="1" ht="27.75" customHeight="1" s="133">
      <c r="A1" s="134" t="inlineStr">
        <is>
          <t>Al-Noor Trading — Expense Tracker (June 2026)</t>
        </is>
      </c>
    </row>
    <row r="2" ht="21.75" customHeight="1" s="133">
      <c r="A2" s="135" t="inlineStr">
        <is>
          <t>Expense Date</t>
        </is>
      </c>
      <c r="B2" s="135" t="inlineStr">
        <is>
          <t>Category</t>
        </is>
      </c>
      <c r="C2" s="135" t="inlineStr">
        <is>
          <t>Description</t>
        </is>
      </c>
      <c r="D2" s="135" t="inlineStr">
        <is>
          <t>Vendor</t>
        </is>
      </c>
      <c r="E2" s="135" t="inlineStr">
        <is>
          <t>Status</t>
        </is>
      </c>
      <c r="F2" s="135" t="inlineStr">
        <is>
          <t>Tax Amount (PKR)</t>
        </is>
      </c>
      <c r="G2" s="135" t="inlineStr">
        <is>
          <t>Amount (PKR)</t>
        </is>
      </c>
    </row>
    <row r="3" ht="15" customHeight="1" s="133">
      <c r="A3" s="179" t="inlineStr">
        <is>
          <t>2026-06-01</t>
        </is>
      </c>
      <c r="B3" s="180" t="inlineStr">
        <is>
          <t>SUPPLIES</t>
        </is>
      </c>
      <c r="C3" s="181" t="inlineStr">
        <is>
          <t>Office stationery &amp; supplies</t>
        </is>
      </c>
      <c r="D3" s="181" t="inlineStr">
        <is>
          <t>Bazm-e-iqbal</t>
        </is>
      </c>
      <c r="E3" s="182" t="inlineStr">
        <is>
          <t>ACTIVE</t>
        </is>
      </c>
      <c r="F3" s="183" t="n">
        <v>0</v>
      </c>
      <c r="G3" s="184" t="n">
        <v>2500</v>
      </c>
    </row>
    <row r="4" ht="15" customHeight="1" s="133">
      <c r="A4" s="185" t="inlineStr">
        <is>
          <t>2026-06-02</t>
        </is>
      </c>
      <c r="B4" s="186" t="inlineStr">
        <is>
          <t>SUPPLIES</t>
        </is>
      </c>
      <c r="C4" s="187" t="inlineStr">
        <is>
          <t>Packaging materials</t>
        </is>
      </c>
      <c r="D4" s="187" t="inlineStr">
        <is>
          <t>Falak Foods</t>
        </is>
      </c>
      <c r="E4" s="188" t="inlineStr">
        <is>
          <t>ACTIVE</t>
        </is>
      </c>
      <c r="F4" s="189" t="n">
        <v>0</v>
      </c>
      <c r="G4" s="190" t="n">
        <v>3200</v>
      </c>
    </row>
    <row r="5" ht="15" customHeight="1" s="133">
      <c r="A5" s="179" t="inlineStr">
        <is>
          <t>2026-06-04</t>
        </is>
      </c>
      <c r="B5" s="180" t="inlineStr">
        <is>
          <t>SUPPLIES</t>
        </is>
      </c>
      <c r="C5" s="181" t="inlineStr">
        <is>
          <t>Cleaning &amp; hygiene supplies</t>
        </is>
      </c>
      <c r="D5" s="181" t="inlineStr">
        <is>
          <t>GSK Pakistan</t>
        </is>
      </c>
      <c r="E5" s="182" t="inlineStr">
        <is>
          <t>ACTIVE</t>
        </is>
      </c>
      <c r="F5" s="183" t="n">
        <v>0</v>
      </c>
      <c r="G5" s="184" t="n">
        <v>1800</v>
      </c>
    </row>
    <row r="6" ht="15" customHeight="1" s="133">
      <c r="A6" s="185" t="inlineStr">
        <is>
          <t>2026-06-06</t>
        </is>
      </c>
      <c r="B6" s="186" t="inlineStr">
        <is>
          <t>SUPPLIES</t>
        </is>
      </c>
      <c r="C6" s="187" t="inlineStr">
        <is>
          <t>Display &amp; shelving items</t>
        </is>
      </c>
      <c r="D6" s="187" t="inlineStr">
        <is>
          <t>Gul Ahmed</t>
        </is>
      </c>
      <c r="E6" s="188" t="inlineStr">
        <is>
          <t>ACTIVE</t>
        </is>
      </c>
      <c r="F6" s="189" t="n">
        <v>0</v>
      </c>
      <c r="G6" s="190" t="n">
        <v>4500</v>
      </c>
    </row>
    <row r="7" ht="15" customHeight="1" s="133">
      <c r="A7" s="179" t="inlineStr">
        <is>
          <t>2026-06-08</t>
        </is>
      </c>
      <c r="B7" s="180" t="inlineStr">
        <is>
          <t>SUPPLIES</t>
        </is>
      </c>
      <c r="C7" s="181" t="inlineStr">
        <is>
          <t>Printer paper &amp; ink cartridges</t>
        </is>
      </c>
      <c r="D7" s="181" t="inlineStr">
        <is>
          <t>Bazm-e-iqbal</t>
        </is>
      </c>
      <c r="E7" s="182" t="inlineStr">
        <is>
          <t>ACTIVE</t>
        </is>
      </c>
      <c r="F7" s="183" t="n">
        <v>0</v>
      </c>
      <c r="G7" s="184" t="n">
        <v>2750</v>
      </c>
    </row>
    <row r="8" ht="15" customHeight="1" s="133">
      <c r="A8" s="185" t="inlineStr">
        <is>
          <t>2026-06-10</t>
        </is>
      </c>
      <c r="B8" s="186" t="inlineStr">
        <is>
          <t>SUPPLIES</t>
        </is>
      </c>
      <c r="C8" s="187" t="inlineStr">
        <is>
          <t>Storage boxes &amp; labels</t>
        </is>
      </c>
      <c r="D8" s="187" t="inlineStr">
        <is>
          <t>Falak Foods</t>
        </is>
      </c>
      <c r="E8" s="188" t="inlineStr">
        <is>
          <t>ACTIVE</t>
        </is>
      </c>
      <c r="F8" s="189" t="n">
        <v>0</v>
      </c>
      <c r="G8" s="190" t="n">
        <v>1950</v>
      </c>
    </row>
    <row r="9" ht="15" customHeight="1" s="133">
      <c r="A9" s="179" t="inlineStr">
        <is>
          <t>2026-06-12</t>
        </is>
      </c>
      <c r="B9" s="180" t="inlineStr">
        <is>
          <t>SUPPLIES</t>
        </is>
      </c>
      <c r="C9" s="181" t="inlineStr">
        <is>
          <t>Wrapping &amp; packing tape</t>
        </is>
      </c>
      <c r="D9" s="181" t="inlineStr">
        <is>
          <t>Falak Foods</t>
        </is>
      </c>
      <c r="E9" s="182" t="inlineStr">
        <is>
          <t>ACTIVE</t>
        </is>
      </c>
      <c r="F9" s="183" t="n">
        <v>0</v>
      </c>
      <c r="G9" s="184" t="n">
        <v>1200</v>
      </c>
    </row>
    <row r="10" ht="15" customHeight="1" s="133">
      <c r="A10" s="185" t="inlineStr">
        <is>
          <t>2026-06-15</t>
        </is>
      </c>
      <c r="B10" s="186" t="inlineStr">
        <is>
          <t>SUPPLIES</t>
        </is>
      </c>
      <c r="C10" s="187" t="inlineStr">
        <is>
          <t>Security &amp; safety supplies</t>
        </is>
      </c>
      <c r="D10" s="187" t="inlineStr">
        <is>
          <t>GSK Pakistan</t>
        </is>
      </c>
      <c r="E10" s="188" t="inlineStr">
        <is>
          <t>ACTIVE</t>
        </is>
      </c>
      <c r="F10" s="189" t="n">
        <v>0</v>
      </c>
      <c r="G10" s="190" t="n">
        <v>3400</v>
      </c>
    </row>
    <row r="11" ht="15" customHeight="1" s="133">
      <c r="A11" s="179" t="inlineStr">
        <is>
          <t>2026-06-18</t>
        </is>
      </c>
      <c r="B11" s="180" t="inlineStr">
        <is>
          <t>SUPPLIES</t>
        </is>
      </c>
      <c r="C11" s="181" t="inlineStr">
        <is>
          <t>Promotional signage material</t>
        </is>
      </c>
      <c r="D11" s="181" t="inlineStr">
        <is>
          <t>Gul Ahmed</t>
        </is>
      </c>
      <c r="E11" s="182" t="inlineStr">
        <is>
          <t>ACTIVE</t>
        </is>
      </c>
      <c r="F11" s="183" t="n">
        <v>0</v>
      </c>
      <c r="G11" s="184" t="n">
        <v>2800</v>
      </c>
    </row>
    <row r="12" ht="15" customHeight="1" s="133">
      <c r="A12" s="185" t="inlineStr">
        <is>
          <t>2026-06-20</t>
        </is>
      </c>
      <c r="B12" s="186" t="inlineStr">
        <is>
          <t>SUPPLIES</t>
        </is>
      </c>
      <c r="C12" s="187" t="inlineStr">
        <is>
          <t>Counter &amp; billing supplies</t>
        </is>
      </c>
      <c r="D12" s="187" t="inlineStr">
        <is>
          <t>Bazm-e-iqbal</t>
        </is>
      </c>
      <c r="E12" s="188" t="inlineStr">
        <is>
          <t>ACTIVE</t>
        </is>
      </c>
      <c r="F12" s="189" t="n">
        <v>0</v>
      </c>
      <c r="G12" s="190" t="n">
        <v>3589.99</v>
      </c>
    </row>
    <row r="13" ht="15" customHeight="1" s="133">
      <c r="A13" s="179" t="inlineStr">
        <is>
          <t>2026-06-23</t>
        </is>
      </c>
      <c r="B13" s="180" t="inlineStr">
        <is>
          <t>SUPPLIES</t>
        </is>
      </c>
      <c r="C13" s="181" t="inlineStr">
        <is>
          <t>Inventory tags &amp; barcodes</t>
        </is>
      </c>
      <c r="D13" s="181" t="inlineStr">
        <is>
          <t>Falak Foods</t>
        </is>
      </c>
      <c r="E13" s="182" t="inlineStr">
        <is>
          <t>ACTIVE</t>
        </is>
      </c>
      <c r="F13" s="183" t="n">
        <v>0</v>
      </c>
      <c r="G13" s="184" t="n">
        <v>2100</v>
      </c>
    </row>
    <row r="14" ht="15" customHeight="1" s="133">
      <c r="A14" s="185" t="inlineStr">
        <is>
          <t>2026-06-27</t>
        </is>
      </c>
      <c r="B14" s="186" t="inlineStr">
        <is>
          <t>SUPPLIES</t>
        </is>
      </c>
      <c r="C14" s="187" t="inlineStr">
        <is>
          <t>General office consumables</t>
        </is>
      </c>
      <c r="D14" s="187" t="inlineStr">
        <is>
          <t>Bazm-e-iqbal</t>
        </is>
      </c>
      <c r="E14" s="188" t="inlineStr">
        <is>
          <t>ACTIVE</t>
        </is>
      </c>
      <c r="F14" s="189" t="n">
        <v>0</v>
      </c>
      <c r="G14" s="190" t="n">
        <v>1800</v>
      </c>
    </row>
    <row r="15" ht="15" customHeight="1" s="133">
      <c r="A15" s="191" t="inlineStr">
        <is>
          <t>2026-06-14</t>
        </is>
      </c>
      <c r="B15" s="192" t="inlineStr">
        <is>
          <t>SUPPLIES</t>
        </is>
      </c>
      <c r="C15" s="193" t="inlineStr">
        <is>
          <t>Duplicate order — cancelled</t>
        </is>
      </c>
      <c r="D15" s="193" t="inlineStr">
        <is>
          <t>Grey</t>
        </is>
      </c>
      <c r="E15" s="194" t="inlineStr">
        <is>
          <t>VOIDED</t>
        </is>
      </c>
      <c r="F15" s="195" t="n">
        <v>0</v>
      </c>
      <c r="G15" s="196" t="n">
        <v>1500</v>
      </c>
    </row>
    <row r="16" ht="15" customHeight="1" s="133">
      <c r="A16" s="197" t="inlineStr">
        <is>
          <t>TOTAL ACTIVE EXPENSES (PKR)  — 12 records, no tax</t>
        </is>
      </c>
      <c r="G16" s="198">
        <f>SUMIF(E3:E15,"ACTIVE",G3:G15)</f>
        <v/>
      </c>
    </row>
    <row r="17" ht="31.5" customHeight="1" s="133">
      <c r="A17" s="165" t="inlineStr">
        <is>
          <t>1 VOIDED record (2026-06-14, Grey, PKR 1,500.00) excluded from active totals</t>
        </is>
      </c>
    </row>
    <row r="19" ht="15" customHeight="1" s="133">
      <c r="A19" s="199" t="inlineStr">
        <is>
          <t>Vendor Summary (Active Expenses Only)</t>
        </is>
      </c>
    </row>
    <row r="20" ht="15" customHeight="1" s="133">
      <c r="A20" s="200" t="inlineStr">
        <is>
          <t>Vendor</t>
        </is>
      </c>
      <c r="B20" s="200" t="inlineStr">
        <is>
          <t>Country</t>
        </is>
      </c>
      <c r="C20" s="200" t="inlineStr">
        <is>
          <t>Active Transactions</t>
        </is>
      </c>
      <c r="D20" s="200" t="inlineStr">
        <is>
          <t>Total Amount (PKR)</t>
        </is>
      </c>
    </row>
    <row r="21" ht="15" customHeight="1" s="133">
      <c r="A21" s="167" t="inlineStr">
        <is>
          <t>Bazm-e-iqbal</t>
        </is>
      </c>
      <c r="B21" s="166" t="inlineStr">
        <is>
          <t>Pakistan</t>
        </is>
      </c>
      <c r="C21" s="201">
        <f>COUNTIFS(D3:D15,"Bazm-e-iqbal",E3:E15,"ACTIVE")</f>
        <v/>
      </c>
      <c r="D21" s="202">
        <f>SUMIFS(G3:G15,D3:D15,"Bazm-e-iqbal",E3:E15,"ACTIVE")</f>
        <v/>
      </c>
    </row>
    <row r="22" ht="15" customHeight="1" s="133">
      <c r="A22" s="187" t="inlineStr">
        <is>
          <t>Falak Foods</t>
        </is>
      </c>
      <c r="B22" s="185" t="inlineStr">
        <is>
          <t>Pakistan</t>
        </is>
      </c>
      <c r="C22" s="203">
        <f>COUNTIFS(D3:D15,"Falak Foods",E3:E15,"ACTIVE")</f>
        <v/>
      </c>
      <c r="D22" s="189">
        <f>SUMIFS(G3:G15,D3:D15,"Falak Foods",E3:E15,"ACTIVE")</f>
        <v/>
      </c>
    </row>
    <row r="23" ht="15" customHeight="1" s="133">
      <c r="A23" s="167" t="inlineStr">
        <is>
          <t>Gul Ahmed</t>
        </is>
      </c>
      <c r="B23" s="166" t="inlineStr">
        <is>
          <t>Pakistan</t>
        </is>
      </c>
      <c r="C23" s="201">
        <f>COUNTIFS(D3:D15,"Gul Ahmed",E3:E15,"ACTIVE")</f>
        <v/>
      </c>
      <c r="D23" s="202">
        <f>SUMIFS(G3:G15,D3:D15,"Gul Ahmed",E3:E15,"ACTIVE")</f>
        <v/>
      </c>
    </row>
    <row r="24" ht="15" customHeight="1" s="133">
      <c r="A24" s="187" t="inlineStr">
        <is>
          <t>GSK Pakistan</t>
        </is>
      </c>
      <c r="B24" s="185" t="inlineStr">
        <is>
          <t>Pakistan</t>
        </is>
      </c>
      <c r="C24" s="203">
        <f>COUNTIFS(D3:D15,"GSK Pakistan",E3:E15,"ACTIVE")</f>
        <v/>
      </c>
      <c r="D24" s="189">
        <f>SUMIFS(G3:G15,D3:D15,"GSK Pakistan",E3:E15,"ACTIVE")</f>
        <v/>
      </c>
    </row>
    <row r="25" ht="15" customHeight="1" s="133">
      <c r="A25" s="167" t="inlineStr">
        <is>
          <t>Grey</t>
        </is>
      </c>
      <c r="B25" s="166" t="inlineStr">
        <is>
          <t>Pakistan</t>
        </is>
      </c>
      <c r="C25" s="201">
        <f>COUNTIFS(D3:D15,"Grey",E3:E15,"ACTIVE")</f>
        <v/>
      </c>
      <c r="D25" s="202">
        <f>SUMIFS(G3:G15,D3:D15,"Grey",E3:E15,"ACTIVE")</f>
        <v/>
      </c>
    </row>
  </sheetData>
  <mergeCells count="4">
    <mergeCell ref="A16:F16"/>
    <mergeCell ref="A1:G1"/>
    <mergeCell ref="A19:D19"/>
    <mergeCell ref="A17:G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6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32" min="1" max="1"/>
    <col width="30" customWidth="1" style="132" min="2" max="2"/>
    <col width="28" customWidth="1" style="132" min="3" max="3"/>
    <col width="25" customWidth="1" style="132" min="4" max="4"/>
    <col width="20" customWidth="1" style="132" min="5" max="8"/>
  </cols>
  <sheetData>
    <row r="1" ht="27.75" customHeight="1" s="133">
      <c r="A1" s="134" t="inlineStr">
        <is>
          <t>Al-Noor Trading — Revenue Analysis (June 2026)</t>
        </is>
      </c>
    </row>
    <row r="2" ht="21.75" customHeight="1" s="133">
      <c r="A2" s="135" t="inlineStr">
        <is>
          <t>Product ID</t>
        </is>
      </c>
      <c r="B2" s="135" t="inlineStr">
        <is>
          <t>Product Name</t>
        </is>
      </c>
      <c r="C2" s="135" t="inlineStr">
        <is>
          <t>Category</t>
        </is>
      </c>
      <c r="D2" s="135" t="inlineStr">
        <is>
          <t>Sub-Category</t>
        </is>
      </c>
      <c r="E2" s="135" t="inlineStr">
        <is>
          <t>Total Qty Sold</t>
        </is>
      </c>
      <c r="F2" s="135" t="inlineStr">
        <is>
          <t>Total Revenue (PKR)</t>
        </is>
      </c>
      <c r="G2" s="135" t="inlineStr">
        <is>
          <t>Total COGS (PKR)</t>
        </is>
      </c>
      <c r="H2" s="135" t="inlineStr">
        <is>
          <t>Gross Profit (PKR)</t>
        </is>
      </c>
    </row>
    <row r="3" ht="15" customHeight="1" s="133">
      <c r="A3" s="167" t="inlineStr">
        <is>
          <t>PK-1001</t>
        </is>
      </c>
      <c r="B3" s="167" t="inlineStr">
        <is>
          <t>Samsung Galaxy A54</t>
        </is>
      </c>
      <c r="C3" s="167" t="inlineStr">
        <is>
          <t>Electronics &amp; Appliances</t>
        </is>
      </c>
      <c r="D3" s="167" t="inlineStr">
        <is>
          <t>Mobile Phones</t>
        </is>
      </c>
      <c r="E3" s="204">
        <f>SUMPRODUCT('Sales Data'!O3:AR3)</f>
        <v/>
      </c>
      <c r="F3" s="205">
        <f>SUMPRODUCT('Sales Data'!O3:AR3)*'Sales Data'!L3</f>
        <v/>
      </c>
      <c r="G3" s="205">
        <f>SUMPRODUCT('Sales Data'!O3:AR3)*'Sales Data'!K3</f>
        <v/>
      </c>
      <c r="H3" s="205">
        <f>F3-G3</f>
        <v/>
      </c>
    </row>
    <row r="4" ht="15" customHeight="1" s="133">
      <c r="A4" s="187" t="inlineStr">
        <is>
          <t>PK-1002</t>
        </is>
      </c>
      <c r="B4" s="187" t="inlineStr">
        <is>
          <t>Samsung Galaxy A34</t>
        </is>
      </c>
      <c r="C4" s="187" t="inlineStr">
        <is>
          <t>Electronics &amp; Appliances</t>
        </is>
      </c>
      <c r="D4" s="187" t="inlineStr">
        <is>
          <t>Mobile Phones</t>
        </is>
      </c>
      <c r="E4" s="206">
        <f>SUMPRODUCT('Sales Data'!O4:AR4)</f>
        <v/>
      </c>
      <c r="F4" s="207">
        <f>SUMPRODUCT('Sales Data'!O4:AR4)*'Sales Data'!L4</f>
        <v/>
      </c>
      <c r="G4" s="207">
        <f>SUMPRODUCT('Sales Data'!O4:AR4)*'Sales Data'!K4</f>
        <v/>
      </c>
      <c r="H4" s="207">
        <f>F4-G4</f>
        <v/>
      </c>
    </row>
    <row r="5" ht="15" customHeight="1" s="133">
      <c r="A5" s="167" t="inlineStr">
        <is>
          <t>PK-1003</t>
        </is>
      </c>
      <c r="B5" s="167" t="inlineStr">
        <is>
          <t>iPhone 14</t>
        </is>
      </c>
      <c r="C5" s="167" t="inlineStr">
        <is>
          <t>Electronics &amp; Appliances</t>
        </is>
      </c>
      <c r="D5" s="167" t="inlineStr">
        <is>
          <t>Mobile Phones</t>
        </is>
      </c>
      <c r="E5" s="204">
        <f>SUMPRODUCT('Sales Data'!O5:AR5)</f>
        <v/>
      </c>
      <c r="F5" s="205">
        <f>SUMPRODUCT('Sales Data'!O5:AR5)*'Sales Data'!L5</f>
        <v/>
      </c>
      <c r="G5" s="205">
        <f>SUMPRODUCT('Sales Data'!O5:AR5)*'Sales Data'!K5</f>
        <v/>
      </c>
      <c r="H5" s="205">
        <f>F5-G5</f>
        <v/>
      </c>
    </row>
    <row r="6" ht="15" customHeight="1" s="133">
      <c r="A6" s="187" t="inlineStr">
        <is>
          <t>PK-1004</t>
        </is>
      </c>
      <c r="B6" s="187" t="inlineStr">
        <is>
          <t>iPhone 13</t>
        </is>
      </c>
      <c r="C6" s="187" t="inlineStr">
        <is>
          <t>Electronics &amp; Appliances</t>
        </is>
      </c>
      <c r="D6" s="187" t="inlineStr">
        <is>
          <t>Mobile Phones</t>
        </is>
      </c>
      <c r="E6" s="206">
        <f>SUMPRODUCT('Sales Data'!O6:AR6)</f>
        <v/>
      </c>
      <c r="F6" s="207">
        <f>SUMPRODUCT('Sales Data'!O6:AR6)*'Sales Data'!L6</f>
        <v/>
      </c>
      <c r="G6" s="207">
        <f>SUMPRODUCT('Sales Data'!O6:AR6)*'Sales Data'!K6</f>
        <v/>
      </c>
      <c r="H6" s="207">
        <f>F6-G6</f>
        <v/>
      </c>
    </row>
    <row r="7" ht="15" customHeight="1" s="133">
      <c r="A7" s="167" t="inlineStr">
        <is>
          <t>PK-1005</t>
        </is>
      </c>
      <c r="B7" s="167" t="inlineStr">
        <is>
          <t>Vivo Y36</t>
        </is>
      </c>
      <c r="C7" s="167" t="inlineStr">
        <is>
          <t>Electronics &amp; Appliances</t>
        </is>
      </c>
      <c r="D7" s="167" t="inlineStr">
        <is>
          <t>Mobile Phones</t>
        </is>
      </c>
      <c r="E7" s="204">
        <f>SUMPRODUCT('Sales Data'!O7:AR7)</f>
        <v/>
      </c>
      <c r="F7" s="205">
        <f>SUMPRODUCT('Sales Data'!O7:AR7)*'Sales Data'!L7</f>
        <v/>
      </c>
      <c r="G7" s="205">
        <f>SUMPRODUCT('Sales Data'!O7:AR7)*'Sales Data'!K7</f>
        <v/>
      </c>
      <c r="H7" s="205">
        <f>F7-G7</f>
        <v/>
      </c>
    </row>
    <row r="8" ht="15" customHeight="1" s="133">
      <c r="A8" s="187" t="inlineStr">
        <is>
          <t>PK-1006</t>
        </is>
      </c>
      <c r="B8" s="187" t="inlineStr">
        <is>
          <t>Vivo V27</t>
        </is>
      </c>
      <c r="C8" s="187" t="inlineStr">
        <is>
          <t>Electronics &amp; Appliances</t>
        </is>
      </c>
      <c r="D8" s="187" t="inlineStr">
        <is>
          <t>Mobile Phones</t>
        </is>
      </c>
      <c r="E8" s="206">
        <f>SUMPRODUCT('Sales Data'!O8:AR8)</f>
        <v/>
      </c>
      <c r="F8" s="207">
        <f>SUMPRODUCT('Sales Data'!O8:AR8)*'Sales Data'!L8</f>
        <v/>
      </c>
      <c r="G8" s="207">
        <f>SUMPRODUCT('Sales Data'!O8:AR8)*'Sales Data'!K8</f>
        <v/>
      </c>
      <c r="H8" s="207">
        <f>F8-G8</f>
        <v/>
      </c>
    </row>
    <row r="9" ht="15" customHeight="1" s="133">
      <c r="A9" s="167" t="inlineStr">
        <is>
          <t>PK-1007</t>
        </is>
      </c>
      <c r="B9" s="167" t="inlineStr">
        <is>
          <t>Oppo A78</t>
        </is>
      </c>
      <c r="C9" s="167" t="inlineStr">
        <is>
          <t>Electronics &amp; Appliances</t>
        </is>
      </c>
      <c r="D9" s="167" t="inlineStr">
        <is>
          <t>Mobile Phones</t>
        </is>
      </c>
      <c r="E9" s="204">
        <f>SUMPRODUCT('Sales Data'!O9:AR9)</f>
        <v/>
      </c>
      <c r="F9" s="205">
        <f>SUMPRODUCT('Sales Data'!O9:AR9)*'Sales Data'!L9</f>
        <v/>
      </c>
      <c r="G9" s="205">
        <f>SUMPRODUCT('Sales Data'!O9:AR9)*'Sales Data'!K9</f>
        <v/>
      </c>
      <c r="H9" s="205">
        <f>F9-G9</f>
        <v/>
      </c>
    </row>
    <row r="10" ht="15" customHeight="1" s="133">
      <c r="A10" s="187" t="inlineStr">
        <is>
          <t>PK-1008</t>
        </is>
      </c>
      <c r="B10" s="187" t="inlineStr">
        <is>
          <t>Oppo Reno10</t>
        </is>
      </c>
      <c r="C10" s="187" t="inlineStr">
        <is>
          <t>Electronics &amp; Appliances</t>
        </is>
      </c>
      <c r="D10" s="187" t="inlineStr">
        <is>
          <t>Mobile Phones</t>
        </is>
      </c>
      <c r="E10" s="206">
        <f>SUMPRODUCT('Sales Data'!O10:AR10)</f>
        <v/>
      </c>
      <c r="F10" s="207">
        <f>SUMPRODUCT('Sales Data'!O10:AR10)*'Sales Data'!L10</f>
        <v/>
      </c>
      <c r="G10" s="207">
        <f>SUMPRODUCT('Sales Data'!O10:AR10)*'Sales Data'!K10</f>
        <v/>
      </c>
      <c r="H10" s="207">
        <f>F10-G10</f>
        <v/>
      </c>
    </row>
    <row r="11" ht="15" customHeight="1" s="133">
      <c r="A11" s="167" t="inlineStr">
        <is>
          <t>PK-1009</t>
        </is>
      </c>
      <c r="B11" s="167" t="inlineStr">
        <is>
          <t>Realme 11 Pro</t>
        </is>
      </c>
      <c r="C11" s="167" t="inlineStr">
        <is>
          <t>Electronics &amp; Appliances</t>
        </is>
      </c>
      <c r="D11" s="167" t="inlineStr">
        <is>
          <t>Mobile Phones</t>
        </is>
      </c>
      <c r="E11" s="204">
        <f>SUMPRODUCT('Sales Data'!O11:AR11)</f>
        <v/>
      </c>
      <c r="F11" s="205">
        <f>SUMPRODUCT('Sales Data'!O11:AR11)*'Sales Data'!L11</f>
        <v/>
      </c>
      <c r="G11" s="205">
        <f>SUMPRODUCT('Sales Data'!O11:AR11)*'Sales Data'!K11</f>
        <v/>
      </c>
      <c r="H11" s="205">
        <f>F11-G11</f>
        <v/>
      </c>
    </row>
    <row r="12" ht="15" customHeight="1" s="133">
      <c r="A12" s="187" t="inlineStr">
        <is>
          <t>PK-1010</t>
        </is>
      </c>
      <c r="B12" s="187" t="inlineStr">
        <is>
          <t>Xiaomi Redmi 12</t>
        </is>
      </c>
      <c r="C12" s="187" t="inlineStr">
        <is>
          <t>Electronics &amp; Appliances</t>
        </is>
      </c>
      <c r="D12" s="187" t="inlineStr">
        <is>
          <t>Mobile Phones</t>
        </is>
      </c>
      <c r="E12" s="206">
        <f>SUMPRODUCT('Sales Data'!O12:AR12)</f>
        <v/>
      </c>
      <c r="F12" s="207">
        <f>SUMPRODUCT('Sales Data'!O12:AR12)*'Sales Data'!L12</f>
        <v/>
      </c>
      <c r="G12" s="207">
        <f>SUMPRODUCT('Sales Data'!O12:AR12)*'Sales Data'!K12</f>
        <v/>
      </c>
      <c r="H12" s="207">
        <f>F12-G12</f>
        <v/>
      </c>
    </row>
    <row r="13" ht="15" customHeight="1" s="133">
      <c r="A13" s="167" t="inlineStr">
        <is>
          <t>PK-1011</t>
        </is>
      </c>
      <c r="B13" s="167" t="inlineStr">
        <is>
          <t>Dell Inspiron 15</t>
        </is>
      </c>
      <c r="C13" s="167" t="inlineStr">
        <is>
          <t>Electronics &amp; Appliances</t>
        </is>
      </c>
      <c r="D13" s="167" t="inlineStr">
        <is>
          <t>Laptops &amp; Computers</t>
        </is>
      </c>
      <c r="E13" s="204">
        <f>SUMPRODUCT('Sales Data'!O13:AR13)</f>
        <v/>
      </c>
      <c r="F13" s="205">
        <f>SUMPRODUCT('Sales Data'!O13:AR13)*'Sales Data'!L13</f>
        <v/>
      </c>
      <c r="G13" s="205">
        <f>SUMPRODUCT('Sales Data'!O13:AR13)*'Sales Data'!K13</f>
        <v/>
      </c>
      <c r="H13" s="205">
        <f>F13-G13</f>
        <v/>
      </c>
    </row>
    <row r="14" ht="15" customHeight="1" s="133">
      <c r="A14" s="187" t="inlineStr">
        <is>
          <t>PK-1012</t>
        </is>
      </c>
      <c r="B14" s="187" t="inlineStr">
        <is>
          <t>HP Pavilion 14</t>
        </is>
      </c>
      <c r="C14" s="187" t="inlineStr">
        <is>
          <t>Electronics &amp; Appliances</t>
        </is>
      </c>
      <c r="D14" s="187" t="inlineStr">
        <is>
          <t>Laptops &amp; Computers</t>
        </is>
      </c>
      <c r="E14" s="206">
        <f>SUMPRODUCT('Sales Data'!O14:AR14)</f>
        <v/>
      </c>
      <c r="F14" s="207">
        <f>SUMPRODUCT('Sales Data'!O14:AR14)*'Sales Data'!L14</f>
        <v/>
      </c>
      <c r="G14" s="207">
        <f>SUMPRODUCT('Sales Data'!O14:AR14)*'Sales Data'!K14</f>
        <v/>
      </c>
      <c r="H14" s="207">
        <f>F14-G14</f>
        <v/>
      </c>
    </row>
    <row r="15" ht="15" customHeight="1" s="133">
      <c r="A15" s="167" t="inlineStr">
        <is>
          <t>PK-1013</t>
        </is>
      </c>
      <c r="B15" s="167" t="inlineStr">
        <is>
          <t>Lenovo IdeaPad 3</t>
        </is>
      </c>
      <c r="C15" s="167" t="inlineStr">
        <is>
          <t>Electronics &amp; Appliances</t>
        </is>
      </c>
      <c r="D15" s="167" t="inlineStr">
        <is>
          <t>Laptops &amp; Computers</t>
        </is>
      </c>
      <c r="E15" s="204">
        <f>SUMPRODUCT('Sales Data'!O15:AR15)</f>
        <v/>
      </c>
      <c r="F15" s="205">
        <f>SUMPRODUCT('Sales Data'!O15:AR15)*'Sales Data'!L15</f>
        <v/>
      </c>
      <c r="G15" s="205">
        <f>SUMPRODUCT('Sales Data'!O15:AR15)*'Sales Data'!K15</f>
        <v/>
      </c>
      <c r="H15" s="205">
        <f>F15-G15</f>
        <v/>
      </c>
    </row>
    <row r="16" ht="15" customHeight="1" s="133">
      <c r="A16" s="187" t="inlineStr">
        <is>
          <t>PK-1014</t>
        </is>
      </c>
      <c r="B16" s="187" t="inlineStr">
        <is>
          <t>Asus VivoBook 15</t>
        </is>
      </c>
      <c r="C16" s="187" t="inlineStr">
        <is>
          <t>Electronics &amp; Appliances</t>
        </is>
      </c>
      <c r="D16" s="187" t="inlineStr">
        <is>
          <t>Laptops &amp; Computers</t>
        </is>
      </c>
      <c r="E16" s="206">
        <f>SUMPRODUCT('Sales Data'!O16:AR16)</f>
        <v/>
      </c>
      <c r="F16" s="207">
        <f>SUMPRODUCT('Sales Data'!O16:AR16)*'Sales Data'!L16</f>
        <v/>
      </c>
      <c r="G16" s="207">
        <f>SUMPRODUCT('Sales Data'!O16:AR16)*'Sales Data'!K16</f>
        <v/>
      </c>
      <c r="H16" s="207">
        <f>F16-G16</f>
        <v/>
      </c>
    </row>
    <row r="17" ht="15" customHeight="1" s="133">
      <c r="A17" s="167" t="inlineStr">
        <is>
          <t>PK-1015</t>
        </is>
      </c>
      <c r="B17" s="167" t="inlineStr">
        <is>
          <t>Dell Latitude 5520</t>
        </is>
      </c>
      <c r="C17" s="167" t="inlineStr">
        <is>
          <t>Electronics &amp; Appliances</t>
        </is>
      </c>
      <c r="D17" s="167" t="inlineStr">
        <is>
          <t>Laptops &amp; Computers</t>
        </is>
      </c>
      <c r="E17" s="204">
        <f>SUMPRODUCT('Sales Data'!O17:AR17)</f>
        <v/>
      </c>
      <c r="F17" s="205">
        <f>SUMPRODUCT('Sales Data'!O17:AR17)*'Sales Data'!L17</f>
        <v/>
      </c>
      <c r="G17" s="205">
        <f>SUMPRODUCT('Sales Data'!O17:AR17)*'Sales Data'!K17</f>
        <v/>
      </c>
      <c r="H17" s="205">
        <f>F17-G17</f>
        <v/>
      </c>
    </row>
    <row r="18" ht="15" customHeight="1" s="133">
      <c r="A18" s="187" t="inlineStr">
        <is>
          <t>PK-1016</t>
        </is>
      </c>
      <c r="B18" s="187" t="inlineStr">
        <is>
          <t>HP ProBook 450</t>
        </is>
      </c>
      <c r="C18" s="187" t="inlineStr">
        <is>
          <t>Electronics &amp; Appliances</t>
        </is>
      </c>
      <c r="D18" s="187" t="inlineStr">
        <is>
          <t>Laptops &amp; Computers</t>
        </is>
      </c>
      <c r="E18" s="206">
        <f>SUMPRODUCT('Sales Data'!O18:AR18)</f>
        <v/>
      </c>
      <c r="F18" s="207">
        <f>SUMPRODUCT('Sales Data'!O18:AR18)*'Sales Data'!L18</f>
        <v/>
      </c>
      <c r="G18" s="207">
        <f>SUMPRODUCT('Sales Data'!O18:AR18)*'Sales Data'!K18</f>
        <v/>
      </c>
      <c r="H18" s="207">
        <f>F18-G18</f>
        <v/>
      </c>
    </row>
    <row r="19" ht="15" customHeight="1" s="133">
      <c r="A19" s="167" t="inlineStr">
        <is>
          <t>PK-1017</t>
        </is>
      </c>
      <c r="B19" s="167" t="inlineStr">
        <is>
          <t>Apple MacBook Air M2</t>
        </is>
      </c>
      <c r="C19" s="167" t="inlineStr">
        <is>
          <t>Electronics &amp; Appliances</t>
        </is>
      </c>
      <c r="D19" s="167" t="inlineStr">
        <is>
          <t>Laptops &amp; Computers</t>
        </is>
      </c>
      <c r="E19" s="204">
        <f>SUMPRODUCT('Sales Data'!O19:AR19)</f>
        <v/>
      </c>
      <c r="F19" s="205">
        <f>SUMPRODUCT('Sales Data'!O19:AR19)*'Sales Data'!L19</f>
        <v/>
      </c>
      <c r="G19" s="205">
        <f>SUMPRODUCT('Sales Data'!O19:AR19)*'Sales Data'!K19</f>
        <v/>
      </c>
      <c r="H19" s="205">
        <f>F19-G19</f>
        <v/>
      </c>
    </row>
    <row r="20" ht="15" customHeight="1" s="133">
      <c r="A20" s="187" t="inlineStr">
        <is>
          <t>PK-1018</t>
        </is>
      </c>
      <c r="B20" s="187" t="inlineStr">
        <is>
          <t>Acer Aspire 7</t>
        </is>
      </c>
      <c r="C20" s="187" t="inlineStr">
        <is>
          <t>Electronics &amp; Appliances</t>
        </is>
      </c>
      <c r="D20" s="187" t="inlineStr">
        <is>
          <t>Laptops &amp; Computers</t>
        </is>
      </c>
      <c r="E20" s="206">
        <f>SUMPRODUCT('Sales Data'!O20:AR20)</f>
        <v/>
      </c>
      <c r="F20" s="207">
        <f>SUMPRODUCT('Sales Data'!O20:AR20)*'Sales Data'!L20</f>
        <v/>
      </c>
      <c r="G20" s="207">
        <f>SUMPRODUCT('Sales Data'!O20:AR20)*'Sales Data'!K20</f>
        <v/>
      </c>
      <c r="H20" s="207">
        <f>F20-G20</f>
        <v/>
      </c>
    </row>
    <row r="21" ht="15" customHeight="1" s="133">
      <c r="A21" s="167" t="inlineStr">
        <is>
          <t>PK-1019</t>
        </is>
      </c>
      <c r="B21" s="167" t="inlineStr">
        <is>
          <t>Samsung 43" 4K Smart TV</t>
        </is>
      </c>
      <c r="C21" s="167" t="inlineStr">
        <is>
          <t>Electronics &amp; Appliances</t>
        </is>
      </c>
      <c r="D21" s="167" t="inlineStr">
        <is>
          <t>Televisions</t>
        </is>
      </c>
      <c r="E21" s="204">
        <f>SUMPRODUCT('Sales Data'!O21:AR21)</f>
        <v/>
      </c>
      <c r="F21" s="205">
        <f>SUMPRODUCT('Sales Data'!O21:AR21)*'Sales Data'!L21</f>
        <v/>
      </c>
      <c r="G21" s="205">
        <f>SUMPRODUCT('Sales Data'!O21:AR21)*'Sales Data'!K21</f>
        <v/>
      </c>
      <c r="H21" s="205">
        <f>F21-G21</f>
        <v/>
      </c>
    </row>
    <row r="22" ht="15" customHeight="1" s="133">
      <c r="A22" s="187" t="inlineStr">
        <is>
          <t>PK-1020</t>
        </is>
      </c>
      <c r="B22" s="187" t="inlineStr">
        <is>
          <t>Samsung 55" QLED</t>
        </is>
      </c>
      <c r="C22" s="187" t="inlineStr">
        <is>
          <t>Electronics &amp; Appliances</t>
        </is>
      </c>
      <c r="D22" s="187" t="inlineStr">
        <is>
          <t>Televisions</t>
        </is>
      </c>
      <c r="E22" s="206">
        <f>SUMPRODUCT('Sales Data'!O22:AR22)</f>
        <v/>
      </c>
      <c r="F22" s="207">
        <f>SUMPRODUCT('Sales Data'!O22:AR22)*'Sales Data'!L22</f>
        <v/>
      </c>
      <c r="G22" s="207">
        <f>SUMPRODUCT('Sales Data'!O22:AR22)*'Sales Data'!K22</f>
        <v/>
      </c>
      <c r="H22" s="207">
        <f>F22-G22</f>
        <v/>
      </c>
    </row>
    <row r="23" ht="15" customHeight="1" s="133">
      <c r="A23" s="167" t="inlineStr">
        <is>
          <t>PK-1021</t>
        </is>
      </c>
      <c r="B23" s="167" t="inlineStr">
        <is>
          <t>TCL 40" Smart TV</t>
        </is>
      </c>
      <c r="C23" s="167" t="inlineStr">
        <is>
          <t>Electronics &amp; Appliances</t>
        </is>
      </c>
      <c r="D23" s="167" t="inlineStr">
        <is>
          <t>Televisions</t>
        </is>
      </c>
      <c r="E23" s="204">
        <f>SUMPRODUCT('Sales Data'!O23:AR23)</f>
        <v/>
      </c>
      <c r="F23" s="205">
        <f>SUMPRODUCT('Sales Data'!O23:AR23)*'Sales Data'!L23</f>
        <v/>
      </c>
      <c r="G23" s="205">
        <f>SUMPRODUCT('Sales Data'!O23:AR23)*'Sales Data'!K23</f>
        <v/>
      </c>
      <c r="H23" s="205">
        <f>F23-G23</f>
        <v/>
      </c>
    </row>
    <row r="24" ht="15" customHeight="1" s="133">
      <c r="A24" s="187" t="inlineStr">
        <is>
          <t>PK-1022</t>
        </is>
      </c>
      <c r="B24" s="187" t="inlineStr">
        <is>
          <t>TCL 50" 4K TV</t>
        </is>
      </c>
      <c r="C24" s="187" t="inlineStr">
        <is>
          <t>Electronics &amp; Appliances</t>
        </is>
      </c>
      <c r="D24" s="187" t="inlineStr">
        <is>
          <t>Televisions</t>
        </is>
      </c>
      <c r="E24" s="206">
        <f>SUMPRODUCT('Sales Data'!O24:AR24)</f>
        <v/>
      </c>
      <c r="F24" s="207">
        <f>SUMPRODUCT('Sales Data'!O24:AR24)*'Sales Data'!L24</f>
        <v/>
      </c>
      <c r="G24" s="207">
        <f>SUMPRODUCT('Sales Data'!O24:AR24)*'Sales Data'!K24</f>
        <v/>
      </c>
      <c r="H24" s="207">
        <f>F24-G24</f>
        <v/>
      </c>
    </row>
    <row r="25" ht="15" customHeight="1" s="133">
      <c r="A25" s="167" t="inlineStr">
        <is>
          <t>PK-1023</t>
        </is>
      </c>
      <c r="B25" s="167" t="inlineStr">
        <is>
          <t>Haier 32" LED</t>
        </is>
      </c>
      <c r="C25" s="167" t="inlineStr">
        <is>
          <t>Electronics &amp; Appliances</t>
        </is>
      </c>
      <c r="D25" s="167" t="inlineStr">
        <is>
          <t>Televisions</t>
        </is>
      </c>
      <c r="E25" s="204">
        <f>SUMPRODUCT('Sales Data'!O25:AR25)</f>
        <v/>
      </c>
      <c r="F25" s="205">
        <f>SUMPRODUCT('Sales Data'!O25:AR25)*'Sales Data'!L25</f>
        <v/>
      </c>
      <c r="G25" s="205">
        <f>SUMPRODUCT('Sales Data'!O25:AR25)*'Sales Data'!K25</f>
        <v/>
      </c>
      <c r="H25" s="205">
        <f>F25-G25</f>
        <v/>
      </c>
    </row>
    <row r="26" ht="15" customHeight="1" s="133">
      <c r="A26" s="187" t="inlineStr">
        <is>
          <t>PK-1024</t>
        </is>
      </c>
      <c r="B26" s="187" t="inlineStr">
        <is>
          <t>Haier 43" Smart TV</t>
        </is>
      </c>
      <c r="C26" s="187" t="inlineStr">
        <is>
          <t>Electronics &amp; Appliances</t>
        </is>
      </c>
      <c r="D26" s="187" t="inlineStr">
        <is>
          <t>Televisions</t>
        </is>
      </c>
      <c r="E26" s="206">
        <f>SUMPRODUCT('Sales Data'!O26:AR26)</f>
        <v/>
      </c>
      <c r="F26" s="207">
        <f>SUMPRODUCT('Sales Data'!O26:AR26)*'Sales Data'!L26</f>
        <v/>
      </c>
      <c r="G26" s="207">
        <f>SUMPRODUCT('Sales Data'!O26:AR26)*'Sales Data'!K26</f>
        <v/>
      </c>
      <c r="H26" s="207">
        <f>F26-G26</f>
        <v/>
      </c>
    </row>
    <row r="27" ht="15" customHeight="1" s="133">
      <c r="A27" s="167" t="inlineStr">
        <is>
          <t>PK-1025</t>
        </is>
      </c>
      <c r="B27" s="167" t="inlineStr">
        <is>
          <t>LG 55" OLED</t>
        </is>
      </c>
      <c r="C27" s="167" t="inlineStr">
        <is>
          <t>Electronics &amp; Appliances</t>
        </is>
      </c>
      <c r="D27" s="167" t="inlineStr">
        <is>
          <t>Televisions</t>
        </is>
      </c>
      <c r="E27" s="204">
        <f>SUMPRODUCT('Sales Data'!O27:AR27)</f>
        <v/>
      </c>
      <c r="F27" s="205">
        <f>SUMPRODUCT('Sales Data'!O27:AR27)*'Sales Data'!L27</f>
        <v/>
      </c>
      <c r="G27" s="205">
        <f>SUMPRODUCT('Sales Data'!O27:AR27)*'Sales Data'!K27</f>
        <v/>
      </c>
      <c r="H27" s="205">
        <f>F27-G27</f>
        <v/>
      </c>
    </row>
    <row r="28" ht="15" customHeight="1" s="133">
      <c r="A28" s="187" t="inlineStr">
        <is>
          <t>PK-1026</t>
        </is>
      </c>
      <c r="B28" s="187" t="inlineStr">
        <is>
          <t>Sony Bravia 50"</t>
        </is>
      </c>
      <c r="C28" s="187" t="inlineStr">
        <is>
          <t>Electronics &amp; Appliances</t>
        </is>
      </c>
      <c r="D28" s="187" t="inlineStr">
        <is>
          <t>Televisions</t>
        </is>
      </c>
      <c r="E28" s="206">
        <f>SUMPRODUCT('Sales Data'!O28:AR28)</f>
        <v/>
      </c>
      <c r="F28" s="207">
        <f>SUMPRODUCT('Sales Data'!O28:AR28)*'Sales Data'!L28</f>
        <v/>
      </c>
      <c r="G28" s="207">
        <f>SUMPRODUCT('Sales Data'!O28:AR28)*'Sales Data'!K28</f>
        <v/>
      </c>
      <c r="H28" s="207">
        <f>F28-G28</f>
        <v/>
      </c>
    </row>
    <row r="29" ht="15" customHeight="1" s="133">
      <c r="A29" s="167" t="inlineStr">
        <is>
          <t>PK-1027</t>
        </is>
      </c>
      <c r="B29" s="167" t="inlineStr">
        <is>
          <t>Dawlance Inverter AC 1.5T</t>
        </is>
      </c>
      <c r="C29" s="167" t="inlineStr">
        <is>
          <t>Electronics &amp; Appliances</t>
        </is>
      </c>
      <c r="D29" s="167" t="inlineStr">
        <is>
          <t>Home Appliances</t>
        </is>
      </c>
      <c r="E29" s="204">
        <f>SUMPRODUCT('Sales Data'!O29:AR29)</f>
        <v/>
      </c>
      <c r="F29" s="205">
        <f>SUMPRODUCT('Sales Data'!O29:AR29)*'Sales Data'!L29</f>
        <v/>
      </c>
      <c r="G29" s="205">
        <f>SUMPRODUCT('Sales Data'!O29:AR29)*'Sales Data'!K29</f>
        <v/>
      </c>
      <c r="H29" s="205">
        <f>F29-G29</f>
        <v/>
      </c>
    </row>
    <row r="30" ht="15" customHeight="1" s="133">
      <c r="A30" s="187" t="inlineStr">
        <is>
          <t>PK-1028</t>
        </is>
      </c>
      <c r="B30" s="187" t="inlineStr">
        <is>
          <t>Haier Inverter AC 1T</t>
        </is>
      </c>
      <c r="C30" s="187" t="inlineStr">
        <is>
          <t>Electronics &amp; Appliances</t>
        </is>
      </c>
      <c r="D30" s="187" t="inlineStr">
        <is>
          <t>Home Appliances</t>
        </is>
      </c>
      <c r="E30" s="206">
        <f>SUMPRODUCT('Sales Data'!O30:AR30)</f>
        <v/>
      </c>
      <c r="F30" s="207">
        <f>SUMPRODUCT('Sales Data'!O30:AR30)*'Sales Data'!L30</f>
        <v/>
      </c>
      <c r="G30" s="207">
        <f>SUMPRODUCT('Sales Data'!O30:AR30)*'Sales Data'!K30</f>
        <v/>
      </c>
      <c r="H30" s="207">
        <f>F30-G30</f>
        <v/>
      </c>
    </row>
    <row r="31" ht="15" customHeight="1" s="133">
      <c r="A31" s="167" t="inlineStr">
        <is>
          <t>PK-1029</t>
        </is>
      </c>
      <c r="B31" s="167" t="inlineStr">
        <is>
          <t>Orient AC 1.5T</t>
        </is>
      </c>
      <c r="C31" s="167" t="inlineStr">
        <is>
          <t>Electronics &amp; Appliances</t>
        </is>
      </c>
      <c r="D31" s="167" t="inlineStr">
        <is>
          <t>Home Appliances</t>
        </is>
      </c>
      <c r="E31" s="204">
        <f>SUMPRODUCT('Sales Data'!O31:AR31)</f>
        <v/>
      </c>
      <c r="F31" s="205">
        <f>SUMPRODUCT('Sales Data'!O31:AR31)*'Sales Data'!L31</f>
        <v/>
      </c>
      <c r="G31" s="205">
        <f>SUMPRODUCT('Sales Data'!O31:AR31)*'Sales Data'!K31</f>
        <v/>
      </c>
      <c r="H31" s="205">
        <f>F31-G31</f>
        <v/>
      </c>
    </row>
    <row r="32" ht="15" customHeight="1" s="133">
      <c r="A32" s="187" t="inlineStr">
        <is>
          <t>PK-1030</t>
        </is>
      </c>
      <c r="B32" s="187" t="inlineStr">
        <is>
          <t>Dawlance Refrigerator 12CF</t>
        </is>
      </c>
      <c r="C32" s="187" t="inlineStr">
        <is>
          <t>Electronics &amp; Appliances</t>
        </is>
      </c>
      <c r="D32" s="187" t="inlineStr">
        <is>
          <t>Home Appliances</t>
        </is>
      </c>
      <c r="E32" s="206">
        <f>SUMPRODUCT('Sales Data'!O32:AR32)</f>
        <v/>
      </c>
      <c r="F32" s="207">
        <f>SUMPRODUCT('Sales Data'!O32:AR32)*'Sales Data'!L32</f>
        <v/>
      </c>
      <c r="G32" s="207">
        <f>SUMPRODUCT('Sales Data'!O32:AR32)*'Sales Data'!K32</f>
        <v/>
      </c>
      <c r="H32" s="207">
        <f>F32-G32</f>
        <v/>
      </c>
    </row>
    <row r="33" ht="15" customHeight="1" s="133">
      <c r="A33" s="167" t="inlineStr">
        <is>
          <t>PK-1031</t>
        </is>
      </c>
      <c r="B33" s="167" t="inlineStr">
        <is>
          <t>Haier Fridge 14CF</t>
        </is>
      </c>
      <c r="C33" s="167" t="inlineStr">
        <is>
          <t>Electronics &amp; Appliances</t>
        </is>
      </c>
      <c r="D33" s="167" t="inlineStr">
        <is>
          <t>Home Appliances</t>
        </is>
      </c>
      <c r="E33" s="204">
        <f>SUMPRODUCT('Sales Data'!O33:AR33)</f>
        <v/>
      </c>
      <c r="F33" s="205">
        <f>SUMPRODUCT('Sales Data'!O33:AR33)*'Sales Data'!L33</f>
        <v/>
      </c>
      <c r="G33" s="205">
        <f>SUMPRODUCT('Sales Data'!O33:AR33)*'Sales Data'!K33</f>
        <v/>
      </c>
      <c r="H33" s="205">
        <f>F33-G33</f>
        <v/>
      </c>
    </row>
    <row r="34" ht="15" customHeight="1" s="133">
      <c r="A34" s="187" t="inlineStr">
        <is>
          <t>PK-1032</t>
        </is>
      </c>
      <c r="B34" s="187" t="inlineStr">
        <is>
          <t>PEL Refrigerator 16CF</t>
        </is>
      </c>
      <c r="C34" s="187" t="inlineStr">
        <is>
          <t>Electronics &amp; Appliances</t>
        </is>
      </c>
      <c r="D34" s="187" t="inlineStr">
        <is>
          <t>Home Appliances</t>
        </is>
      </c>
      <c r="E34" s="206">
        <f>SUMPRODUCT('Sales Data'!O34:AR34)</f>
        <v/>
      </c>
      <c r="F34" s="207">
        <f>SUMPRODUCT('Sales Data'!O34:AR34)*'Sales Data'!L34</f>
        <v/>
      </c>
      <c r="G34" s="207">
        <f>SUMPRODUCT('Sales Data'!O34:AR34)*'Sales Data'!K34</f>
        <v/>
      </c>
      <c r="H34" s="207">
        <f>F34-G34</f>
        <v/>
      </c>
    </row>
    <row r="35" ht="15" customHeight="1" s="133">
      <c r="A35" s="167" t="inlineStr">
        <is>
          <t>PK-1033</t>
        </is>
      </c>
      <c r="B35" s="167" t="inlineStr">
        <is>
          <t>Dawlance Washing Machine</t>
        </is>
      </c>
      <c r="C35" s="167" t="inlineStr">
        <is>
          <t>Electronics &amp; Appliances</t>
        </is>
      </c>
      <c r="D35" s="167" t="inlineStr">
        <is>
          <t>Home Appliances</t>
        </is>
      </c>
      <c r="E35" s="204">
        <f>SUMPRODUCT('Sales Data'!O35:AR35)</f>
        <v/>
      </c>
      <c r="F35" s="205">
        <f>SUMPRODUCT('Sales Data'!O35:AR35)*'Sales Data'!L35</f>
        <v/>
      </c>
      <c r="G35" s="205">
        <f>SUMPRODUCT('Sales Data'!O35:AR35)*'Sales Data'!K35</f>
        <v/>
      </c>
      <c r="H35" s="205">
        <f>F35-G35</f>
        <v/>
      </c>
    </row>
    <row r="36" ht="15" customHeight="1" s="133">
      <c r="A36" s="187" t="inlineStr">
        <is>
          <t>PK-1034</t>
        </is>
      </c>
      <c r="B36" s="187" t="inlineStr">
        <is>
          <t>Haier Front Load 8kg</t>
        </is>
      </c>
      <c r="C36" s="187" t="inlineStr">
        <is>
          <t>Electronics &amp; Appliances</t>
        </is>
      </c>
      <c r="D36" s="187" t="inlineStr">
        <is>
          <t>Home Appliances</t>
        </is>
      </c>
      <c r="E36" s="206">
        <f>SUMPRODUCT('Sales Data'!O36:AR36)</f>
        <v/>
      </c>
      <c r="F36" s="207">
        <f>SUMPRODUCT('Sales Data'!O36:AR36)*'Sales Data'!L36</f>
        <v/>
      </c>
      <c r="G36" s="207">
        <f>SUMPRODUCT('Sales Data'!O36:AR36)*'Sales Data'!K36</f>
        <v/>
      </c>
      <c r="H36" s="207">
        <f>F36-G36</f>
        <v/>
      </c>
    </row>
    <row r="37" ht="15" customHeight="1" s="133">
      <c r="A37" s="167" t="inlineStr">
        <is>
          <t>PK-1035</t>
        </is>
      </c>
      <c r="B37" s="167" t="inlineStr">
        <is>
          <t>National Microwave 30L</t>
        </is>
      </c>
      <c r="C37" s="167" t="inlineStr">
        <is>
          <t>Electronics &amp; Appliances</t>
        </is>
      </c>
      <c r="D37" s="167" t="inlineStr">
        <is>
          <t>Home Appliances</t>
        </is>
      </c>
      <c r="E37" s="204">
        <f>SUMPRODUCT('Sales Data'!O37:AR37)</f>
        <v/>
      </c>
      <c r="F37" s="205">
        <f>SUMPRODUCT('Sales Data'!O37:AR37)*'Sales Data'!L37</f>
        <v/>
      </c>
      <c r="G37" s="205">
        <f>SUMPRODUCT('Sales Data'!O37:AR37)*'Sales Data'!K37</f>
        <v/>
      </c>
      <c r="H37" s="205">
        <f>F37-G37</f>
        <v/>
      </c>
    </row>
    <row r="38" ht="15" customHeight="1" s="133">
      <c r="A38" s="187" t="inlineStr">
        <is>
          <t>PK-1036</t>
        </is>
      </c>
      <c r="B38" s="187" t="inlineStr">
        <is>
          <t>Kenwood Blender</t>
        </is>
      </c>
      <c r="C38" s="187" t="inlineStr">
        <is>
          <t>Electronics &amp; Appliances</t>
        </is>
      </c>
      <c r="D38" s="187" t="inlineStr">
        <is>
          <t>Home Appliances</t>
        </is>
      </c>
      <c r="E38" s="206">
        <f>SUMPRODUCT('Sales Data'!O38:AR38)</f>
        <v/>
      </c>
      <c r="F38" s="207">
        <f>SUMPRODUCT('Sales Data'!O38:AR38)*'Sales Data'!L38</f>
        <v/>
      </c>
      <c r="G38" s="207">
        <f>SUMPRODUCT('Sales Data'!O38:AR38)*'Sales Data'!K38</f>
        <v/>
      </c>
      <c r="H38" s="207">
        <f>F38-G38</f>
        <v/>
      </c>
    </row>
    <row r="39" ht="15" customHeight="1" s="133">
      <c r="A39" s="167" t="inlineStr">
        <is>
          <t>PK-1037</t>
        </is>
      </c>
      <c r="B39" s="167" t="inlineStr">
        <is>
          <t>Basmati Rice 25kg</t>
        </is>
      </c>
      <c r="C39" s="167" t="inlineStr">
        <is>
          <t>Grocery &amp; Food Items</t>
        </is>
      </c>
      <c r="D39" s="167" t="inlineStr">
        <is>
          <t>Staple Foods</t>
        </is>
      </c>
      <c r="E39" s="204">
        <f>SUMPRODUCT('Sales Data'!O39:AR39)</f>
        <v/>
      </c>
      <c r="F39" s="205">
        <f>SUMPRODUCT('Sales Data'!O39:AR39)*'Sales Data'!L39</f>
        <v/>
      </c>
      <c r="G39" s="205">
        <f>SUMPRODUCT('Sales Data'!O39:AR39)*'Sales Data'!K39</f>
        <v/>
      </c>
      <c r="H39" s="205">
        <f>F39-G39</f>
        <v/>
      </c>
    </row>
    <row r="40" ht="15" customHeight="1" s="133">
      <c r="A40" s="187" t="inlineStr">
        <is>
          <t>PK-1038</t>
        </is>
      </c>
      <c r="B40" s="187" t="inlineStr">
        <is>
          <t>Basmati Rice 5kg</t>
        </is>
      </c>
      <c r="C40" s="187" t="inlineStr">
        <is>
          <t>Grocery &amp; Food Items</t>
        </is>
      </c>
      <c r="D40" s="187" t="inlineStr">
        <is>
          <t>Staple Foods</t>
        </is>
      </c>
      <c r="E40" s="206">
        <f>SUMPRODUCT('Sales Data'!O40:AR40)</f>
        <v/>
      </c>
      <c r="F40" s="207">
        <f>SUMPRODUCT('Sales Data'!O40:AR40)*'Sales Data'!L40</f>
        <v/>
      </c>
      <c r="G40" s="207">
        <f>SUMPRODUCT('Sales Data'!O40:AR40)*'Sales Data'!K40</f>
        <v/>
      </c>
      <c r="H40" s="207">
        <f>F40-G40</f>
        <v/>
      </c>
    </row>
    <row r="41" ht="15" customHeight="1" s="133">
      <c r="A41" s="167" t="inlineStr">
        <is>
          <t>PK-1039</t>
        </is>
      </c>
      <c r="B41" s="167" t="inlineStr">
        <is>
          <t>Wheat Flour Atta 10kg</t>
        </is>
      </c>
      <c r="C41" s="167" t="inlineStr">
        <is>
          <t>Grocery &amp; Food Items</t>
        </is>
      </c>
      <c r="D41" s="167" t="inlineStr">
        <is>
          <t>Staple Foods</t>
        </is>
      </c>
      <c r="E41" s="204">
        <f>SUMPRODUCT('Sales Data'!O41:AR41)</f>
        <v/>
      </c>
      <c r="F41" s="205">
        <f>SUMPRODUCT('Sales Data'!O41:AR41)*'Sales Data'!L41</f>
        <v/>
      </c>
      <c r="G41" s="205">
        <f>SUMPRODUCT('Sales Data'!O41:AR41)*'Sales Data'!K41</f>
        <v/>
      </c>
      <c r="H41" s="205">
        <f>F41-G41</f>
        <v/>
      </c>
    </row>
    <row r="42" ht="15" customHeight="1" s="133">
      <c r="A42" s="187" t="inlineStr">
        <is>
          <t>PK-1040</t>
        </is>
      </c>
      <c r="B42" s="187" t="inlineStr">
        <is>
          <t>Wheat Flour Atta 5kg</t>
        </is>
      </c>
      <c r="C42" s="187" t="inlineStr">
        <is>
          <t>Grocery &amp; Food Items</t>
        </is>
      </c>
      <c r="D42" s="187" t="inlineStr">
        <is>
          <t>Staple Foods</t>
        </is>
      </c>
      <c r="E42" s="206">
        <f>SUMPRODUCT('Sales Data'!O42:AR42)</f>
        <v/>
      </c>
      <c r="F42" s="207">
        <f>SUMPRODUCT('Sales Data'!O42:AR42)*'Sales Data'!L42</f>
        <v/>
      </c>
      <c r="G42" s="207">
        <f>SUMPRODUCT('Sales Data'!O42:AR42)*'Sales Data'!K42</f>
        <v/>
      </c>
      <c r="H42" s="207">
        <f>F42-G42</f>
        <v/>
      </c>
    </row>
    <row r="43" ht="15" customHeight="1" s="133">
      <c r="A43" s="167" t="inlineStr">
        <is>
          <t>PK-1041</t>
        </is>
      </c>
      <c r="B43" s="167" t="inlineStr">
        <is>
          <t>Sugar 5kg</t>
        </is>
      </c>
      <c r="C43" s="167" t="inlineStr">
        <is>
          <t>Grocery &amp; Food Items</t>
        </is>
      </c>
      <c r="D43" s="167" t="inlineStr">
        <is>
          <t>Staple Foods</t>
        </is>
      </c>
      <c r="E43" s="204">
        <f>SUMPRODUCT('Sales Data'!O43:AR43)</f>
        <v/>
      </c>
      <c r="F43" s="205">
        <f>SUMPRODUCT('Sales Data'!O43:AR43)*'Sales Data'!L43</f>
        <v/>
      </c>
      <c r="G43" s="205">
        <f>SUMPRODUCT('Sales Data'!O43:AR43)*'Sales Data'!K43</f>
        <v/>
      </c>
      <c r="H43" s="205">
        <f>F43-G43</f>
        <v/>
      </c>
    </row>
    <row r="44" ht="15" customHeight="1" s="133">
      <c r="A44" s="187" t="inlineStr">
        <is>
          <t>PK-1042</t>
        </is>
      </c>
      <c r="B44" s="187" t="inlineStr">
        <is>
          <t>Sugar 1kg</t>
        </is>
      </c>
      <c r="C44" s="187" t="inlineStr">
        <is>
          <t>Grocery &amp; Food Items</t>
        </is>
      </c>
      <c r="D44" s="187" t="inlineStr">
        <is>
          <t>Staple Foods</t>
        </is>
      </c>
      <c r="E44" s="206">
        <f>SUMPRODUCT('Sales Data'!O44:AR44)</f>
        <v/>
      </c>
      <c r="F44" s="207">
        <f>SUMPRODUCT('Sales Data'!O44:AR44)*'Sales Data'!L44</f>
        <v/>
      </c>
      <c r="G44" s="207">
        <f>SUMPRODUCT('Sales Data'!O44:AR44)*'Sales Data'!K44</f>
        <v/>
      </c>
      <c r="H44" s="207">
        <f>F44-G44</f>
        <v/>
      </c>
    </row>
    <row r="45" ht="15" customHeight="1" s="133">
      <c r="A45" s="167" t="inlineStr">
        <is>
          <t>PK-1043</t>
        </is>
      </c>
      <c r="B45" s="167" t="inlineStr">
        <is>
          <t>Dalda Cooking Oil 5L</t>
        </is>
      </c>
      <c r="C45" s="167" t="inlineStr">
        <is>
          <t>Grocery &amp; Food Items</t>
        </is>
      </c>
      <c r="D45" s="167" t="inlineStr">
        <is>
          <t>Staple Foods</t>
        </is>
      </c>
      <c r="E45" s="204">
        <f>SUMPRODUCT('Sales Data'!O45:AR45)</f>
        <v/>
      </c>
      <c r="F45" s="205">
        <f>SUMPRODUCT('Sales Data'!O45:AR45)*'Sales Data'!L45</f>
        <v/>
      </c>
      <c r="G45" s="205">
        <f>SUMPRODUCT('Sales Data'!O45:AR45)*'Sales Data'!K45</f>
        <v/>
      </c>
      <c r="H45" s="205">
        <f>F45-G45</f>
        <v/>
      </c>
    </row>
    <row r="46" ht="15" customHeight="1" s="133">
      <c r="A46" s="187" t="inlineStr">
        <is>
          <t>PK-1044</t>
        </is>
      </c>
      <c r="B46" s="187" t="inlineStr">
        <is>
          <t>Dalda Cooking Oil 1L</t>
        </is>
      </c>
      <c r="C46" s="187" t="inlineStr">
        <is>
          <t>Grocery &amp; Food Items</t>
        </is>
      </c>
      <c r="D46" s="187" t="inlineStr">
        <is>
          <t>Staple Foods</t>
        </is>
      </c>
      <c r="E46" s="206">
        <f>SUMPRODUCT('Sales Data'!O46:AR46)</f>
        <v/>
      </c>
      <c r="F46" s="207">
        <f>SUMPRODUCT('Sales Data'!O46:AR46)*'Sales Data'!L46</f>
        <v/>
      </c>
      <c r="G46" s="207">
        <f>SUMPRODUCT('Sales Data'!O46:AR46)*'Sales Data'!K46</f>
        <v/>
      </c>
      <c r="H46" s="207">
        <f>F46-G46</f>
        <v/>
      </c>
    </row>
    <row r="47" ht="15" customHeight="1" s="133">
      <c r="A47" s="167" t="inlineStr">
        <is>
          <t>PK-1045</t>
        </is>
      </c>
      <c r="B47" s="167" t="inlineStr">
        <is>
          <t>Sufi Cooking Oil 5L</t>
        </is>
      </c>
      <c r="C47" s="167" t="inlineStr">
        <is>
          <t>Grocery &amp; Food Items</t>
        </is>
      </c>
      <c r="D47" s="167" t="inlineStr">
        <is>
          <t>Staple Foods</t>
        </is>
      </c>
      <c r="E47" s="204">
        <f>SUMPRODUCT('Sales Data'!O47:AR47)</f>
        <v/>
      </c>
      <c r="F47" s="205">
        <f>SUMPRODUCT('Sales Data'!O47:AR47)*'Sales Data'!L47</f>
        <v/>
      </c>
      <c r="G47" s="205">
        <f>SUMPRODUCT('Sales Data'!O47:AR47)*'Sales Data'!K47</f>
        <v/>
      </c>
      <c r="H47" s="205">
        <f>F47-G47</f>
        <v/>
      </c>
    </row>
    <row r="48" ht="15" customHeight="1" s="133">
      <c r="A48" s="187" t="inlineStr">
        <is>
          <t>PK-1046</t>
        </is>
      </c>
      <c r="B48" s="187" t="inlineStr">
        <is>
          <t>Canola Oil 3L</t>
        </is>
      </c>
      <c r="C48" s="187" t="inlineStr">
        <is>
          <t>Grocery &amp; Food Items</t>
        </is>
      </c>
      <c r="D48" s="187" t="inlineStr">
        <is>
          <t>Staple Foods</t>
        </is>
      </c>
      <c r="E48" s="206">
        <f>SUMPRODUCT('Sales Data'!O48:AR48)</f>
        <v/>
      </c>
      <c r="F48" s="207">
        <f>SUMPRODUCT('Sales Data'!O48:AR48)*'Sales Data'!L48</f>
        <v/>
      </c>
      <c r="G48" s="207">
        <f>SUMPRODUCT('Sales Data'!O48:AR48)*'Sales Data'!K48</f>
        <v/>
      </c>
      <c r="H48" s="207">
        <f>F48-G48</f>
        <v/>
      </c>
    </row>
    <row r="49" ht="15" customHeight="1" s="133">
      <c r="A49" s="167" t="inlineStr">
        <is>
          <t>PK-1047</t>
        </is>
      </c>
      <c r="B49" s="167" t="inlineStr">
        <is>
          <t>National Biryani Masala 50g</t>
        </is>
      </c>
      <c r="C49" s="167" t="inlineStr">
        <is>
          <t>Grocery &amp; Food Items</t>
        </is>
      </c>
      <c r="D49" s="167" t="inlineStr">
        <is>
          <t>Spices &amp; Condiments</t>
        </is>
      </c>
      <c r="E49" s="204">
        <f>SUMPRODUCT('Sales Data'!O49:AR49)</f>
        <v/>
      </c>
      <c r="F49" s="205">
        <f>SUMPRODUCT('Sales Data'!O49:AR49)*'Sales Data'!L49</f>
        <v/>
      </c>
      <c r="G49" s="205">
        <f>SUMPRODUCT('Sales Data'!O49:AR49)*'Sales Data'!K49</f>
        <v/>
      </c>
      <c r="H49" s="205">
        <f>F49-G49</f>
        <v/>
      </c>
    </row>
    <row r="50" ht="15" customHeight="1" s="133">
      <c r="A50" s="187" t="inlineStr">
        <is>
          <t>PK-1048</t>
        </is>
      </c>
      <c r="B50" s="187" t="inlineStr">
        <is>
          <t>Shan Biryani Mix 60g</t>
        </is>
      </c>
      <c r="C50" s="187" t="inlineStr">
        <is>
          <t>Grocery &amp; Food Items</t>
        </is>
      </c>
      <c r="D50" s="187" t="inlineStr">
        <is>
          <t>Spices &amp; Condiments</t>
        </is>
      </c>
      <c r="E50" s="206">
        <f>SUMPRODUCT('Sales Data'!O50:AR50)</f>
        <v/>
      </c>
      <c r="F50" s="207">
        <f>SUMPRODUCT('Sales Data'!O50:AR50)*'Sales Data'!L50</f>
        <v/>
      </c>
      <c r="G50" s="207">
        <f>SUMPRODUCT('Sales Data'!O50:AR50)*'Sales Data'!K50</f>
        <v/>
      </c>
      <c r="H50" s="207">
        <f>F50-G50</f>
        <v/>
      </c>
    </row>
    <row r="51" ht="15" customHeight="1" s="133">
      <c r="A51" s="167" t="inlineStr">
        <is>
          <t>PK-1049</t>
        </is>
      </c>
      <c r="B51" s="167" t="inlineStr">
        <is>
          <t>Shan Karahi Masala 100g</t>
        </is>
      </c>
      <c r="C51" s="167" t="inlineStr">
        <is>
          <t>Grocery &amp; Food Items</t>
        </is>
      </c>
      <c r="D51" s="167" t="inlineStr">
        <is>
          <t>Spices &amp; Condiments</t>
        </is>
      </c>
      <c r="E51" s="204">
        <f>SUMPRODUCT('Sales Data'!O51:AR51)</f>
        <v/>
      </c>
      <c r="F51" s="205">
        <f>SUMPRODUCT('Sales Data'!O51:AR51)*'Sales Data'!L51</f>
        <v/>
      </c>
      <c r="G51" s="205">
        <f>SUMPRODUCT('Sales Data'!O51:AR51)*'Sales Data'!K51</f>
        <v/>
      </c>
      <c r="H51" s="205">
        <f>F51-G51</f>
        <v/>
      </c>
    </row>
    <row r="52" ht="15" customHeight="1" s="133">
      <c r="A52" s="187" t="inlineStr">
        <is>
          <t>PK-1050</t>
        </is>
      </c>
      <c r="B52" s="187" t="inlineStr">
        <is>
          <t>Mehran Nihari Masala</t>
        </is>
      </c>
      <c r="C52" s="187" t="inlineStr">
        <is>
          <t>Grocery &amp; Food Items</t>
        </is>
      </c>
      <c r="D52" s="187" t="inlineStr">
        <is>
          <t>Spices &amp; Condiments</t>
        </is>
      </c>
      <c r="E52" s="206">
        <f>SUMPRODUCT('Sales Data'!O52:AR52)</f>
        <v/>
      </c>
      <c r="F52" s="207">
        <f>SUMPRODUCT('Sales Data'!O52:AR52)*'Sales Data'!L52</f>
        <v/>
      </c>
      <c r="G52" s="207">
        <f>SUMPRODUCT('Sales Data'!O52:AR52)*'Sales Data'!K52</f>
        <v/>
      </c>
      <c r="H52" s="207">
        <f>F52-G52</f>
        <v/>
      </c>
    </row>
    <row r="53" ht="15" customHeight="1" s="133">
      <c r="A53" s="167" t="inlineStr">
        <is>
          <t>PK-1051</t>
        </is>
      </c>
      <c r="B53" s="167" t="inlineStr">
        <is>
          <t>Turmeric Powder 200g</t>
        </is>
      </c>
      <c r="C53" s="167" t="inlineStr">
        <is>
          <t>Grocery &amp; Food Items</t>
        </is>
      </c>
      <c r="D53" s="167" t="inlineStr">
        <is>
          <t>Spices &amp; Condiments</t>
        </is>
      </c>
      <c r="E53" s="204">
        <f>SUMPRODUCT('Sales Data'!O53:AR53)</f>
        <v/>
      </c>
      <c r="F53" s="205">
        <f>SUMPRODUCT('Sales Data'!O53:AR53)*'Sales Data'!L53</f>
        <v/>
      </c>
      <c r="G53" s="205">
        <f>SUMPRODUCT('Sales Data'!O53:AR53)*'Sales Data'!K53</f>
        <v/>
      </c>
      <c r="H53" s="205">
        <f>F53-G53</f>
        <v/>
      </c>
    </row>
    <row r="54" ht="15" customHeight="1" s="133">
      <c r="A54" s="187" t="inlineStr">
        <is>
          <t>PK-1052</t>
        </is>
      </c>
      <c r="B54" s="187" t="inlineStr">
        <is>
          <t>Red Chilli Powder 200g</t>
        </is>
      </c>
      <c r="C54" s="187" t="inlineStr">
        <is>
          <t>Grocery &amp; Food Items</t>
        </is>
      </c>
      <c r="D54" s="187" t="inlineStr">
        <is>
          <t>Spices &amp; Condiments</t>
        </is>
      </c>
      <c r="E54" s="206">
        <f>SUMPRODUCT('Sales Data'!O54:AR54)</f>
        <v/>
      </c>
      <c r="F54" s="207">
        <f>SUMPRODUCT('Sales Data'!O54:AR54)*'Sales Data'!L54</f>
        <v/>
      </c>
      <c r="G54" s="207">
        <f>SUMPRODUCT('Sales Data'!O54:AR54)*'Sales Data'!K54</f>
        <v/>
      </c>
      <c r="H54" s="207">
        <f>F54-G54</f>
        <v/>
      </c>
    </row>
    <row r="55" ht="15" customHeight="1" s="133">
      <c r="A55" s="167" t="inlineStr">
        <is>
          <t>PK-1053</t>
        </is>
      </c>
      <c r="B55" s="167" t="inlineStr">
        <is>
          <t>Garam Masala 100g</t>
        </is>
      </c>
      <c r="C55" s="167" t="inlineStr">
        <is>
          <t>Grocery &amp; Food Items</t>
        </is>
      </c>
      <c r="D55" s="167" t="inlineStr">
        <is>
          <t>Spices &amp; Condiments</t>
        </is>
      </c>
      <c r="E55" s="204">
        <f>SUMPRODUCT('Sales Data'!O55:AR55)</f>
        <v/>
      </c>
      <c r="F55" s="205">
        <f>SUMPRODUCT('Sales Data'!O55:AR55)*'Sales Data'!L55</f>
        <v/>
      </c>
      <c r="G55" s="205">
        <f>SUMPRODUCT('Sales Data'!O55:AR55)*'Sales Data'!K55</f>
        <v/>
      </c>
      <c r="H55" s="205">
        <f>F55-G55</f>
        <v/>
      </c>
    </row>
    <row r="56" ht="15" customHeight="1" s="133">
      <c r="A56" s="187" t="inlineStr">
        <is>
          <t>PK-1054</t>
        </is>
      </c>
      <c r="B56" s="187" t="inlineStr">
        <is>
          <t>Cumin Seeds 100g</t>
        </is>
      </c>
      <c r="C56" s="187" t="inlineStr">
        <is>
          <t>Grocery &amp; Food Items</t>
        </is>
      </c>
      <c r="D56" s="187" t="inlineStr">
        <is>
          <t>Spices &amp; Condiments</t>
        </is>
      </c>
      <c r="E56" s="206">
        <f>SUMPRODUCT('Sales Data'!O56:AR56)</f>
        <v/>
      </c>
      <c r="F56" s="207">
        <f>SUMPRODUCT('Sales Data'!O56:AR56)*'Sales Data'!L56</f>
        <v/>
      </c>
      <c r="G56" s="207">
        <f>SUMPRODUCT('Sales Data'!O56:AR56)*'Sales Data'!K56</f>
        <v/>
      </c>
      <c r="H56" s="207">
        <f>F56-G56</f>
        <v/>
      </c>
    </row>
    <row r="57" ht="15" customHeight="1" s="133">
      <c r="A57" s="167" t="inlineStr">
        <is>
          <t>PK-1055</t>
        </is>
      </c>
      <c r="B57" s="167" t="inlineStr">
        <is>
          <t>Black Pepper 50g</t>
        </is>
      </c>
      <c r="C57" s="167" t="inlineStr">
        <is>
          <t>Grocery &amp; Food Items</t>
        </is>
      </c>
      <c r="D57" s="167" t="inlineStr">
        <is>
          <t>Spices &amp; Condiments</t>
        </is>
      </c>
      <c r="E57" s="204">
        <f>SUMPRODUCT('Sales Data'!O57:AR57)</f>
        <v/>
      </c>
      <c r="F57" s="205">
        <f>SUMPRODUCT('Sales Data'!O57:AR57)*'Sales Data'!L57</f>
        <v/>
      </c>
      <c r="G57" s="205">
        <f>SUMPRODUCT('Sales Data'!O57:AR57)*'Sales Data'!K57</f>
        <v/>
      </c>
      <c r="H57" s="205">
        <f>F57-G57</f>
        <v/>
      </c>
    </row>
    <row r="58" ht="15" customHeight="1" s="133">
      <c r="A58" s="187" t="inlineStr">
        <is>
          <t>PK-1056</t>
        </is>
      </c>
      <c r="B58" s="187" t="inlineStr">
        <is>
          <t>Coriander Powder 200g</t>
        </is>
      </c>
      <c r="C58" s="187" t="inlineStr">
        <is>
          <t>Grocery &amp; Food Items</t>
        </is>
      </c>
      <c r="D58" s="187" t="inlineStr">
        <is>
          <t>Spices &amp; Condiments</t>
        </is>
      </c>
      <c r="E58" s="206">
        <f>SUMPRODUCT('Sales Data'!O58:AR58)</f>
        <v/>
      </c>
      <c r="F58" s="207">
        <f>SUMPRODUCT('Sales Data'!O58:AR58)*'Sales Data'!L58</f>
        <v/>
      </c>
      <c r="G58" s="207">
        <f>SUMPRODUCT('Sales Data'!O58:AR58)*'Sales Data'!K58</f>
        <v/>
      </c>
      <c r="H58" s="207">
        <f>F58-G58</f>
        <v/>
      </c>
    </row>
    <row r="59" ht="15" customHeight="1" s="133">
      <c r="A59" s="167" t="inlineStr">
        <is>
          <t>PK-1057</t>
        </is>
      </c>
      <c r="B59" s="167" t="inlineStr">
        <is>
          <t>Nescafé Classic 200g</t>
        </is>
      </c>
      <c r="C59" s="167" t="inlineStr">
        <is>
          <t>Grocery &amp; Food Items</t>
        </is>
      </c>
      <c r="D59" s="167" t="inlineStr">
        <is>
          <t>Beverages</t>
        </is>
      </c>
      <c r="E59" s="204">
        <f>SUMPRODUCT('Sales Data'!O59:AR59)</f>
        <v/>
      </c>
      <c r="F59" s="205">
        <f>SUMPRODUCT('Sales Data'!O59:AR59)*'Sales Data'!L59</f>
        <v/>
      </c>
      <c r="G59" s="205">
        <f>SUMPRODUCT('Sales Data'!O59:AR59)*'Sales Data'!K59</f>
        <v/>
      </c>
      <c r="H59" s="205">
        <f>F59-G59</f>
        <v/>
      </c>
    </row>
    <row r="60" ht="15" customHeight="1" s="133">
      <c r="A60" s="187" t="inlineStr">
        <is>
          <t>PK-1058</t>
        </is>
      </c>
      <c r="B60" s="187" t="inlineStr">
        <is>
          <t>Tapal Danedar 500g</t>
        </is>
      </c>
      <c r="C60" s="187" t="inlineStr">
        <is>
          <t>Grocery &amp; Food Items</t>
        </is>
      </c>
      <c r="D60" s="187" t="inlineStr">
        <is>
          <t>Beverages</t>
        </is>
      </c>
      <c r="E60" s="206">
        <f>SUMPRODUCT('Sales Data'!O60:AR60)</f>
        <v/>
      </c>
      <c r="F60" s="207">
        <f>SUMPRODUCT('Sales Data'!O60:AR60)*'Sales Data'!L60</f>
        <v/>
      </c>
      <c r="G60" s="207">
        <f>SUMPRODUCT('Sales Data'!O60:AR60)*'Sales Data'!K60</f>
        <v/>
      </c>
      <c r="H60" s="207">
        <f>F60-G60</f>
        <v/>
      </c>
    </row>
    <row r="61" ht="15" customHeight="1" s="133">
      <c r="A61" s="167" t="inlineStr">
        <is>
          <t>PK-1059</t>
        </is>
      </c>
      <c r="B61" s="167" t="inlineStr">
        <is>
          <t>Lipton Yellow Label 200g</t>
        </is>
      </c>
      <c r="C61" s="167" t="inlineStr">
        <is>
          <t>Grocery &amp; Food Items</t>
        </is>
      </c>
      <c r="D61" s="167" t="inlineStr">
        <is>
          <t>Beverages</t>
        </is>
      </c>
      <c r="E61" s="204">
        <f>SUMPRODUCT('Sales Data'!O61:AR61)</f>
        <v/>
      </c>
      <c r="F61" s="205">
        <f>SUMPRODUCT('Sales Data'!O61:AR61)*'Sales Data'!L61</f>
        <v/>
      </c>
      <c r="G61" s="205">
        <f>SUMPRODUCT('Sales Data'!O61:AR61)*'Sales Data'!K61</f>
        <v/>
      </c>
      <c r="H61" s="205">
        <f>F61-G61</f>
        <v/>
      </c>
    </row>
    <row r="62" ht="15" customHeight="1" s="133">
      <c r="A62" s="187" t="inlineStr">
        <is>
          <t>PK-1060</t>
        </is>
      </c>
      <c r="B62" s="187" t="inlineStr">
        <is>
          <t>Tang Mango 500g</t>
        </is>
      </c>
      <c r="C62" s="187" t="inlineStr">
        <is>
          <t>Grocery &amp; Food Items</t>
        </is>
      </c>
      <c r="D62" s="187" t="inlineStr">
        <is>
          <t>Beverages</t>
        </is>
      </c>
      <c r="E62" s="206">
        <f>SUMPRODUCT('Sales Data'!O62:AR62)</f>
        <v/>
      </c>
      <c r="F62" s="207">
        <f>SUMPRODUCT('Sales Data'!O62:AR62)*'Sales Data'!L62</f>
        <v/>
      </c>
      <c r="G62" s="207">
        <f>SUMPRODUCT('Sales Data'!O62:AR62)*'Sales Data'!K62</f>
        <v/>
      </c>
      <c r="H62" s="207">
        <f>F62-G62</f>
        <v/>
      </c>
    </row>
    <row r="63" ht="15" customHeight="1" s="133">
      <c r="A63" s="167" t="inlineStr">
        <is>
          <t>PK-1061</t>
        </is>
      </c>
      <c r="B63" s="167" t="inlineStr">
        <is>
          <t>Rooh Afza 800ml</t>
        </is>
      </c>
      <c r="C63" s="167" t="inlineStr">
        <is>
          <t>Grocery &amp; Food Items</t>
        </is>
      </c>
      <c r="D63" s="167" t="inlineStr">
        <is>
          <t>Beverages</t>
        </is>
      </c>
      <c r="E63" s="204">
        <f>SUMPRODUCT('Sales Data'!O63:AR63)</f>
        <v/>
      </c>
      <c r="F63" s="205">
        <f>SUMPRODUCT('Sales Data'!O63:AR63)*'Sales Data'!L63</f>
        <v/>
      </c>
      <c r="G63" s="205">
        <f>SUMPRODUCT('Sales Data'!O63:AR63)*'Sales Data'!K63</f>
        <v/>
      </c>
      <c r="H63" s="205">
        <f>F63-G63</f>
        <v/>
      </c>
    </row>
    <row r="64" ht="15" customHeight="1" s="133">
      <c r="A64" s="187" t="inlineStr">
        <is>
          <t>PK-1062</t>
        </is>
      </c>
      <c r="B64" s="187" t="inlineStr">
        <is>
          <t>Pepsi 1.5L</t>
        </is>
      </c>
      <c r="C64" s="187" t="inlineStr">
        <is>
          <t>Grocery &amp; Food Items</t>
        </is>
      </c>
      <c r="D64" s="187" t="inlineStr">
        <is>
          <t>Beverages</t>
        </is>
      </c>
      <c r="E64" s="206">
        <f>SUMPRODUCT('Sales Data'!O64:AR64)</f>
        <v/>
      </c>
      <c r="F64" s="207">
        <f>SUMPRODUCT('Sales Data'!O64:AR64)*'Sales Data'!L64</f>
        <v/>
      </c>
      <c r="G64" s="207">
        <f>SUMPRODUCT('Sales Data'!O64:AR64)*'Sales Data'!K64</f>
        <v/>
      </c>
      <c r="H64" s="207">
        <f>F64-G64</f>
        <v/>
      </c>
    </row>
    <row r="65" ht="15" customHeight="1" s="133">
      <c r="A65" s="167" t="inlineStr">
        <is>
          <t>PK-1063</t>
        </is>
      </c>
      <c r="B65" s="167" t="inlineStr">
        <is>
          <t>Coca-Cola 1.5L</t>
        </is>
      </c>
      <c r="C65" s="167" t="inlineStr">
        <is>
          <t>Grocery &amp; Food Items</t>
        </is>
      </c>
      <c r="D65" s="167" t="inlineStr">
        <is>
          <t>Beverages</t>
        </is>
      </c>
      <c r="E65" s="204">
        <f>SUMPRODUCT('Sales Data'!O65:AR65)</f>
        <v/>
      </c>
      <c r="F65" s="205">
        <f>SUMPRODUCT('Sales Data'!O65:AR65)*'Sales Data'!L65</f>
        <v/>
      </c>
      <c r="G65" s="205">
        <f>SUMPRODUCT('Sales Data'!O65:AR65)*'Sales Data'!K65</f>
        <v/>
      </c>
      <c r="H65" s="205">
        <f>F65-G65</f>
        <v/>
      </c>
    </row>
    <row r="66" ht="15" customHeight="1" s="133">
      <c r="A66" s="187" t="inlineStr">
        <is>
          <t>PK-1064</t>
        </is>
      </c>
      <c r="B66" s="187" t="inlineStr">
        <is>
          <t>Minute Maid 1L</t>
        </is>
      </c>
      <c r="C66" s="187" t="inlineStr">
        <is>
          <t>Grocery &amp; Food Items</t>
        </is>
      </c>
      <c r="D66" s="187" t="inlineStr">
        <is>
          <t>Beverages</t>
        </is>
      </c>
      <c r="E66" s="206">
        <f>SUMPRODUCT('Sales Data'!O66:AR66)</f>
        <v/>
      </c>
      <c r="F66" s="207">
        <f>SUMPRODUCT('Sales Data'!O66:AR66)*'Sales Data'!L66</f>
        <v/>
      </c>
      <c r="G66" s="207">
        <f>SUMPRODUCT('Sales Data'!O66:AR66)*'Sales Data'!K66</f>
        <v/>
      </c>
      <c r="H66" s="207">
        <f>F66-G66</f>
        <v/>
      </c>
    </row>
    <row r="67" ht="15" customHeight="1" s="133">
      <c r="A67" s="167" t="inlineStr">
        <is>
          <t>PK-1065</t>
        </is>
      </c>
      <c r="B67" s="167" t="inlineStr">
        <is>
          <t>Olper Milk 1L</t>
        </is>
      </c>
      <c r="C67" s="167" t="inlineStr">
        <is>
          <t>Grocery &amp; Food Items</t>
        </is>
      </c>
      <c r="D67" s="167" t="inlineStr">
        <is>
          <t>Beverages</t>
        </is>
      </c>
      <c r="E67" s="204">
        <f>SUMPRODUCT('Sales Data'!O67:AR67)</f>
        <v/>
      </c>
      <c r="F67" s="205">
        <f>SUMPRODUCT('Sales Data'!O67:AR67)*'Sales Data'!L67</f>
        <v/>
      </c>
      <c r="G67" s="205">
        <f>SUMPRODUCT('Sales Data'!O67:AR67)*'Sales Data'!K67</f>
        <v/>
      </c>
      <c r="H67" s="205">
        <f>F67-G67</f>
        <v/>
      </c>
    </row>
    <row r="68" ht="15" customHeight="1" s="133">
      <c r="A68" s="187" t="inlineStr">
        <is>
          <t>PK-1066</t>
        </is>
      </c>
      <c r="B68" s="187" t="inlineStr">
        <is>
          <t>Nurpur Butter 200g</t>
        </is>
      </c>
      <c r="C68" s="187" t="inlineStr">
        <is>
          <t>Grocery &amp; Food Items</t>
        </is>
      </c>
      <c r="D68" s="187" t="inlineStr">
        <is>
          <t>Beverages</t>
        </is>
      </c>
      <c r="E68" s="206">
        <f>SUMPRODUCT('Sales Data'!O68:AR68)</f>
        <v/>
      </c>
      <c r="F68" s="207">
        <f>SUMPRODUCT('Sales Data'!O68:AR68)*'Sales Data'!L68</f>
        <v/>
      </c>
      <c r="G68" s="207">
        <f>SUMPRODUCT('Sales Data'!O68:AR68)*'Sales Data'!K68</f>
        <v/>
      </c>
      <c r="H68" s="207">
        <f>F68-G68</f>
        <v/>
      </c>
    </row>
    <row r="69" ht="15" customHeight="1" s="133">
      <c r="A69" s="167" t="inlineStr">
        <is>
          <t>PK-1067</t>
        </is>
      </c>
      <c r="B69" s="167" t="inlineStr">
        <is>
          <t>Olpers Full Cream Milk 1L</t>
        </is>
      </c>
      <c r="C69" s="167" t="inlineStr">
        <is>
          <t>Grocery &amp; Food Items</t>
        </is>
      </c>
      <c r="D69" s="167" t="inlineStr">
        <is>
          <t>Dairy &amp; Frozen</t>
        </is>
      </c>
      <c r="E69" s="204">
        <f>SUMPRODUCT('Sales Data'!O69:AR69)</f>
        <v/>
      </c>
      <c r="F69" s="205">
        <f>SUMPRODUCT('Sales Data'!O69:AR69)*'Sales Data'!L69</f>
        <v/>
      </c>
      <c r="G69" s="205">
        <f>SUMPRODUCT('Sales Data'!O69:AR69)*'Sales Data'!K69</f>
        <v/>
      </c>
      <c r="H69" s="205">
        <f>F69-G69</f>
        <v/>
      </c>
    </row>
    <row r="70" ht="15" customHeight="1" s="133">
      <c r="A70" s="187" t="inlineStr">
        <is>
          <t>PK-1068</t>
        </is>
      </c>
      <c r="B70" s="187" t="inlineStr">
        <is>
          <t>Nestle Everyday Milk Powder 1kg</t>
        </is>
      </c>
      <c r="C70" s="187" t="inlineStr">
        <is>
          <t>Grocery &amp; Food Items</t>
        </is>
      </c>
      <c r="D70" s="187" t="inlineStr">
        <is>
          <t>Dairy &amp; Frozen</t>
        </is>
      </c>
      <c r="E70" s="206">
        <f>SUMPRODUCT('Sales Data'!O70:AR70)</f>
        <v/>
      </c>
      <c r="F70" s="207">
        <f>SUMPRODUCT('Sales Data'!O70:AR70)*'Sales Data'!L70</f>
        <v/>
      </c>
      <c r="G70" s="207">
        <f>SUMPRODUCT('Sales Data'!O70:AR70)*'Sales Data'!K70</f>
        <v/>
      </c>
      <c r="H70" s="207">
        <f>F70-G70</f>
        <v/>
      </c>
    </row>
    <row r="71" ht="15" customHeight="1" s="133">
      <c r="A71" s="167" t="inlineStr">
        <is>
          <t>PK-1069</t>
        </is>
      </c>
      <c r="B71" s="167" t="inlineStr">
        <is>
          <t>Haleeb Milk 1L</t>
        </is>
      </c>
      <c r="C71" s="167" t="inlineStr">
        <is>
          <t>Grocery &amp; Food Items</t>
        </is>
      </c>
      <c r="D71" s="167" t="inlineStr">
        <is>
          <t>Dairy &amp; Frozen</t>
        </is>
      </c>
      <c r="E71" s="204">
        <f>SUMPRODUCT('Sales Data'!O71:AR71)</f>
        <v/>
      </c>
      <c r="F71" s="205">
        <f>SUMPRODUCT('Sales Data'!O71:AR71)*'Sales Data'!L71</f>
        <v/>
      </c>
      <c r="G71" s="205">
        <f>SUMPRODUCT('Sales Data'!O71:AR71)*'Sales Data'!K71</f>
        <v/>
      </c>
      <c r="H71" s="205">
        <f>F71-G71</f>
        <v/>
      </c>
    </row>
    <row r="72" ht="15" customHeight="1" s="133">
      <c r="A72" s="187" t="inlineStr">
        <is>
          <t>PK-1070</t>
        </is>
      </c>
      <c r="B72" s="187" t="inlineStr">
        <is>
          <t>Sapphire Yogurt 1kg</t>
        </is>
      </c>
      <c r="C72" s="187" t="inlineStr">
        <is>
          <t>Grocery &amp; Food Items</t>
        </is>
      </c>
      <c r="D72" s="187" t="inlineStr">
        <is>
          <t>Dairy &amp; Frozen</t>
        </is>
      </c>
      <c r="E72" s="206">
        <f>SUMPRODUCT('Sales Data'!O72:AR72)</f>
        <v/>
      </c>
      <c r="F72" s="207">
        <f>SUMPRODUCT('Sales Data'!O72:AR72)*'Sales Data'!L72</f>
        <v/>
      </c>
      <c r="G72" s="207">
        <f>SUMPRODUCT('Sales Data'!O72:AR72)*'Sales Data'!K72</f>
        <v/>
      </c>
      <c r="H72" s="207">
        <f>F72-G72</f>
        <v/>
      </c>
    </row>
    <row r="73" ht="15" customHeight="1" s="133">
      <c r="A73" s="167" t="inlineStr">
        <is>
          <t>PK-1071</t>
        </is>
      </c>
      <c r="B73" s="167" t="inlineStr">
        <is>
          <t>Yummy Cheddar Slice 200g</t>
        </is>
      </c>
      <c r="C73" s="167" t="inlineStr">
        <is>
          <t>Grocery &amp; Food Items</t>
        </is>
      </c>
      <c r="D73" s="167" t="inlineStr">
        <is>
          <t>Dairy &amp; Frozen</t>
        </is>
      </c>
      <c r="E73" s="204">
        <f>SUMPRODUCT('Sales Data'!O73:AR73)</f>
        <v/>
      </c>
      <c r="F73" s="205">
        <f>SUMPRODUCT('Sales Data'!O73:AR73)*'Sales Data'!L73</f>
        <v/>
      </c>
      <c r="G73" s="205">
        <f>SUMPRODUCT('Sales Data'!O73:AR73)*'Sales Data'!K73</f>
        <v/>
      </c>
      <c r="H73" s="205">
        <f>F73-G73</f>
        <v/>
      </c>
    </row>
    <row r="74" ht="15" customHeight="1" s="133">
      <c r="A74" s="187" t="inlineStr">
        <is>
          <t>PK-1072</t>
        </is>
      </c>
      <c r="B74" s="187" t="inlineStr">
        <is>
          <t>K&amp;N's Chicken Nuggets 500g</t>
        </is>
      </c>
      <c r="C74" s="187" t="inlineStr">
        <is>
          <t>Grocery &amp; Food Items</t>
        </is>
      </c>
      <c r="D74" s="187" t="inlineStr">
        <is>
          <t>Dairy &amp; Frozen</t>
        </is>
      </c>
      <c r="E74" s="206">
        <f>SUMPRODUCT('Sales Data'!O74:AR74)</f>
        <v/>
      </c>
      <c r="F74" s="207">
        <f>SUMPRODUCT('Sales Data'!O74:AR74)*'Sales Data'!L74</f>
        <v/>
      </c>
      <c r="G74" s="207">
        <f>SUMPRODUCT('Sales Data'!O74:AR74)*'Sales Data'!K74</f>
        <v/>
      </c>
      <c r="H74" s="207">
        <f>F74-G74</f>
        <v/>
      </c>
    </row>
    <row r="75" ht="15" customHeight="1" s="133">
      <c r="A75" s="167" t="inlineStr">
        <is>
          <t>PK-1073</t>
        </is>
      </c>
      <c r="B75" s="167" t="inlineStr">
        <is>
          <t>K&amp;N's Chicken Strips 400g</t>
        </is>
      </c>
      <c r="C75" s="167" t="inlineStr">
        <is>
          <t>Grocery &amp; Food Items</t>
        </is>
      </c>
      <c r="D75" s="167" t="inlineStr">
        <is>
          <t>Dairy &amp; Frozen</t>
        </is>
      </c>
      <c r="E75" s="204">
        <f>SUMPRODUCT('Sales Data'!O75:AR75)</f>
        <v/>
      </c>
      <c r="F75" s="205">
        <f>SUMPRODUCT('Sales Data'!O75:AR75)*'Sales Data'!L75</f>
        <v/>
      </c>
      <c r="G75" s="205">
        <f>SUMPRODUCT('Sales Data'!O75:AR75)*'Sales Data'!K75</f>
        <v/>
      </c>
      <c r="H75" s="205">
        <f>F75-G75</f>
        <v/>
      </c>
    </row>
    <row r="76" ht="15" customHeight="1" s="133">
      <c r="A76" s="187" t="inlineStr">
        <is>
          <t>PK-1074</t>
        </is>
      </c>
      <c r="B76" s="187" t="inlineStr">
        <is>
          <t>Dawn Croissant 6pcs</t>
        </is>
      </c>
      <c r="C76" s="187" t="inlineStr">
        <is>
          <t>Grocery &amp; Food Items</t>
        </is>
      </c>
      <c r="D76" s="187" t="inlineStr">
        <is>
          <t>Dairy &amp; Frozen</t>
        </is>
      </c>
      <c r="E76" s="206">
        <f>SUMPRODUCT('Sales Data'!O76:AR76)</f>
        <v/>
      </c>
      <c r="F76" s="207">
        <f>SUMPRODUCT('Sales Data'!O76:AR76)*'Sales Data'!L76</f>
        <v/>
      </c>
      <c r="G76" s="207">
        <f>SUMPRODUCT('Sales Data'!O76:AR76)*'Sales Data'!K76</f>
        <v/>
      </c>
      <c r="H76" s="207">
        <f>F76-G76</f>
        <v/>
      </c>
    </row>
    <row r="77" ht="15" customHeight="1" s="133">
      <c r="A77" s="167" t="inlineStr">
        <is>
          <t>PK-1075</t>
        </is>
      </c>
      <c r="B77" s="167" t="inlineStr">
        <is>
          <t>Gul Ahmed Lawn Suit 3pc</t>
        </is>
      </c>
      <c r="C77" s="167" t="inlineStr">
        <is>
          <t>Clothing &amp; Textiles</t>
        </is>
      </c>
      <c r="D77" s="167" t="inlineStr">
        <is>
          <t>Men's Wear</t>
        </is>
      </c>
      <c r="E77" s="204">
        <f>SUMPRODUCT('Sales Data'!O77:AR77)</f>
        <v/>
      </c>
      <c r="F77" s="205">
        <f>SUMPRODUCT('Sales Data'!O77:AR77)*'Sales Data'!L77</f>
        <v/>
      </c>
      <c r="G77" s="205">
        <f>SUMPRODUCT('Sales Data'!O77:AR77)*'Sales Data'!K77</f>
        <v/>
      </c>
      <c r="H77" s="205">
        <f>F77-G77</f>
        <v/>
      </c>
    </row>
    <row r="78" ht="15" customHeight="1" s="133">
      <c r="A78" s="187" t="inlineStr">
        <is>
          <t>PK-1076</t>
        </is>
      </c>
      <c r="B78" s="187" t="inlineStr">
        <is>
          <t>Almirah Men Kurta</t>
        </is>
      </c>
      <c r="C78" s="187" t="inlineStr">
        <is>
          <t>Clothing &amp; Textiles</t>
        </is>
      </c>
      <c r="D78" s="187" t="inlineStr">
        <is>
          <t>Men's Wear</t>
        </is>
      </c>
      <c r="E78" s="206">
        <f>SUMPRODUCT('Sales Data'!O78:AR78)</f>
        <v/>
      </c>
      <c r="F78" s="207">
        <f>SUMPRODUCT('Sales Data'!O78:AR78)*'Sales Data'!L78</f>
        <v/>
      </c>
      <c r="G78" s="207">
        <f>SUMPRODUCT('Sales Data'!O78:AR78)*'Sales Data'!K78</f>
        <v/>
      </c>
      <c r="H78" s="207">
        <f>F78-G78</f>
        <v/>
      </c>
    </row>
    <row r="79" ht="15" customHeight="1" s="133">
      <c r="A79" s="167" t="inlineStr">
        <is>
          <t>PK-1077</t>
        </is>
      </c>
      <c r="B79" s="167" t="inlineStr">
        <is>
          <t>Khaadi Men Shalwar Kameez</t>
        </is>
      </c>
      <c r="C79" s="167" t="inlineStr">
        <is>
          <t>Clothing &amp; Textiles</t>
        </is>
      </c>
      <c r="D79" s="167" t="inlineStr">
        <is>
          <t>Men's Wear</t>
        </is>
      </c>
      <c r="E79" s="204">
        <f>SUMPRODUCT('Sales Data'!O79:AR79)</f>
        <v/>
      </c>
      <c r="F79" s="205">
        <f>SUMPRODUCT('Sales Data'!O79:AR79)*'Sales Data'!L79</f>
        <v/>
      </c>
      <c r="G79" s="205">
        <f>SUMPRODUCT('Sales Data'!O79:AR79)*'Sales Data'!K79</f>
        <v/>
      </c>
      <c r="H79" s="205">
        <f>F79-G79</f>
        <v/>
      </c>
    </row>
    <row r="80" ht="15" customHeight="1" s="133">
      <c r="A80" s="187" t="inlineStr">
        <is>
          <t>PK-1078</t>
        </is>
      </c>
      <c r="B80" s="187" t="inlineStr">
        <is>
          <t>J. Men Shirt</t>
        </is>
      </c>
      <c r="C80" s="187" t="inlineStr">
        <is>
          <t>Clothing &amp; Textiles</t>
        </is>
      </c>
      <c r="D80" s="187" t="inlineStr">
        <is>
          <t>Men's Wear</t>
        </is>
      </c>
      <c r="E80" s="206">
        <f>SUMPRODUCT('Sales Data'!O80:AR80)</f>
        <v/>
      </c>
      <c r="F80" s="207">
        <f>SUMPRODUCT('Sales Data'!O80:AR80)*'Sales Data'!L80</f>
        <v/>
      </c>
      <c r="G80" s="207">
        <f>SUMPRODUCT('Sales Data'!O80:AR80)*'Sales Data'!K80</f>
        <v/>
      </c>
      <c r="H80" s="207">
        <f>F80-G80</f>
        <v/>
      </c>
    </row>
    <row r="81" ht="15" customHeight="1" s="133">
      <c r="A81" s="167" t="inlineStr">
        <is>
          <t>PK-1079</t>
        </is>
      </c>
      <c r="B81" s="167" t="inlineStr">
        <is>
          <t>Bonanza Men Sweater</t>
        </is>
      </c>
      <c r="C81" s="167" t="inlineStr">
        <is>
          <t>Clothing &amp; Textiles</t>
        </is>
      </c>
      <c r="D81" s="167" t="inlineStr">
        <is>
          <t>Men's Wear</t>
        </is>
      </c>
      <c r="E81" s="204">
        <f>SUMPRODUCT('Sales Data'!O81:AR81)</f>
        <v/>
      </c>
      <c r="F81" s="205">
        <f>SUMPRODUCT('Sales Data'!O81:AR81)*'Sales Data'!L81</f>
        <v/>
      </c>
      <c r="G81" s="205">
        <f>SUMPRODUCT('Sales Data'!O81:AR81)*'Sales Data'!K81</f>
        <v/>
      </c>
      <c r="H81" s="205">
        <f>F81-G81</f>
        <v/>
      </c>
    </row>
    <row r="82" ht="15" customHeight="1" s="133">
      <c r="A82" s="187" t="inlineStr">
        <is>
          <t>PK-1080</t>
        </is>
      </c>
      <c r="B82" s="187" t="inlineStr">
        <is>
          <t>Men Denim Jeans 32</t>
        </is>
      </c>
      <c r="C82" s="187" t="inlineStr">
        <is>
          <t>Clothing &amp; Textiles</t>
        </is>
      </c>
      <c r="D82" s="187" t="inlineStr">
        <is>
          <t>Men's Wear</t>
        </is>
      </c>
      <c r="E82" s="206">
        <f>SUMPRODUCT('Sales Data'!O82:AR82)</f>
        <v/>
      </c>
      <c r="F82" s="207">
        <f>SUMPRODUCT('Sales Data'!O82:AR82)*'Sales Data'!L82</f>
        <v/>
      </c>
      <c r="G82" s="207">
        <f>SUMPRODUCT('Sales Data'!O82:AR82)*'Sales Data'!K82</f>
        <v/>
      </c>
      <c r="H82" s="207">
        <f>F82-G82</f>
        <v/>
      </c>
    </row>
    <row r="83" ht="15" customHeight="1" s="133">
      <c r="A83" s="167" t="inlineStr">
        <is>
          <t>PK-1081</t>
        </is>
      </c>
      <c r="B83" s="167" t="inlineStr">
        <is>
          <t>Men Denim Jeans 34</t>
        </is>
      </c>
      <c r="C83" s="167" t="inlineStr">
        <is>
          <t>Clothing &amp; Textiles</t>
        </is>
      </c>
      <c r="D83" s="167" t="inlineStr">
        <is>
          <t>Men's Wear</t>
        </is>
      </c>
      <c r="E83" s="204">
        <f>SUMPRODUCT('Sales Data'!O83:AR83)</f>
        <v/>
      </c>
      <c r="F83" s="205">
        <f>SUMPRODUCT('Sales Data'!O83:AR83)*'Sales Data'!L83</f>
        <v/>
      </c>
      <c r="G83" s="205">
        <f>SUMPRODUCT('Sales Data'!O83:AR83)*'Sales Data'!K83</f>
        <v/>
      </c>
      <c r="H83" s="205">
        <f>F83-G83</f>
        <v/>
      </c>
    </row>
    <row r="84" ht="15" customHeight="1" s="133">
      <c r="A84" s="187" t="inlineStr">
        <is>
          <t>PK-1082</t>
        </is>
      </c>
      <c r="B84" s="187" t="inlineStr">
        <is>
          <t>Men Formal Trouser</t>
        </is>
      </c>
      <c r="C84" s="187" t="inlineStr">
        <is>
          <t>Clothing &amp; Textiles</t>
        </is>
      </c>
      <c r="D84" s="187" t="inlineStr">
        <is>
          <t>Men's Wear</t>
        </is>
      </c>
      <c r="E84" s="206">
        <f>SUMPRODUCT('Sales Data'!O84:AR84)</f>
        <v/>
      </c>
      <c r="F84" s="207">
        <f>SUMPRODUCT('Sales Data'!O84:AR84)*'Sales Data'!L84</f>
        <v/>
      </c>
      <c r="G84" s="207">
        <f>SUMPRODUCT('Sales Data'!O84:AR84)*'Sales Data'!K84</f>
        <v/>
      </c>
      <c r="H84" s="207">
        <f>F84-G84</f>
        <v/>
      </c>
    </row>
    <row r="85" ht="15" customHeight="1" s="133">
      <c r="A85" s="167" t="inlineStr">
        <is>
          <t>PK-1083</t>
        </is>
      </c>
      <c r="B85" s="167" t="inlineStr">
        <is>
          <t>Men Polo T-Shirt</t>
        </is>
      </c>
      <c r="C85" s="167" t="inlineStr">
        <is>
          <t>Clothing &amp; Textiles</t>
        </is>
      </c>
      <c r="D85" s="167" t="inlineStr">
        <is>
          <t>Men's Wear</t>
        </is>
      </c>
      <c r="E85" s="204">
        <f>SUMPRODUCT('Sales Data'!O85:AR85)</f>
        <v/>
      </c>
      <c r="F85" s="205">
        <f>SUMPRODUCT('Sales Data'!O85:AR85)*'Sales Data'!L85</f>
        <v/>
      </c>
      <c r="G85" s="205">
        <f>SUMPRODUCT('Sales Data'!O85:AR85)*'Sales Data'!K85</f>
        <v/>
      </c>
      <c r="H85" s="205">
        <f>F85-G85</f>
        <v/>
      </c>
    </row>
    <row r="86" ht="15" customHeight="1" s="133">
      <c r="A86" s="187" t="inlineStr">
        <is>
          <t>PK-1084</t>
        </is>
      </c>
      <c r="B86" s="187" t="inlineStr">
        <is>
          <t>Men Sports Shorts</t>
        </is>
      </c>
      <c r="C86" s="187" t="inlineStr">
        <is>
          <t>Clothing &amp; Textiles</t>
        </is>
      </c>
      <c r="D86" s="187" t="inlineStr">
        <is>
          <t>Men's Wear</t>
        </is>
      </c>
      <c r="E86" s="206">
        <f>SUMPRODUCT('Sales Data'!O86:AR86)</f>
        <v/>
      </c>
      <c r="F86" s="207">
        <f>SUMPRODUCT('Sales Data'!O86:AR86)*'Sales Data'!L86</f>
        <v/>
      </c>
      <c r="G86" s="207">
        <f>SUMPRODUCT('Sales Data'!O86:AR86)*'Sales Data'!K86</f>
        <v/>
      </c>
      <c r="H86" s="207">
        <f>F86-G86</f>
        <v/>
      </c>
    </row>
    <row r="87" ht="15" customHeight="1" s="133">
      <c r="A87" s="167" t="inlineStr">
        <is>
          <t>PK-1085</t>
        </is>
      </c>
      <c r="B87" s="167" t="inlineStr">
        <is>
          <t>Gul Ahmed Summer Collection 3pc</t>
        </is>
      </c>
      <c r="C87" s="167" t="inlineStr">
        <is>
          <t>Clothing &amp; Textiles</t>
        </is>
      </c>
      <c r="D87" s="167" t="inlineStr">
        <is>
          <t>Women's Wear</t>
        </is>
      </c>
      <c r="E87" s="204">
        <f>SUMPRODUCT('Sales Data'!O87:AR87)</f>
        <v/>
      </c>
      <c r="F87" s="205">
        <f>SUMPRODUCT('Sales Data'!O87:AR87)*'Sales Data'!L87</f>
        <v/>
      </c>
      <c r="G87" s="205">
        <f>SUMPRODUCT('Sales Data'!O87:AR87)*'Sales Data'!K87</f>
        <v/>
      </c>
      <c r="H87" s="205">
        <f>F87-G87</f>
        <v/>
      </c>
    </row>
    <row r="88" ht="15" customHeight="1" s="133">
      <c r="A88" s="187" t="inlineStr">
        <is>
          <t>PK-1086</t>
        </is>
      </c>
      <c r="B88" s="187" t="inlineStr">
        <is>
          <t>Sana Safinaz Ready-to-Wear</t>
        </is>
      </c>
      <c r="C88" s="187" t="inlineStr">
        <is>
          <t>Clothing &amp; Textiles</t>
        </is>
      </c>
      <c r="D88" s="187" t="inlineStr">
        <is>
          <t>Women's Wear</t>
        </is>
      </c>
      <c r="E88" s="206">
        <f>SUMPRODUCT('Sales Data'!O88:AR88)</f>
        <v/>
      </c>
      <c r="F88" s="207">
        <f>SUMPRODUCT('Sales Data'!O88:AR88)*'Sales Data'!L88</f>
        <v/>
      </c>
      <c r="G88" s="207">
        <f>SUMPRODUCT('Sales Data'!O88:AR88)*'Sales Data'!K88</f>
        <v/>
      </c>
      <c r="H88" s="207">
        <f>F88-G88</f>
        <v/>
      </c>
    </row>
    <row r="89" ht="15" customHeight="1" s="133">
      <c r="A89" s="167" t="inlineStr">
        <is>
          <t>PK-1087</t>
        </is>
      </c>
      <c r="B89" s="167" t="inlineStr">
        <is>
          <t>Khaadi Pret Kurta</t>
        </is>
      </c>
      <c r="C89" s="167" t="inlineStr">
        <is>
          <t>Clothing &amp; Textiles</t>
        </is>
      </c>
      <c r="D89" s="167" t="inlineStr">
        <is>
          <t>Women's Wear</t>
        </is>
      </c>
      <c r="E89" s="204">
        <f>SUMPRODUCT('Sales Data'!O89:AR89)</f>
        <v/>
      </c>
      <c r="F89" s="205">
        <f>SUMPRODUCT('Sales Data'!O89:AR89)*'Sales Data'!L89</f>
        <v/>
      </c>
      <c r="G89" s="205">
        <f>SUMPRODUCT('Sales Data'!O89:AR89)*'Sales Data'!K89</f>
        <v/>
      </c>
      <c r="H89" s="205">
        <f>F89-G89</f>
        <v/>
      </c>
    </row>
    <row r="90" ht="15" customHeight="1" s="133">
      <c r="A90" s="187" t="inlineStr">
        <is>
          <t>PK-1088</t>
        </is>
      </c>
      <c r="B90" s="187" t="inlineStr">
        <is>
          <t>Maria B Lawn 3pc</t>
        </is>
      </c>
      <c r="C90" s="187" t="inlineStr">
        <is>
          <t>Clothing &amp; Textiles</t>
        </is>
      </c>
      <c r="D90" s="187" t="inlineStr">
        <is>
          <t>Women's Wear</t>
        </is>
      </c>
      <c r="E90" s="206">
        <f>SUMPRODUCT('Sales Data'!O90:AR90)</f>
        <v/>
      </c>
      <c r="F90" s="207">
        <f>SUMPRODUCT('Sales Data'!O90:AR90)*'Sales Data'!L90</f>
        <v/>
      </c>
      <c r="G90" s="207">
        <f>SUMPRODUCT('Sales Data'!O90:AR90)*'Sales Data'!K90</f>
        <v/>
      </c>
      <c r="H90" s="207">
        <f>F90-G90</f>
        <v/>
      </c>
    </row>
    <row r="91" ht="15" customHeight="1" s="133">
      <c r="A91" s="167" t="inlineStr">
        <is>
          <t>PK-1089</t>
        </is>
      </c>
      <c r="B91" s="167" t="inlineStr">
        <is>
          <t>Nishat Linen Suit</t>
        </is>
      </c>
      <c r="C91" s="167" t="inlineStr">
        <is>
          <t>Clothing &amp; Textiles</t>
        </is>
      </c>
      <c r="D91" s="167" t="inlineStr">
        <is>
          <t>Women's Wear</t>
        </is>
      </c>
      <c r="E91" s="204">
        <f>SUMPRODUCT('Sales Data'!O91:AR91)</f>
        <v/>
      </c>
      <c r="F91" s="205">
        <f>SUMPRODUCT('Sales Data'!O91:AR91)*'Sales Data'!L91</f>
        <v/>
      </c>
      <c r="G91" s="205">
        <f>SUMPRODUCT('Sales Data'!O91:AR91)*'Sales Data'!K91</f>
        <v/>
      </c>
      <c r="H91" s="205">
        <f>F91-G91</f>
        <v/>
      </c>
    </row>
    <row r="92" ht="15" customHeight="1" s="133">
      <c r="A92" s="187" t="inlineStr">
        <is>
          <t>PK-1090</t>
        </is>
      </c>
      <c r="B92" s="187" t="inlineStr">
        <is>
          <t>Zellbury Kurta Set</t>
        </is>
      </c>
      <c r="C92" s="187" t="inlineStr">
        <is>
          <t>Clothing &amp; Textiles</t>
        </is>
      </c>
      <c r="D92" s="187" t="inlineStr">
        <is>
          <t>Women's Wear</t>
        </is>
      </c>
      <c r="E92" s="206">
        <f>SUMPRODUCT('Sales Data'!O92:AR92)</f>
        <v/>
      </c>
      <c r="F92" s="207">
        <f>SUMPRODUCT('Sales Data'!O92:AR92)*'Sales Data'!L92</f>
        <v/>
      </c>
      <c r="G92" s="207">
        <f>SUMPRODUCT('Sales Data'!O92:AR92)*'Sales Data'!K92</f>
        <v/>
      </c>
      <c r="H92" s="207">
        <f>F92-G92</f>
        <v/>
      </c>
    </row>
    <row r="93" ht="15" customHeight="1" s="133">
      <c r="A93" s="167" t="inlineStr">
        <is>
          <t>PK-1091</t>
        </is>
      </c>
      <c r="B93" s="167" t="inlineStr">
        <is>
          <t>Women Capri Pants</t>
        </is>
      </c>
      <c r="C93" s="167" t="inlineStr">
        <is>
          <t>Clothing &amp; Textiles</t>
        </is>
      </c>
      <c r="D93" s="167" t="inlineStr">
        <is>
          <t>Women's Wear</t>
        </is>
      </c>
      <c r="E93" s="204">
        <f>SUMPRODUCT('Sales Data'!O93:AR93)</f>
        <v/>
      </c>
      <c r="F93" s="205">
        <f>SUMPRODUCT('Sales Data'!O93:AR93)*'Sales Data'!L93</f>
        <v/>
      </c>
      <c r="G93" s="205">
        <f>SUMPRODUCT('Sales Data'!O93:AR93)*'Sales Data'!K93</f>
        <v/>
      </c>
      <c r="H93" s="205">
        <f>F93-G93</f>
        <v/>
      </c>
    </row>
    <row r="94" ht="15" customHeight="1" s="133">
      <c r="A94" s="187" t="inlineStr">
        <is>
          <t>PK-1092</t>
        </is>
      </c>
      <c r="B94" s="187" t="inlineStr">
        <is>
          <t>Women Cardigan</t>
        </is>
      </c>
      <c r="C94" s="187" t="inlineStr">
        <is>
          <t>Clothing &amp; Textiles</t>
        </is>
      </c>
      <c r="D94" s="187" t="inlineStr">
        <is>
          <t>Women's Wear</t>
        </is>
      </c>
      <c r="E94" s="206">
        <f>SUMPRODUCT('Sales Data'!O94:AR94)</f>
        <v/>
      </c>
      <c r="F94" s="207">
        <f>SUMPRODUCT('Sales Data'!O94:AR94)*'Sales Data'!L94</f>
        <v/>
      </c>
      <c r="G94" s="207">
        <f>SUMPRODUCT('Sales Data'!O94:AR94)*'Sales Data'!K94</f>
        <v/>
      </c>
      <c r="H94" s="207">
        <f>F94-G94</f>
        <v/>
      </c>
    </row>
    <row r="95" ht="15" customHeight="1" s="133">
      <c r="A95" s="167" t="inlineStr">
        <is>
          <t>PK-1093</t>
        </is>
      </c>
      <c r="B95" s="167" t="inlineStr">
        <is>
          <t>Women Abaya Plain</t>
        </is>
      </c>
      <c r="C95" s="167" t="inlineStr">
        <is>
          <t>Clothing &amp; Textiles</t>
        </is>
      </c>
      <c r="D95" s="167" t="inlineStr">
        <is>
          <t>Women's Wear</t>
        </is>
      </c>
      <c r="E95" s="204">
        <f>SUMPRODUCT('Sales Data'!O95:AR95)</f>
        <v/>
      </c>
      <c r="F95" s="205">
        <f>SUMPRODUCT('Sales Data'!O95:AR95)*'Sales Data'!L95</f>
        <v/>
      </c>
      <c r="G95" s="205">
        <f>SUMPRODUCT('Sales Data'!O95:AR95)*'Sales Data'!K95</f>
        <v/>
      </c>
      <c r="H95" s="205">
        <f>F95-G95</f>
        <v/>
      </c>
    </row>
    <row r="96" ht="15" customHeight="1" s="133">
      <c r="A96" s="187" t="inlineStr">
        <is>
          <t>PK-1094</t>
        </is>
      </c>
      <c r="B96" s="187" t="inlineStr">
        <is>
          <t>Women Dupatta Lawn</t>
        </is>
      </c>
      <c r="C96" s="187" t="inlineStr">
        <is>
          <t>Clothing &amp; Textiles</t>
        </is>
      </c>
      <c r="D96" s="187" t="inlineStr">
        <is>
          <t>Women's Wear</t>
        </is>
      </c>
      <c r="E96" s="206">
        <f>SUMPRODUCT('Sales Data'!O96:AR96)</f>
        <v/>
      </c>
      <c r="F96" s="207">
        <f>SUMPRODUCT('Sales Data'!O96:AR96)*'Sales Data'!L96</f>
        <v/>
      </c>
      <c r="G96" s="207">
        <f>SUMPRODUCT('Sales Data'!O96:AR96)*'Sales Data'!K96</f>
        <v/>
      </c>
      <c r="H96" s="207">
        <f>F96-G96</f>
        <v/>
      </c>
    </row>
    <row r="97" ht="15" customHeight="1" s="133">
      <c r="A97" s="167" t="inlineStr">
        <is>
          <t>PK-1095</t>
        </is>
      </c>
      <c r="B97" s="167" t="inlineStr">
        <is>
          <t>Bata Men Leather Shoes</t>
        </is>
      </c>
      <c r="C97" s="167" t="inlineStr">
        <is>
          <t>Clothing &amp; Textiles</t>
        </is>
      </c>
      <c r="D97" s="167" t="inlineStr">
        <is>
          <t>Footwear</t>
        </is>
      </c>
      <c r="E97" s="204">
        <f>SUMPRODUCT('Sales Data'!O97:AR97)</f>
        <v/>
      </c>
      <c r="F97" s="205">
        <f>SUMPRODUCT('Sales Data'!O97:AR97)*'Sales Data'!L97</f>
        <v/>
      </c>
      <c r="G97" s="205">
        <f>SUMPRODUCT('Sales Data'!O97:AR97)*'Sales Data'!K97</f>
        <v/>
      </c>
      <c r="H97" s="205">
        <f>F97-G97</f>
        <v/>
      </c>
    </row>
    <row r="98" ht="15" customHeight="1" s="133">
      <c r="A98" s="187" t="inlineStr">
        <is>
          <t>PK-1096</t>
        </is>
      </c>
      <c r="B98" s="187" t="inlineStr">
        <is>
          <t>Bata Women Pumps</t>
        </is>
      </c>
      <c r="C98" s="187" t="inlineStr">
        <is>
          <t>Clothing &amp; Textiles</t>
        </is>
      </c>
      <c r="D98" s="187" t="inlineStr">
        <is>
          <t>Footwear</t>
        </is>
      </c>
      <c r="E98" s="206">
        <f>SUMPRODUCT('Sales Data'!O98:AR98)</f>
        <v/>
      </c>
      <c r="F98" s="207">
        <f>SUMPRODUCT('Sales Data'!O98:AR98)*'Sales Data'!L98</f>
        <v/>
      </c>
      <c r="G98" s="207">
        <f>SUMPRODUCT('Sales Data'!O98:AR98)*'Sales Data'!K98</f>
        <v/>
      </c>
      <c r="H98" s="207">
        <f>F98-G98</f>
        <v/>
      </c>
    </row>
    <row r="99" ht="15" customHeight="1" s="133">
      <c r="A99" s="167" t="inlineStr">
        <is>
          <t>PK-1097</t>
        </is>
      </c>
      <c r="B99" s="167" t="inlineStr">
        <is>
          <t>Servis Men Sandals</t>
        </is>
      </c>
      <c r="C99" s="167" t="inlineStr">
        <is>
          <t>Clothing &amp; Textiles</t>
        </is>
      </c>
      <c r="D99" s="167" t="inlineStr">
        <is>
          <t>Footwear</t>
        </is>
      </c>
      <c r="E99" s="204">
        <f>SUMPRODUCT('Sales Data'!O99:AR99)</f>
        <v/>
      </c>
      <c r="F99" s="205">
        <f>SUMPRODUCT('Sales Data'!O99:AR99)*'Sales Data'!L99</f>
        <v/>
      </c>
      <c r="G99" s="205">
        <f>SUMPRODUCT('Sales Data'!O99:AR99)*'Sales Data'!K99</f>
        <v/>
      </c>
      <c r="H99" s="205">
        <f>F99-G99</f>
        <v/>
      </c>
    </row>
    <row r="100" ht="15" customHeight="1" s="133">
      <c r="A100" s="187" t="inlineStr">
        <is>
          <t>PK-1098</t>
        </is>
      </c>
      <c r="B100" s="187" t="inlineStr">
        <is>
          <t>Servis School Shoes</t>
        </is>
      </c>
      <c r="C100" s="187" t="inlineStr">
        <is>
          <t>Clothing &amp; Textiles</t>
        </is>
      </c>
      <c r="D100" s="187" t="inlineStr">
        <is>
          <t>Footwear</t>
        </is>
      </c>
      <c r="E100" s="206">
        <f>SUMPRODUCT('Sales Data'!O100:AR100)</f>
        <v/>
      </c>
      <c r="F100" s="207">
        <f>SUMPRODUCT('Sales Data'!O100:AR100)*'Sales Data'!L100</f>
        <v/>
      </c>
      <c r="G100" s="207">
        <f>SUMPRODUCT('Sales Data'!O100:AR100)*'Sales Data'!K100</f>
        <v/>
      </c>
      <c r="H100" s="207">
        <f>F100-G100</f>
        <v/>
      </c>
    </row>
    <row r="101" ht="15" customHeight="1" s="133">
      <c r="A101" s="167" t="inlineStr">
        <is>
          <t>PK-1099</t>
        </is>
      </c>
      <c r="B101" s="167" t="inlineStr">
        <is>
          <t>Nike Air Max (Replica)</t>
        </is>
      </c>
      <c r="C101" s="167" t="inlineStr">
        <is>
          <t>Clothing &amp; Textiles</t>
        </is>
      </c>
      <c r="D101" s="167" t="inlineStr">
        <is>
          <t>Footwear</t>
        </is>
      </c>
      <c r="E101" s="204">
        <f>SUMPRODUCT('Sales Data'!O101:AR101)</f>
        <v/>
      </c>
      <c r="F101" s="205">
        <f>SUMPRODUCT('Sales Data'!O101:AR101)*'Sales Data'!L101</f>
        <v/>
      </c>
      <c r="G101" s="205">
        <f>SUMPRODUCT('Sales Data'!O101:AR101)*'Sales Data'!K101</f>
        <v/>
      </c>
      <c r="H101" s="205">
        <f>F101-G101</f>
        <v/>
      </c>
    </row>
    <row r="102" ht="15" customHeight="1" s="133">
      <c r="A102" s="187" t="inlineStr">
        <is>
          <t>PK-1100</t>
        </is>
      </c>
      <c r="B102" s="187" t="inlineStr">
        <is>
          <t>Stylo Women Heels</t>
        </is>
      </c>
      <c r="C102" s="187" t="inlineStr">
        <is>
          <t>Clothing &amp; Textiles</t>
        </is>
      </c>
      <c r="D102" s="187" t="inlineStr">
        <is>
          <t>Footwear</t>
        </is>
      </c>
      <c r="E102" s="206">
        <f>SUMPRODUCT('Sales Data'!O102:AR102)</f>
        <v/>
      </c>
      <c r="F102" s="207">
        <f>SUMPRODUCT('Sales Data'!O102:AR102)*'Sales Data'!L102</f>
        <v/>
      </c>
      <c r="G102" s="207">
        <f>SUMPRODUCT('Sales Data'!O102:AR102)*'Sales Data'!K102</f>
        <v/>
      </c>
      <c r="H102" s="207">
        <f>F102-G102</f>
        <v/>
      </c>
    </row>
    <row r="103" ht="15" customHeight="1" s="133">
      <c r="A103" s="167" t="inlineStr">
        <is>
          <t>PK-1101</t>
        </is>
      </c>
      <c r="B103" s="167" t="inlineStr">
        <is>
          <t>Metro Men Casual</t>
        </is>
      </c>
      <c r="C103" s="167" t="inlineStr">
        <is>
          <t>Clothing &amp; Textiles</t>
        </is>
      </c>
      <c r="D103" s="167" t="inlineStr">
        <is>
          <t>Footwear</t>
        </is>
      </c>
      <c r="E103" s="204">
        <f>SUMPRODUCT('Sales Data'!O103:AR103)</f>
        <v/>
      </c>
      <c r="F103" s="205">
        <f>SUMPRODUCT('Sales Data'!O103:AR103)*'Sales Data'!L103</f>
        <v/>
      </c>
      <c r="G103" s="205">
        <f>SUMPRODUCT('Sales Data'!O103:AR103)*'Sales Data'!K103</f>
        <v/>
      </c>
      <c r="H103" s="205">
        <f>F103-G103</f>
        <v/>
      </c>
    </row>
    <row r="104" ht="15" customHeight="1" s="133">
      <c r="A104" s="187" t="inlineStr">
        <is>
          <t>PK-1102</t>
        </is>
      </c>
      <c r="B104" s="187" t="inlineStr">
        <is>
          <t>Hush Puppies Loafers</t>
        </is>
      </c>
      <c r="C104" s="187" t="inlineStr">
        <is>
          <t>Clothing &amp; Textiles</t>
        </is>
      </c>
      <c r="D104" s="187" t="inlineStr">
        <is>
          <t>Footwear</t>
        </is>
      </c>
      <c r="E104" s="206">
        <f>SUMPRODUCT('Sales Data'!O104:AR104)</f>
        <v/>
      </c>
      <c r="F104" s="207">
        <f>SUMPRODUCT('Sales Data'!O104:AR104)*'Sales Data'!L104</f>
        <v/>
      </c>
      <c r="G104" s="207">
        <f>SUMPRODUCT('Sales Data'!O104:AR104)*'Sales Data'!K104</f>
        <v/>
      </c>
      <c r="H104" s="207">
        <f>F104-G104</f>
        <v/>
      </c>
    </row>
    <row r="105" ht="15" customHeight="1" s="133">
      <c r="A105" s="167" t="inlineStr">
        <is>
          <t>PK-1103</t>
        </is>
      </c>
      <c r="B105" s="167" t="inlineStr">
        <is>
          <t>Lawn Fabric per meter</t>
        </is>
      </c>
      <c r="C105" s="167" t="inlineStr">
        <is>
          <t>Clothing &amp; Textiles</t>
        </is>
      </c>
      <c r="D105" s="167" t="inlineStr">
        <is>
          <t>Fabric &amp; Accessories</t>
        </is>
      </c>
      <c r="E105" s="204">
        <f>SUMPRODUCT('Sales Data'!O105:AR105)</f>
        <v/>
      </c>
      <c r="F105" s="205">
        <f>SUMPRODUCT('Sales Data'!O105:AR105)*'Sales Data'!L105</f>
        <v/>
      </c>
      <c r="G105" s="205">
        <f>SUMPRODUCT('Sales Data'!O105:AR105)*'Sales Data'!K105</f>
        <v/>
      </c>
      <c r="H105" s="205">
        <f>F105-G105</f>
        <v/>
      </c>
    </row>
    <row r="106" ht="15" customHeight="1" s="133">
      <c r="A106" s="187" t="inlineStr">
        <is>
          <t>PK-1104</t>
        </is>
      </c>
      <c r="B106" s="187" t="inlineStr">
        <is>
          <t>Chiffon Fabric per meter</t>
        </is>
      </c>
      <c r="C106" s="187" t="inlineStr">
        <is>
          <t>Clothing &amp; Textiles</t>
        </is>
      </c>
      <c r="D106" s="187" t="inlineStr">
        <is>
          <t>Fabric &amp; Accessories</t>
        </is>
      </c>
      <c r="E106" s="206">
        <f>SUMPRODUCT('Sales Data'!O106:AR106)</f>
        <v/>
      </c>
      <c r="F106" s="207">
        <f>SUMPRODUCT('Sales Data'!O106:AR106)*'Sales Data'!L106</f>
        <v/>
      </c>
      <c r="G106" s="207">
        <f>SUMPRODUCT('Sales Data'!O106:AR106)*'Sales Data'!K106</f>
        <v/>
      </c>
      <c r="H106" s="207">
        <f>F106-G106</f>
        <v/>
      </c>
    </row>
    <row r="107" ht="15" customHeight="1" s="133">
      <c r="A107" s="167" t="inlineStr">
        <is>
          <t>PK-1105</t>
        </is>
      </c>
      <c r="B107" s="167" t="inlineStr">
        <is>
          <t>Cotton Fabric per meter</t>
        </is>
      </c>
      <c r="C107" s="167" t="inlineStr">
        <is>
          <t>Clothing &amp; Textiles</t>
        </is>
      </c>
      <c r="D107" s="167" t="inlineStr">
        <is>
          <t>Fabric &amp; Accessories</t>
        </is>
      </c>
      <c r="E107" s="204">
        <f>SUMPRODUCT('Sales Data'!O107:AR107)</f>
        <v/>
      </c>
      <c r="F107" s="205">
        <f>SUMPRODUCT('Sales Data'!O107:AR107)*'Sales Data'!L107</f>
        <v/>
      </c>
      <c r="G107" s="205">
        <f>SUMPRODUCT('Sales Data'!O107:AR107)*'Sales Data'!K107</f>
        <v/>
      </c>
      <c r="H107" s="205">
        <f>F107-G107</f>
        <v/>
      </c>
    </row>
    <row r="108" ht="15" customHeight="1" s="133">
      <c r="A108" s="187" t="inlineStr">
        <is>
          <t>PK-1106</t>
        </is>
      </c>
      <c r="B108" s="187" t="inlineStr">
        <is>
          <t>Silk Fabric per meter</t>
        </is>
      </c>
      <c r="C108" s="187" t="inlineStr">
        <is>
          <t>Clothing &amp; Textiles</t>
        </is>
      </c>
      <c r="D108" s="187" t="inlineStr">
        <is>
          <t>Fabric &amp; Accessories</t>
        </is>
      </c>
      <c r="E108" s="206">
        <f>SUMPRODUCT('Sales Data'!O108:AR108)</f>
        <v/>
      </c>
      <c r="F108" s="207">
        <f>SUMPRODUCT('Sales Data'!O108:AR108)*'Sales Data'!L108</f>
        <v/>
      </c>
      <c r="G108" s="207">
        <f>SUMPRODUCT('Sales Data'!O108:AR108)*'Sales Data'!K108</f>
        <v/>
      </c>
      <c r="H108" s="207">
        <f>F108-G108</f>
        <v/>
      </c>
    </row>
    <row r="109" ht="15" customHeight="1" s="133">
      <c r="A109" s="167" t="inlineStr">
        <is>
          <t>PK-1107</t>
        </is>
      </c>
      <c r="B109" s="167" t="inlineStr">
        <is>
          <t>Ladies Handbag</t>
        </is>
      </c>
      <c r="C109" s="167" t="inlineStr">
        <is>
          <t>Clothing &amp; Textiles</t>
        </is>
      </c>
      <c r="D109" s="167" t="inlineStr">
        <is>
          <t>Fabric &amp; Accessories</t>
        </is>
      </c>
      <c r="E109" s="204">
        <f>SUMPRODUCT('Sales Data'!O109:AR109)</f>
        <v/>
      </c>
      <c r="F109" s="205">
        <f>SUMPRODUCT('Sales Data'!O109:AR109)*'Sales Data'!L109</f>
        <v/>
      </c>
      <c r="G109" s="205">
        <f>SUMPRODUCT('Sales Data'!O109:AR109)*'Sales Data'!K109</f>
        <v/>
      </c>
      <c r="H109" s="205">
        <f>F109-G109</f>
        <v/>
      </c>
    </row>
    <row r="110" ht="15" customHeight="1" s="133">
      <c r="A110" s="187" t="inlineStr">
        <is>
          <t>PK-1108</t>
        </is>
      </c>
      <c r="B110" s="187" t="inlineStr">
        <is>
          <t>Men Leather Belt</t>
        </is>
      </c>
      <c r="C110" s="187" t="inlineStr">
        <is>
          <t>Clothing &amp; Textiles</t>
        </is>
      </c>
      <c r="D110" s="187" t="inlineStr">
        <is>
          <t>Fabric &amp; Accessories</t>
        </is>
      </c>
      <c r="E110" s="206">
        <f>SUMPRODUCT('Sales Data'!O110:AR110)</f>
        <v/>
      </c>
      <c r="F110" s="207">
        <f>SUMPRODUCT('Sales Data'!O110:AR110)*'Sales Data'!L110</f>
        <v/>
      </c>
      <c r="G110" s="207">
        <f>SUMPRODUCT('Sales Data'!O110:AR110)*'Sales Data'!K110</f>
        <v/>
      </c>
      <c r="H110" s="207">
        <f>F110-G110</f>
        <v/>
      </c>
    </row>
    <row r="111" ht="15" customHeight="1" s="133">
      <c r="A111" s="167" t="inlineStr">
        <is>
          <t>PK-1109</t>
        </is>
      </c>
      <c r="B111" s="167" t="inlineStr">
        <is>
          <t>Ladies Scarf</t>
        </is>
      </c>
      <c r="C111" s="167" t="inlineStr">
        <is>
          <t>Clothing &amp; Textiles</t>
        </is>
      </c>
      <c r="D111" s="167" t="inlineStr">
        <is>
          <t>Fabric &amp; Accessories</t>
        </is>
      </c>
      <c r="E111" s="204">
        <f>SUMPRODUCT('Sales Data'!O111:AR111)</f>
        <v/>
      </c>
      <c r="F111" s="205">
        <f>SUMPRODUCT('Sales Data'!O111:AR111)*'Sales Data'!L111</f>
        <v/>
      </c>
      <c r="G111" s="205">
        <f>SUMPRODUCT('Sales Data'!O111:AR111)*'Sales Data'!K111</f>
        <v/>
      </c>
      <c r="H111" s="205">
        <f>F111-G111</f>
        <v/>
      </c>
    </row>
    <row r="112" ht="15" customHeight="1" s="133">
      <c r="A112" s="187" t="inlineStr">
        <is>
          <t>PK-1110</t>
        </is>
      </c>
      <c r="B112" s="187" t="inlineStr">
        <is>
          <t>Men Necktie</t>
        </is>
      </c>
      <c r="C112" s="187" t="inlineStr">
        <is>
          <t>Clothing &amp; Textiles</t>
        </is>
      </c>
      <c r="D112" s="187" t="inlineStr">
        <is>
          <t>Fabric &amp; Accessories</t>
        </is>
      </c>
      <c r="E112" s="206">
        <f>SUMPRODUCT('Sales Data'!O112:AR112)</f>
        <v/>
      </c>
      <c r="F112" s="207">
        <f>SUMPRODUCT('Sales Data'!O112:AR112)*'Sales Data'!L112</f>
        <v/>
      </c>
      <c r="G112" s="207">
        <f>SUMPRODUCT('Sales Data'!O112:AR112)*'Sales Data'!K112</f>
        <v/>
      </c>
      <c r="H112" s="207">
        <f>F112-G112</f>
        <v/>
      </c>
    </row>
    <row r="113" ht="15" customHeight="1" s="133">
      <c r="A113" s="187" t="inlineStr">
        <is>
          <t>PK-1144</t>
        </is>
      </c>
      <c r="B113" s="187" t="inlineStr">
        <is>
          <t>Panadol Extra 20tabs</t>
        </is>
      </c>
      <c r="C113" s="187" t="inlineStr">
        <is>
          <t>Pharmaceuticals &amp; Health</t>
        </is>
      </c>
      <c r="D113" s="187" t="inlineStr">
        <is>
          <t>OTC Medicines</t>
        </is>
      </c>
      <c r="E113" s="206">
        <f>SUMPRODUCT('Sales Data'!O113:AR113)</f>
        <v/>
      </c>
      <c r="F113" s="207">
        <f>SUMPRODUCT('Sales Data'!O113:AR113)*'Sales Data'!L113</f>
        <v/>
      </c>
      <c r="G113" s="207">
        <f>SUMPRODUCT('Sales Data'!O113:AR113)*'Sales Data'!K113</f>
        <v/>
      </c>
      <c r="H113" s="207">
        <f>F146-G146</f>
        <v/>
      </c>
    </row>
    <row r="114" ht="15" customHeight="1" s="133">
      <c r="A114" s="167" t="inlineStr">
        <is>
          <t>PK-1145</t>
        </is>
      </c>
      <c r="B114" s="167" t="inlineStr">
        <is>
          <t>Panadol CF 10tabs</t>
        </is>
      </c>
      <c r="C114" s="167" t="inlineStr">
        <is>
          <t>Pharmaceuticals &amp; Health</t>
        </is>
      </c>
      <c r="D114" s="167" t="inlineStr">
        <is>
          <t>OTC Medicines</t>
        </is>
      </c>
      <c r="E114" s="204">
        <f>SUMPRODUCT('Sales Data'!O114:AR114)</f>
        <v/>
      </c>
      <c r="F114" s="205">
        <f>SUMPRODUCT('Sales Data'!O114:AR114)*'Sales Data'!L114</f>
        <v/>
      </c>
      <c r="G114" s="205">
        <f>SUMPRODUCT('Sales Data'!O114:AR114)*'Sales Data'!K114</f>
        <v/>
      </c>
      <c r="H114" s="205">
        <f>F147-G147</f>
        <v/>
      </c>
    </row>
    <row r="115" ht="15" customHeight="1" s="133">
      <c r="A115" s="187" t="inlineStr">
        <is>
          <t>PK-1146</t>
        </is>
      </c>
      <c r="B115" s="187" t="inlineStr">
        <is>
          <t>Brufen 400mg 10tabs</t>
        </is>
      </c>
      <c r="C115" s="187" t="inlineStr">
        <is>
          <t>Pharmaceuticals &amp; Health</t>
        </is>
      </c>
      <c r="D115" s="187" t="inlineStr">
        <is>
          <t>OTC Medicines</t>
        </is>
      </c>
      <c r="E115" s="206">
        <f>SUMPRODUCT('Sales Data'!O115:AR115)</f>
        <v/>
      </c>
      <c r="F115" s="207">
        <f>SUMPRODUCT('Sales Data'!O115:AR115)*'Sales Data'!L115</f>
        <v/>
      </c>
      <c r="G115" s="207">
        <f>SUMPRODUCT('Sales Data'!O115:AR115)*'Sales Data'!K115</f>
        <v/>
      </c>
      <c r="H115" s="207">
        <f>F148-G148</f>
        <v/>
      </c>
    </row>
    <row r="116" ht="15" customHeight="1" s="133">
      <c r="A116" s="167" t="inlineStr">
        <is>
          <t>PK-1147</t>
        </is>
      </c>
      <c r="B116" s="167" t="inlineStr">
        <is>
          <t>Disprin 10tabs</t>
        </is>
      </c>
      <c r="C116" s="167" t="inlineStr">
        <is>
          <t>Pharmaceuticals &amp; Health</t>
        </is>
      </c>
      <c r="D116" s="167" t="inlineStr">
        <is>
          <t>OTC Medicines</t>
        </is>
      </c>
      <c r="E116" s="204">
        <f>SUMPRODUCT('Sales Data'!O116:AR116)</f>
        <v/>
      </c>
      <c r="F116" s="205">
        <f>SUMPRODUCT('Sales Data'!O116:AR116)*'Sales Data'!L116</f>
        <v/>
      </c>
      <c r="G116" s="205">
        <f>SUMPRODUCT('Sales Data'!O116:AR116)*'Sales Data'!K116</f>
        <v/>
      </c>
      <c r="H116" s="205">
        <f>F149-G149</f>
        <v/>
      </c>
    </row>
    <row r="117" ht="15" customHeight="1" s="133">
      <c r="A117" s="187" t="inlineStr">
        <is>
          <t>PK-1148</t>
        </is>
      </c>
      <c r="B117" s="187" t="inlineStr">
        <is>
          <t>ORS Sachets x10</t>
        </is>
      </c>
      <c r="C117" s="187" t="inlineStr">
        <is>
          <t>Pharmaceuticals &amp; Health</t>
        </is>
      </c>
      <c r="D117" s="187" t="inlineStr">
        <is>
          <t>OTC Medicines</t>
        </is>
      </c>
      <c r="E117" s="206">
        <f>SUMPRODUCT('Sales Data'!O117:AR117)</f>
        <v/>
      </c>
      <c r="F117" s="207">
        <f>SUMPRODUCT('Sales Data'!O117:AR117)*'Sales Data'!L117</f>
        <v/>
      </c>
      <c r="G117" s="207">
        <f>SUMPRODUCT('Sales Data'!O117:AR117)*'Sales Data'!K117</f>
        <v/>
      </c>
      <c r="H117" s="207">
        <f>F150-G150</f>
        <v/>
      </c>
    </row>
    <row r="118" ht="15" customHeight="1" s="133">
      <c r="A118" s="167" t="inlineStr">
        <is>
          <t>PK-1149</t>
        </is>
      </c>
      <c r="B118" s="167" t="inlineStr">
        <is>
          <t>Vitamin C 500mg x30</t>
        </is>
      </c>
      <c r="C118" s="167" t="inlineStr">
        <is>
          <t>Pharmaceuticals &amp; Health</t>
        </is>
      </c>
      <c r="D118" s="167" t="inlineStr">
        <is>
          <t>OTC Medicines</t>
        </is>
      </c>
      <c r="E118" s="204">
        <f>SUMPRODUCT('Sales Data'!O118:AR118)</f>
        <v/>
      </c>
      <c r="F118" s="205">
        <f>SUMPRODUCT('Sales Data'!O118:AR118)*'Sales Data'!L118</f>
        <v/>
      </c>
      <c r="G118" s="205">
        <f>SUMPRODUCT('Sales Data'!O118:AR118)*'Sales Data'!K118</f>
        <v/>
      </c>
      <c r="H118" s="205">
        <f>F151-G151</f>
        <v/>
      </c>
    </row>
    <row r="119" ht="15" customHeight="1" s="133">
      <c r="A119" s="187" t="inlineStr">
        <is>
          <t>PK-1150</t>
        </is>
      </c>
      <c r="B119" s="187" t="inlineStr">
        <is>
          <t>Omeprazole 20mg x14</t>
        </is>
      </c>
      <c r="C119" s="187" t="inlineStr">
        <is>
          <t>Pharmaceuticals &amp; Health</t>
        </is>
      </c>
      <c r="D119" s="187" t="inlineStr">
        <is>
          <t>OTC Medicines</t>
        </is>
      </c>
      <c r="E119" s="206">
        <f>SUMPRODUCT('Sales Data'!O119:AR119)</f>
        <v/>
      </c>
      <c r="F119" s="207">
        <f>SUMPRODUCT('Sales Data'!O119:AR119)*'Sales Data'!L119</f>
        <v/>
      </c>
      <c r="G119" s="207">
        <f>SUMPRODUCT('Sales Data'!O119:AR119)*'Sales Data'!K119</f>
        <v/>
      </c>
      <c r="H119" s="207">
        <f>F152-G152</f>
        <v/>
      </c>
    </row>
    <row r="120" ht="15" customHeight="1" s="133">
      <c r="A120" s="167" t="inlineStr">
        <is>
          <t>PK-1151</t>
        </is>
      </c>
      <c r="B120" s="167" t="inlineStr">
        <is>
          <t>Antacid 100ml Syrup</t>
        </is>
      </c>
      <c r="C120" s="167" t="inlineStr">
        <is>
          <t>Pharmaceuticals &amp; Health</t>
        </is>
      </c>
      <c r="D120" s="167" t="inlineStr">
        <is>
          <t>OTC Medicines</t>
        </is>
      </c>
      <c r="E120" s="204">
        <f>SUMPRODUCT('Sales Data'!O120:AR120)</f>
        <v/>
      </c>
      <c r="F120" s="205">
        <f>SUMPRODUCT('Sales Data'!O120:AR120)*'Sales Data'!L120</f>
        <v/>
      </c>
      <c r="G120" s="205">
        <f>SUMPRODUCT('Sales Data'!O120:AR120)*'Sales Data'!K120</f>
        <v/>
      </c>
      <c r="H120" s="205">
        <f>F153-G153</f>
        <v/>
      </c>
    </row>
    <row r="121" ht="15" customHeight="1" s="133">
      <c r="A121" s="187" t="inlineStr">
        <is>
          <t>PK-1152</t>
        </is>
      </c>
      <c r="B121" s="187" t="inlineStr">
        <is>
          <t>Cough Syrup 100ml</t>
        </is>
      </c>
      <c r="C121" s="187" t="inlineStr">
        <is>
          <t>Pharmaceuticals &amp; Health</t>
        </is>
      </c>
      <c r="D121" s="187" t="inlineStr">
        <is>
          <t>OTC Medicines</t>
        </is>
      </c>
      <c r="E121" s="206">
        <f>SUMPRODUCT('Sales Data'!O121:AR121)</f>
        <v/>
      </c>
      <c r="F121" s="207">
        <f>SUMPRODUCT('Sales Data'!O121:AR121)*'Sales Data'!L121</f>
        <v/>
      </c>
      <c r="G121" s="207">
        <f>SUMPRODUCT('Sales Data'!O121:AR121)*'Sales Data'!K121</f>
        <v/>
      </c>
      <c r="H121" s="207">
        <f>F154-G154</f>
        <v/>
      </c>
    </row>
    <row r="122" ht="15" customHeight="1" s="133">
      <c r="A122" s="167" t="inlineStr">
        <is>
          <t>PK-1153</t>
        </is>
      </c>
      <c r="B122" s="167" t="inlineStr">
        <is>
          <t>Eye Drops 10ml</t>
        </is>
      </c>
      <c r="C122" s="167" t="inlineStr">
        <is>
          <t>Pharmaceuticals &amp; Health</t>
        </is>
      </c>
      <c r="D122" s="167" t="inlineStr">
        <is>
          <t>OTC Medicines</t>
        </is>
      </c>
      <c r="E122" s="204">
        <f>SUMPRODUCT('Sales Data'!O122:AR122)</f>
        <v/>
      </c>
      <c r="F122" s="205">
        <f>SUMPRODUCT('Sales Data'!O122:AR122)*'Sales Data'!L122</f>
        <v/>
      </c>
      <c r="G122" s="205">
        <f>SUMPRODUCT('Sales Data'!O122:AR122)*'Sales Data'!K122</f>
        <v/>
      </c>
      <c r="H122" s="205">
        <f>F155-G155</f>
        <v/>
      </c>
    </row>
    <row r="123" ht="15" customHeight="1" s="133">
      <c r="A123" s="187" t="inlineStr">
        <is>
          <t>PK-1154</t>
        </is>
      </c>
      <c r="B123" s="187" t="inlineStr">
        <is>
          <t>Surgical Mask Box 50pcs</t>
        </is>
      </c>
      <c r="C123" s="187" t="inlineStr">
        <is>
          <t>Pharmaceuticals &amp; Health</t>
        </is>
      </c>
      <c r="D123" s="187" t="inlineStr">
        <is>
          <t>Surgical &amp; Medical Supplies</t>
        </is>
      </c>
      <c r="E123" s="206">
        <f>SUMPRODUCT('Sales Data'!O123:AR123)</f>
        <v/>
      </c>
      <c r="F123" s="207">
        <f>SUMPRODUCT('Sales Data'!O123:AR123)*'Sales Data'!L123</f>
        <v/>
      </c>
      <c r="G123" s="207">
        <f>SUMPRODUCT('Sales Data'!O123:AR123)*'Sales Data'!K123</f>
        <v/>
      </c>
      <c r="H123" s="207">
        <f>F156-G156</f>
        <v/>
      </c>
    </row>
    <row r="124" ht="15" customHeight="1" s="133">
      <c r="A124" s="167" t="inlineStr">
        <is>
          <t>PK-1155</t>
        </is>
      </c>
      <c r="B124" s="167" t="inlineStr">
        <is>
          <t>Latex Gloves M Box 100</t>
        </is>
      </c>
      <c r="C124" s="167" t="inlineStr">
        <is>
          <t>Pharmaceuticals &amp; Health</t>
        </is>
      </c>
      <c r="D124" s="167" t="inlineStr">
        <is>
          <t>Surgical &amp; Medical Supplies</t>
        </is>
      </c>
      <c r="E124" s="204">
        <f>SUMPRODUCT('Sales Data'!O124:AR124)</f>
        <v/>
      </c>
      <c r="F124" s="205">
        <f>SUMPRODUCT('Sales Data'!O124:AR124)*'Sales Data'!L124</f>
        <v/>
      </c>
      <c r="G124" s="205">
        <f>SUMPRODUCT('Sales Data'!O124:AR124)*'Sales Data'!K124</f>
        <v/>
      </c>
      <c r="H124" s="205">
        <f>F157-G157</f>
        <v/>
      </c>
    </row>
    <row r="125" ht="15" customHeight="1" s="133">
      <c r="A125" s="187" t="inlineStr">
        <is>
          <t>PK-1156</t>
        </is>
      </c>
      <c r="B125" s="187" t="inlineStr">
        <is>
          <t>Bandage Roll 5cm</t>
        </is>
      </c>
      <c r="C125" s="187" t="inlineStr">
        <is>
          <t>Pharmaceuticals &amp; Health</t>
        </is>
      </c>
      <c r="D125" s="187" t="inlineStr">
        <is>
          <t>Surgical &amp; Medical Supplies</t>
        </is>
      </c>
      <c r="E125" s="206">
        <f>SUMPRODUCT('Sales Data'!O125:AR125)</f>
        <v/>
      </c>
      <c r="F125" s="207">
        <f>SUMPRODUCT('Sales Data'!O125:AR125)*'Sales Data'!L125</f>
        <v/>
      </c>
      <c r="G125" s="207">
        <f>SUMPRODUCT('Sales Data'!O125:AR125)*'Sales Data'!K125</f>
        <v/>
      </c>
      <c r="H125" s="207">
        <f>F158-G158</f>
        <v/>
      </c>
    </row>
    <row r="126" ht="15" customHeight="1" s="133">
      <c r="A126" s="167" t="inlineStr">
        <is>
          <t>PK-1157</t>
        </is>
      </c>
      <c r="B126" s="167" t="inlineStr">
        <is>
          <t>Antiseptic Dettol 500ml</t>
        </is>
      </c>
      <c r="C126" s="167" t="inlineStr">
        <is>
          <t>Pharmaceuticals &amp; Health</t>
        </is>
      </c>
      <c r="D126" s="167" t="inlineStr">
        <is>
          <t>Surgical &amp; Medical Supplies</t>
        </is>
      </c>
      <c r="E126" s="204">
        <f>SUMPRODUCT('Sales Data'!O126:AR126)</f>
        <v/>
      </c>
      <c r="F126" s="205">
        <f>SUMPRODUCT('Sales Data'!O126:AR126)*'Sales Data'!L126</f>
        <v/>
      </c>
      <c r="G126" s="205">
        <f>SUMPRODUCT('Sales Data'!O126:AR126)*'Sales Data'!K126</f>
        <v/>
      </c>
      <c r="H126" s="205">
        <f>F159-G159</f>
        <v/>
      </c>
    </row>
    <row r="127" ht="15" customHeight="1" s="133">
      <c r="A127" s="187" t="inlineStr">
        <is>
          <t>PK-1158</t>
        </is>
      </c>
      <c r="B127" s="187" t="inlineStr">
        <is>
          <t>Cotton 100g</t>
        </is>
      </c>
      <c r="C127" s="187" t="inlineStr">
        <is>
          <t>Pharmaceuticals &amp; Health</t>
        </is>
      </c>
      <c r="D127" s="187" t="inlineStr">
        <is>
          <t>Surgical &amp; Medical Supplies</t>
        </is>
      </c>
      <c r="E127" s="206">
        <f>SUMPRODUCT('Sales Data'!O127:AR127)</f>
        <v/>
      </c>
      <c r="F127" s="207">
        <f>SUMPRODUCT('Sales Data'!O127:AR127)*'Sales Data'!L127</f>
        <v/>
      </c>
      <c r="G127" s="207">
        <f>SUMPRODUCT('Sales Data'!O127:AR127)*'Sales Data'!K127</f>
        <v/>
      </c>
      <c r="H127" s="207">
        <f>F160-G160</f>
        <v/>
      </c>
    </row>
    <row r="128" ht="15" customHeight="1" s="133">
      <c r="A128" s="167" t="inlineStr">
        <is>
          <t>PK-1159</t>
        </is>
      </c>
      <c r="B128" s="167" t="inlineStr">
        <is>
          <t>BP Apparatus Digital</t>
        </is>
      </c>
      <c r="C128" s="167" t="inlineStr">
        <is>
          <t>Pharmaceuticals &amp; Health</t>
        </is>
      </c>
      <c r="D128" s="167" t="inlineStr">
        <is>
          <t>Surgical &amp; Medical Supplies</t>
        </is>
      </c>
      <c r="E128" s="204">
        <f>SUMPRODUCT('Sales Data'!O128:AR128)</f>
        <v/>
      </c>
      <c r="F128" s="205">
        <f>SUMPRODUCT('Sales Data'!O128:AR128)*'Sales Data'!L128</f>
        <v/>
      </c>
      <c r="G128" s="205">
        <f>SUMPRODUCT('Sales Data'!O128:AR128)*'Sales Data'!K128</f>
        <v/>
      </c>
      <c r="H128" s="205">
        <f>F161-G161</f>
        <v/>
      </c>
    </row>
    <row r="129" ht="15" customHeight="1" s="133">
      <c r="A129" s="187" t="inlineStr">
        <is>
          <t>PK-1160</t>
        </is>
      </c>
      <c r="B129" s="187" t="inlineStr">
        <is>
          <t>Thermometer Digital</t>
        </is>
      </c>
      <c r="C129" s="187" t="inlineStr">
        <is>
          <t>Pharmaceuticals &amp; Health</t>
        </is>
      </c>
      <c r="D129" s="187" t="inlineStr">
        <is>
          <t>Surgical &amp; Medical Supplies</t>
        </is>
      </c>
      <c r="E129" s="206">
        <f>SUMPRODUCT('Sales Data'!O129:AR129)</f>
        <v/>
      </c>
      <c r="F129" s="207">
        <f>SUMPRODUCT('Sales Data'!O129:AR129)*'Sales Data'!L129</f>
        <v/>
      </c>
      <c r="G129" s="207">
        <f>SUMPRODUCT('Sales Data'!O129:AR129)*'Sales Data'!K129</f>
        <v/>
      </c>
      <c r="H129" s="207">
        <f>F162-G162</f>
        <v/>
      </c>
    </row>
    <row r="130" ht="15" customHeight="1" s="133">
      <c r="A130" s="167" t="inlineStr">
        <is>
          <t>PK-1161</t>
        </is>
      </c>
      <c r="B130" s="167" t="inlineStr">
        <is>
          <t>Glucometer</t>
        </is>
      </c>
      <c r="C130" s="167" t="inlineStr">
        <is>
          <t>Pharmaceuticals &amp; Health</t>
        </is>
      </c>
      <c r="D130" s="167" t="inlineStr">
        <is>
          <t>Surgical &amp; Medical Supplies</t>
        </is>
      </c>
      <c r="E130" s="204">
        <f>SUMPRODUCT('Sales Data'!O130:AR130)</f>
        <v/>
      </c>
      <c r="F130" s="205">
        <f>SUMPRODUCT('Sales Data'!O130:AR130)*'Sales Data'!L130</f>
        <v/>
      </c>
      <c r="G130" s="205">
        <f>SUMPRODUCT('Sales Data'!O130:AR130)*'Sales Data'!K130</f>
        <v/>
      </c>
      <c r="H130" s="205">
        <f>F163-G163</f>
        <v/>
      </c>
    </row>
    <row r="131" ht="15" customHeight="1" s="133">
      <c r="A131" s="187" t="inlineStr">
        <is>
          <t>PK-1162</t>
        </is>
      </c>
      <c r="B131" s="187" t="inlineStr">
        <is>
          <t>Head &amp; Shoulders 400ml</t>
        </is>
      </c>
      <c r="C131" s="187" t="inlineStr">
        <is>
          <t>Pharmaceuticals &amp; Health</t>
        </is>
      </c>
      <c r="D131" s="187" t="inlineStr">
        <is>
          <t>Personal Care</t>
        </is>
      </c>
      <c r="E131" s="206">
        <f>SUMPRODUCT('Sales Data'!O131:AR131)</f>
        <v/>
      </c>
      <c r="F131" s="207">
        <f>SUMPRODUCT('Sales Data'!O131:AR131)*'Sales Data'!L131</f>
        <v/>
      </c>
      <c r="G131" s="207">
        <f>SUMPRODUCT('Sales Data'!O131:AR131)*'Sales Data'!K131</f>
        <v/>
      </c>
      <c r="H131" s="207">
        <f>F164-G164</f>
        <v/>
      </c>
    </row>
    <row r="132" ht="15" customHeight="1" s="133">
      <c r="A132" s="167" t="inlineStr">
        <is>
          <t>PK-1163</t>
        </is>
      </c>
      <c r="B132" s="167" t="inlineStr">
        <is>
          <t>Pantene Shampoo 400ml</t>
        </is>
      </c>
      <c r="C132" s="167" t="inlineStr">
        <is>
          <t>Pharmaceuticals &amp; Health</t>
        </is>
      </c>
      <c r="D132" s="167" t="inlineStr">
        <is>
          <t>Personal Care</t>
        </is>
      </c>
      <c r="E132" s="204">
        <f>SUMPRODUCT('Sales Data'!O132:AR132)</f>
        <v/>
      </c>
      <c r="F132" s="205">
        <f>SUMPRODUCT('Sales Data'!O132:AR132)*'Sales Data'!L132</f>
        <v/>
      </c>
      <c r="G132" s="205">
        <f>SUMPRODUCT('Sales Data'!O132:AR132)*'Sales Data'!K132</f>
        <v/>
      </c>
      <c r="H132" s="205">
        <f>F165-G165</f>
        <v/>
      </c>
    </row>
    <row r="133" ht="15" customHeight="1" s="133">
      <c r="A133" s="187" t="inlineStr">
        <is>
          <t>PK-1164</t>
        </is>
      </c>
      <c r="B133" s="187" t="inlineStr">
        <is>
          <t>Safeguard Soap 175g</t>
        </is>
      </c>
      <c r="C133" s="187" t="inlineStr">
        <is>
          <t>Pharmaceuticals &amp; Health</t>
        </is>
      </c>
      <c r="D133" s="187" t="inlineStr">
        <is>
          <t>Personal Care</t>
        </is>
      </c>
      <c r="E133" s="206">
        <f>SUMPRODUCT('Sales Data'!O133:AR133)</f>
        <v/>
      </c>
      <c r="F133" s="207">
        <f>SUMPRODUCT('Sales Data'!O133:AR133)*'Sales Data'!L133</f>
        <v/>
      </c>
      <c r="G133" s="207">
        <f>SUMPRODUCT('Sales Data'!O133:AR133)*'Sales Data'!K133</f>
        <v/>
      </c>
      <c r="H133" s="207">
        <f>F166-G166</f>
        <v/>
      </c>
    </row>
    <row r="134" ht="15" customHeight="1" s="133">
      <c r="A134" s="167" t="inlineStr">
        <is>
          <t>PK-1165</t>
        </is>
      </c>
      <c r="B134" s="167" t="inlineStr">
        <is>
          <t>Dove Body Wash 400ml</t>
        </is>
      </c>
      <c r="C134" s="167" t="inlineStr">
        <is>
          <t>Pharmaceuticals &amp; Health</t>
        </is>
      </c>
      <c r="D134" s="167" t="inlineStr">
        <is>
          <t>Personal Care</t>
        </is>
      </c>
      <c r="E134" s="204">
        <f>SUMPRODUCT('Sales Data'!O134:AR134)</f>
        <v/>
      </c>
      <c r="F134" s="205">
        <f>SUMPRODUCT('Sales Data'!O134:AR134)*'Sales Data'!L134</f>
        <v/>
      </c>
      <c r="G134" s="205">
        <f>SUMPRODUCT('Sales Data'!O134:AR134)*'Sales Data'!K134</f>
        <v/>
      </c>
      <c r="H134" s="205">
        <f>F167-G167</f>
        <v/>
      </c>
    </row>
    <row r="135" ht="15" customHeight="1" s="133">
      <c r="A135" s="187" t="inlineStr">
        <is>
          <t>PK-1166</t>
        </is>
      </c>
      <c r="B135" s="187" t="inlineStr">
        <is>
          <t>Colgate Toothpaste 150g</t>
        </is>
      </c>
      <c r="C135" s="187" t="inlineStr">
        <is>
          <t>Pharmaceuticals &amp; Health</t>
        </is>
      </c>
      <c r="D135" s="187" t="inlineStr">
        <is>
          <t>Personal Care</t>
        </is>
      </c>
      <c r="E135" s="206">
        <f>SUMPRODUCT('Sales Data'!O135:AR135)</f>
        <v/>
      </c>
      <c r="F135" s="207">
        <f>SUMPRODUCT('Sales Data'!O135:AR135)*'Sales Data'!L135</f>
        <v/>
      </c>
      <c r="G135" s="207">
        <f>SUMPRODUCT('Sales Data'!O135:AR135)*'Sales Data'!K135</f>
        <v/>
      </c>
      <c r="H135" s="207">
        <f>F168-G168</f>
        <v/>
      </c>
    </row>
    <row r="136" ht="15" customHeight="1" s="133">
      <c r="A136" s="167" t="inlineStr">
        <is>
          <t>PK-1167</t>
        </is>
      </c>
      <c r="B136" s="167" t="inlineStr">
        <is>
          <t>Close-Up Toothpaste 150g</t>
        </is>
      </c>
      <c r="C136" s="167" t="inlineStr">
        <is>
          <t>Pharmaceuticals &amp; Health</t>
        </is>
      </c>
      <c r="D136" s="167" t="inlineStr">
        <is>
          <t>Personal Care</t>
        </is>
      </c>
      <c r="E136" s="204">
        <f>SUMPRODUCT('Sales Data'!O136:AR136)</f>
        <v/>
      </c>
      <c r="F136" s="205">
        <f>SUMPRODUCT('Sales Data'!O136:AR136)*'Sales Data'!L136</f>
        <v/>
      </c>
      <c r="G136" s="205">
        <f>SUMPRODUCT('Sales Data'!O136:AR136)*'Sales Data'!K136</f>
        <v/>
      </c>
      <c r="H136" s="205">
        <f>F169-G169</f>
        <v/>
      </c>
    </row>
    <row r="137" ht="15" customHeight="1" s="133">
      <c r="A137" s="187" t="inlineStr">
        <is>
          <t>PK-1168</t>
        </is>
      </c>
      <c r="B137" s="187" t="inlineStr">
        <is>
          <t>Gillette Mach3 Blades 4pk</t>
        </is>
      </c>
      <c r="C137" s="187" t="inlineStr">
        <is>
          <t>Pharmaceuticals &amp; Health</t>
        </is>
      </c>
      <c r="D137" s="187" t="inlineStr">
        <is>
          <t>Personal Care</t>
        </is>
      </c>
      <c r="E137" s="206">
        <f>SUMPRODUCT('Sales Data'!O137:AR137)</f>
        <v/>
      </c>
      <c r="F137" s="207">
        <f>SUMPRODUCT('Sales Data'!O137:AR137)*'Sales Data'!L137</f>
        <v/>
      </c>
      <c r="G137" s="207">
        <f>SUMPRODUCT('Sales Data'!O137:AR137)*'Sales Data'!K137</f>
        <v/>
      </c>
      <c r="H137" s="207">
        <f>F170-G170</f>
        <v/>
      </c>
    </row>
    <row r="138" ht="15" customHeight="1" s="133">
      <c r="A138" s="167" t="inlineStr">
        <is>
          <t>PK-1169</t>
        </is>
      </c>
      <c r="B138" s="167" t="inlineStr">
        <is>
          <t>Vaseline Petroleum Jelly 250ml</t>
        </is>
      </c>
      <c r="C138" s="167" t="inlineStr">
        <is>
          <t>Pharmaceuticals &amp; Health</t>
        </is>
      </c>
      <c r="D138" s="167" t="inlineStr">
        <is>
          <t>Personal Care</t>
        </is>
      </c>
      <c r="E138" s="204">
        <f>SUMPRODUCT('Sales Data'!O138:AR138)</f>
        <v/>
      </c>
      <c r="F138" s="205">
        <f>SUMPRODUCT('Sales Data'!O138:AR138)*'Sales Data'!L138</f>
        <v/>
      </c>
      <c r="G138" s="205">
        <f>SUMPRODUCT('Sales Data'!O138:AR138)*'Sales Data'!K138</f>
        <v/>
      </c>
      <c r="H138" s="205">
        <f>F171-G171</f>
        <v/>
      </c>
    </row>
    <row r="139" ht="15" customHeight="1" s="133">
      <c r="A139" s="187" t="inlineStr">
        <is>
          <t>PK-1170</t>
        </is>
      </c>
      <c r="B139" s="187" t="inlineStr">
        <is>
          <t>Dettol Liquid Soap 250ml</t>
        </is>
      </c>
      <c r="C139" s="187" t="inlineStr">
        <is>
          <t>Pharmaceuticals &amp; Health</t>
        </is>
      </c>
      <c r="D139" s="187" t="inlineStr">
        <is>
          <t>Personal Care</t>
        </is>
      </c>
      <c r="E139" s="206">
        <f>SUMPRODUCT('Sales Data'!O139:AR139)</f>
        <v/>
      </c>
      <c r="F139" s="207">
        <f>SUMPRODUCT('Sales Data'!O139:AR139)*'Sales Data'!L139</f>
        <v/>
      </c>
      <c r="G139" s="207">
        <f>SUMPRODUCT('Sales Data'!O139:AR139)*'Sales Data'!K139</f>
        <v/>
      </c>
      <c r="H139" s="207">
        <f>F172-G172</f>
        <v/>
      </c>
    </row>
    <row r="140" ht="15" customHeight="1" s="133">
      <c r="A140" s="167" t="inlineStr">
        <is>
          <t>PK-1171</t>
        </is>
      </c>
      <c r="B140" s="167" t="inlineStr">
        <is>
          <t>Garnier Face Wash 100ml</t>
        </is>
      </c>
      <c r="C140" s="167" t="inlineStr">
        <is>
          <t>Pharmaceuticals &amp; Health</t>
        </is>
      </c>
      <c r="D140" s="167" t="inlineStr">
        <is>
          <t>Personal Care</t>
        </is>
      </c>
      <c r="E140" s="204">
        <f>SUMPRODUCT('Sales Data'!O140:AR140)</f>
        <v/>
      </c>
      <c r="F140" s="205">
        <f>SUMPRODUCT('Sales Data'!O140:AR140)*'Sales Data'!L140</f>
        <v/>
      </c>
      <c r="G140" s="205">
        <f>SUMPRODUCT('Sales Data'!O140:AR140)*'Sales Data'!K140</f>
        <v/>
      </c>
      <c r="H140" s="205">
        <f>F173-G173</f>
        <v/>
      </c>
    </row>
    <row r="141" ht="15" customHeight="1" s="133">
      <c r="A141" s="187" t="inlineStr">
        <is>
          <t>PK-1172</t>
        </is>
      </c>
      <c r="B141" s="187" t="inlineStr">
        <is>
          <t>A4 Paper Ream 500 sheets</t>
        </is>
      </c>
      <c r="C141" s="187" t="inlineStr">
        <is>
          <t>Stationery &amp; Office Supplies</t>
        </is>
      </c>
      <c r="D141" s="187" t="inlineStr">
        <is>
          <t>Paper &amp; Notebooks</t>
        </is>
      </c>
      <c r="E141" s="206">
        <f>SUMPRODUCT('Sales Data'!O141:AR141)</f>
        <v/>
      </c>
      <c r="F141" s="207">
        <f>SUMPRODUCT('Sales Data'!O141:AR141)*'Sales Data'!L141</f>
        <v/>
      </c>
      <c r="G141" s="207">
        <f>SUMPRODUCT('Sales Data'!O141:AR141)*'Sales Data'!K141</f>
        <v/>
      </c>
      <c r="H141" s="207">
        <f>F174-G174</f>
        <v/>
      </c>
    </row>
    <row r="142" ht="15" customHeight="1" s="133">
      <c r="A142" s="167" t="inlineStr">
        <is>
          <t>PK-1173</t>
        </is>
      </c>
      <c r="B142" s="167" t="inlineStr">
        <is>
          <t>Spiral Notebook A4</t>
        </is>
      </c>
      <c r="C142" s="167" t="inlineStr">
        <is>
          <t>Stationery &amp; Office Supplies</t>
        </is>
      </c>
      <c r="D142" s="167" t="inlineStr">
        <is>
          <t>Paper &amp; Notebooks</t>
        </is>
      </c>
      <c r="E142" s="204">
        <f>SUMPRODUCT('Sales Data'!O142:AR142)</f>
        <v/>
      </c>
      <c r="F142" s="205">
        <f>SUMPRODUCT('Sales Data'!O142:AR142)*'Sales Data'!L142</f>
        <v/>
      </c>
      <c r="G142" s="205">
        <f>SUMPRODUCT('Sales Data'!O142:AR142)*'Sales Data'!K142</f>
        <v/>
      </c>
      <c r="H142" s="205">
        <f>F175-G175</f>
        <v/>
      </c>
    </row>
    <row r="143" ht="15" customHeight="1" s="133">
      <c r="A143" s="187" t="inlineStr">
        <is>
          <t>PK-1174</t>
        </is>
      </c>
      <c r="B143" s="187" t="inlineStr">
        <is>
          <t>Register 200 pages</t>
        </is>
      </c>
      <c r="C143" s="187" t="inlineStr">
        <is>
          <t>Stationery &amp; Office Supplies</t>
        </is>
      </c>
      <c r="D143" s="187" t="inlineStr">
        <is>
          <t>Paper &amp; Notebooks</t>
        </is>
      </c>
      <c r="E143" s="206">
        <f>SUMPRODUCT('Sales Data'!O143:AR143)</f>
        <v/>
      </c>
      <c r="F143" s="207">
        <f>SUMPRODUCT('Sales Data'!O143:AR143)*'Sales Data'!L143</f>
        <v/>
      </c>
      <c r="G143" s="207">
        <f>SUMPRODUCT('Sales Data'!O143:AR143)*'Sales Data'!K143</f>
        <v/>
      </c>
      <c r="H143" s="207">
        <f>F176-G176</f>
        <v/>
      </c>
    </row>
    <row r="144" ht="15" customHeight="1" s="133">
      <c r="A144" s="167" t="inlineStr">
        <is>
          <t>PK-1175</t>
        </is>
      </c>
      <c r="B144" s="167" t="inlineStr">
        <is>
          <t>Carbon Copy Book</t>
        </is>
      </c>
      <c r="C144" s="167" t="inlineStr">
        <is>
          <t>Stationery &amp; Office Supplies</t>
        </is>
      </c>
      <c r="D144" s="167" t="inlineStr">
        <is>
          <t>Paper &amp; Notebooks</t>
        </is>
      </c>
      <c r="E144" s="204">
        <f>SUMPRODUCT('Sales Data'!O144:AR144)</f>
        <v/>
      </c>
      <c r="F144" s="205">
        <f>SUMPRODUCT('Sales Data'!O144:AR144)*'Sales Data'!L144</f>
        <v/>
      </c>
      <c r="G144" s="205">
        <f>SUMPRODUCT('Sales Data'!O144:AR144)*'Sales Data'!K144</f>
        <v/>
      </c>
      <c r="H144" s="205">
        <f>F177-G177</f>
        <v/>
      </c>
    </row>
    <row r="145" ht="15" customHeight="1" s="133">
      <c r="A145" s="187" t="inlineStr">
        <is>
          <t>PK-1176</t>
        </is>
      </c>
      <c r="B145" s="187" t="inlineStr">
        <is>
          <t>Graph Paper 100 sheets</t>
        </is>
      </c>
      <c r="C145" s="187" t="inlineStr">
        <is>
          <t>Stationery &amp; Office Supplies</t>
        </is>
      </c>
      <c r="D145" s="187" t="inlineStr">
        <is>
          <t>Paper &amp; Notebooks</t>
        </is>
      </c>
      <c r="E145" s="206">
        <f>SUMPRODUCT('Sales Data'!O145:AR145)</f>
        <v/>
      </c>
      <c r="F145" s="207">
        <f>SUMPRODUCT('Sales Data'!O145:AR145)*'Sales Data'!L145</f>
        <v/>
      </c>
      <c r="G145" s="207">
        <f>SUMPRODUCT('Sales Data'!O145:AR145)*'Sales Data'!K145</f>
        <v/>
      </c>
      <c r="H145" s="207">
        <f>F178-G178</f>
        <v/>
      </c>
    </row>
    <row r="146" ht="15" customHeight="1" s="133">
      <c r="A146" s="167" t="inlineStr">
        <is>
          <t>PK-1177</t>
        </is>
      </c>
      <c r="B146" s="167" t="inlineStr">
        <is>
          <t>Sticky Notes Pad 100</t>
        </is>
      </c>
      <c r="C146" s="167" t="inlineStr">
        <is>
          <t>Stationery &amp; Office Supplies</t>
        </is>
      </c>
      <c r="D146" s="167" t="inlineStr">
        <is>
          <t>Paper &amp; Notebooks</t>
        </is>
      </c>
      <c r="E146" s="204">
        <f>SUMPRODUCT('Sales Data'!O146:AR146)</f>
        <v/>
      </c>
      <c r="F146" s="205">
        <f>SUMPRODUCT('Sales Data'!O146:AR146)*'Sales Data'!L146</f>
        <v/>
      </c>
      <c r="G146" s="205">
        <f>SUMPRODUCT('Sales Data'!O146:AR146)*'Sales Data'!K146</f>
        <v/>
      </c>
      <c r="H146" s="205">
        <f>F179-G179</f>
        <v/>
      </c>
    </row>
    <row r="147" ht="15" customHeight="1" s="133">
      <c r="A147" s="187" t="inlineStr">
        <is>
          <t>PK-1178</t>
        </is>
      </c>
      <c r="B147" s="187" t="inlineStr">
        <is>
          <t>Envelopes A4 Box 50</t>
        </is>
      </c>
      <c r="C147" s="187" t="inlineStr">
        <is>
          <t>Stationery &amp; Office Supplies</t>
        </is>
      </c>
      <c r="D147" s="187" t="inlineStr">
        <is>
          <t>Paper &amp; Notebooks</t>
        </is>
      </c>
      <c r="E147" s="206">
        <f>SUMPRODUCT('Sales Data'!O147:AR147)</f>
        <v/>
      </c>
      <c r="F147" s="207">
        <f>SUMPRODUCT('Sales Data'!O147:AR147)*'Sales Data'!L147</f>
        <v/>
      </c>
      <c r="G147" s="207">
        <f>SUMPRODUCT('Sales Data'!O147:AR147)*'Sales Data'!K147</f>
        <v/>
      </c>
      <c r="H147" s="207">
        <f>F180-G180</f>
        <v/>
      </c>
    </row>
    <row r="148" ht="15" customHeight="1" s="133">
      <c r="A148" s="167" t="inlineStr">
        <is>
          <t>PK-1179</t>
        </is>
      </c>
      <c r="B148" s="167" t="inlineStr">
        <is>
          <t>Camlin Ballpen Box 10</t>
        </is>
      </c>
      <c r="C148" s="167" t="inlineStr">
        <is>
          <t>Stationery &amp; Office Supplies</t>
        </is>
      </c>
      <c r="D148" s="167" t="inlineStr">
        <is>
          <t>Writing Instruments</t>
        </is>
      </c>
      <c r="E148" s="204">
        <f>SUMPRODUCT('Sales Data'!O148:AR148)</f>
        <v/>
      </c>
      <c r="F148" s="205">
        <f>SUMPRODUCT('Sales Data'!O148:AR148)*'Sales Data'!L148</f>
        <v/>
      </c>
      <c r="G148" s="205">
        <f>SUMPRODUCT('Sales Data'!O148:AR148)*'Sales Data'!K148</f>
        <v/>
      </c>
      <c r="H148" s="205">
        <f>F181-G181</f>
        <v/>
      </c>
    </row>
    <row r="149" ht="15" customHeight="1" s="133">
      <c r="A149" s="187" t="inlineStr">
        <is>
          <t>PK-1180</t>
        </is>
      </c>
      <c r="B149" s="187" t="inlineStr">
        <is>
          <t>Pilot Ballpen 0.7mm</t>
        </is>
      </c>
      <c r="C149" s="187" t="inlineStr">
        <is>
          <t>Stationery &amp; Office Supplies</t>
        </is>
      </c>
      <c r="D149" s="187" t="inlineStr">
        <is>
          <t>Writing Instruments</t>
        </is>
      </c>
      <c r="E149" s="206">
        <f>SUMPRODUCT('Sales Data'!O149:AR149)</f>
        <v/>
      </c>
      <c r="F149" s="207">
        <f>SUMPRODUCT('Sales Data'!O149:AR149)*'Sales Data'!L149</f>
        <v/>
      </c>
      <c r="G149" s="207">
        <f>SUMPRODUCT('Sales Data'!O149:AR149)*'Sales Data'!K149</f>
        <v/>
      </c>
      <c r="H149" s="207">
        <f>F182-G182</f>
        <v/>
      </c>
    </row>
    <row r="150" ht="15" customHeight="1" s="133">
      <c r="A150" s="167" t="inlineStr">
        <is>
          <t>PK-1181</t>
        </is>
      </c>
      <c r="B150" s="167" t="inlineStr">
        <is>
          <t>Parker Pen Set</t>
        </is>
      </c>
      <c r="C150" s="167" t="inlineStr">
        <is>
          <t>Stationery &amp; Office Supplies</t>
        </is>
      </c>
      <c r="D150" s="167" t="inlineStr">
        <is>
          <t>Writing Instruments</t>
        </is>
      </c>
      <c r="E150" s="204">
        <f>SUMPRODUCT('Sales Data'!O150:AR150)</f>
        <v/>
      </c>
      <c r="F150" s="205">
        <f>SUMPRODUCT('Sales Data'!O150:AR150)*'Sales Data'!L150</f>
        <v/>
      </c>
      <c r="G150" s="205">
        <f>SUMPRODUCT('Sales Data'!O150:AR150)*'Sales Data'!K150</f>
        <v/>
      </c>
      <c r="H150" s="205">
        <f>F183-G183</f>
        <v/>
      </c>
    </row>
    <row r="151" ht="15" customHeight="1" s="133">
      <c r="A151" s="187" t="inlineStr">
        <is>
          <t>PK-1182</t>
        </is>
      </c>
      <c r="B151" s="187" t="inlineStr">
        <is>
          <t>Marker Set 10 colors</t>
        </is>
      </c>
      <c r="C151" s="187" t="inlineStr">
        <is>
          <t>Stationery &amp; Office Supplies</t>
        </is>
      </c>
      <c r="D151" s="187" t="inlineStr">
        <is>
          <t>Writing Instruments</t>
        </is>
      </c>
      <c r="E151" s="206">
        <f>SUMPRODUCT('Sales Data'!O151:AR151)</f>
        <v/>
      </c>
      <c r="F151" s="207">
        <f>SUMPRODUCT('Sales Data'!O151:AR151)*'Sales Data'!L151</f>
        <v/>
      </c>
      <c r="G151" s="207">
        <f>SUMPRODUCT('Sales Data'!O151:AR151)*'Sales Data'!K151</f>
        <v/>
      </c>
      <c r="H151" s="207">
        <f>F184-G184</f>
        <v/>
      </c>
    </row>
    <row r="152" ht="15" customHeight="1" s="133">
      <c r="A152" s="167" t="inlineStr">
        <is>
          <t>PK-1183</t>
        </is>
      </c>
      <c r="B152" s="167" t="inlineStr">
        <is>
          <t>Highlighter Set 5pcs</t>
        </is>
      </c>
      <c r="C152" s="167" t="inlineStr">
        <is>
          <t>Stationery &amp; Office Supplies</t>
        </is>
      </c>
      <c r="D152" s="167" t="inlineStr">
        <is>
          <t>Writing Instruments</t>
        </is>
      </c>
      <c r="E152" s="204">
        <f>SUMPRODUCT('Sales Data'!O152:AR152)</f>
        <v/>
      </c>
      <c r="F152" s="205">
        <f>SUMPRODUCT('Sales Data'!O152:AR152)*'Sales Data'!L152</f>
        <v/>
      </c>
      <c r="G152" s="205">
        <f>SUMPRODUCT('Sales Data'!O152:AR152)*'Sales Data'!K152</f>
        <v/>
      </c>
      <c r="H152" s="205">
        <f>F185-G185</f>
        <v/>
      </c>
    </row>
    <row r="153" ht="15" customHeight="1" s="133">
      <c r="A153" s="187" t="inlineStr">
        <is>
          <t>PK-1184</t>
        </is>
      </c>
      <c r="B153" s="187" t="inlineStr">
        <is>
          <t>Pencil HB Box 12</t>
        </is>
      </c>
      <c r="C153" s="187" t="inlineStr">
        <is>
          <t>Stationery &amp; Office Supplies</t>
        </is>
      </c>
      <c r="D153" s="187" t="inlineStr">
        <is>
          <t>Writing Instruments</t>
        </is>
      </c>
      <c r="E153" s="206">
        <f>SUMPRODUCT('Sales Data'!O153:AR153)</f>
        <v/>
      </c>
      <c r="F153" s="207">
        <f>SUMPRODUCT('Sales Data'!O153:AR153)*'Sales Data'!L153</f>
        <v/>
      </c>
      <c r="G153" s="207">
        <f>SUMPRODUCT('Sales Data'!O153:AR153)*'Sales Data'!K153</f>
        <v/>
      </c>
      <c r="H153" s="207">
        <f>F186-G186</f>
        <v/>
      </c>
    </row>
    <row r="154" ht="15" customHeight="1" s="133">
      <c r="A154" s="167" t="inlineStr">
        <is>
          <t>PK-1185</t>
        </is>
      </c>
      <c r="B154" s="167" t="inlineStr">
        <is>
          <t>Eraser Staedtler x2</t>
        </is>
      </c>
      <c r="C154" s="167" t="inlineStr">
        <is>
          <t>Stationery &amp; Office Supplies</t>
        </is>
      </c>
      <c r="D154" s="167" t="inlineStr">
        <is>
          <t>Writing Instruments</t>
        </is>
      </c>
      <c r="E154" s="204">
        <f>SUMPRODUCT('Sales Data'!O154:AR154)</f>
        <v/>
      </c>
      <c r="F154" s="205">
        <f>SUMPRODUCT('Sales Data'!O154:AR154)*'Sales Data'!L154</f>
        <v/>
      </c>
      <c r="G154" s="205">
        <f>SUMPRODUCT('Sales Data'!O154:AR154)*'Sales Data'!K154</f>
        <v/>
      </c>
      <c r="H154" s="205">
        <f>F187-G187</f>
        <v/>
      </c>
    </row>
    <row r="155" ht="15" customHeight="1" s="133">
      <c r="A155" s="187" t="inlineStr">
        <is>
          <t>PK-1186</t>
        </is>
      </c>
      <c r="B155" s="187" t="inlineStr">
        <is>
          <t>Stapler Full Strip</t>
        </is>
      </c>
      <c r="C155" s="187" t="inlineStr">
        <is>
          <t>Stationery &amp; Office Supplies</t>
        </is>
      </c>
      <c r="D155" s="187" t="inlineStr">
        <is>
          <t>Office Equipment</t>
        </is>
      </c>
      <c r="E155" s="206">
        <f>SUMPRODUCT('Sales Data'!O155:AR155)</f>
        <v/>
      </c>
      <c r="F155" s="207">
        <f>SUMPRODUCT('Sales Data'!O155:AR155)*'Sales Data'!L155</f>
        <v/>
      </c>
      <c r="G155" s="207">
        <f>SUMPRODUCT('Sales Data'!O155:AR155)*'Sales Data'!K155</f>
        <v/>
      </c>
      <c r="H155" s="207">
        <f>F188-G188</f>
        <v/>
      </c>
    </row>
    <row r="156" ht="15" customHeight="1" s="133">
      <c r="A156" s="167" t="inlineStr">
        <is>
          <t>PK-1187</t>
        </is>
      </c>
      <c r="B156" s="167" t="inlineStr">
        <is>
          <t>Staples Box 1000</t>
        </is>
      </c>
      <c r="C156" s="167" t="inlineStr">
        <is>
          <t>Stationery &amp; Office Supplies</t>
        </is>
      </c>
      <c r="D156" s="167" t="inlineStr">
        <is>
          <t>Office Equipment</t>
        </is>
      </c>
      <c r="E156" s="204">
        <f>SUMPRODUCT('Sales Data'!O156:AR156)</f>
        <v/>
      </c>
      <c r="F156" s="205">
        <f>SUMPRODUCT('Sales Data'!O156:AR156)*'Sales Data'!L156</f>
        <v/>
      </c>
      <c r="G156" s="205">
        <f>SUMPRODUCT('Sales Data'!O156:AR156)*'Sales Data'!K156</f>
        <v/>
      </c>
      <c r="H156" s="205">
        <f>F189-G189</f>
        <v/>
      </c>
    </row>
    <row r="157" ht="15" customHeight="1" s="133">
      <c r="A157" s="187" t="inlineStr">
        <is>
          <t>PK-1188</t>
        </is>
      </c>
      <c r="B157" s="187" t="inlineStr">
        <is>
          <t>Hole Punch 2-Hole</t>
        </is>
      </c>
      <c r="C157" s="187" t="inlineStr">
        <is>
          <t>Stationery &amp; Office Supplies</t>
        </is>
      </c>
      <c r="D157" s="187" t="inlineStr">
        <is>
          <t>Office Equipment</t>
        </is>
      </c>
      <c r="E157" s="206">
        <f>SUMPRODUCT('Sales Data'!O157:AR157)</f>
        <v/>
      </c>
      <c r="F157" s="207">
        <f>SUMPRODUCT('Sales Data'!O157:AR157)*'Sales Data'!L157</f>
        <v/>
      </c>
      <c r="G157" s="207">
        <f>SUMPRODUCT('Sales Data'!O157:AR157)*'Sales Data'!K157</f>
        <v/>
      </c>
      <c r="H157" s="207">
        <f>F190-G190</f>
        <v/>
      </c>
    </row>
    <row r="158" ht="15" customHeight="1" s="133">
      <c r="A158" s="167" t="inlineStr">
        <is>
          <t>PK-1189</t>
        </is>
      </c>
      <c r="B158" s="167" t="inlineStr">
        <is>
          <t>Scissors Large</t>
        </is>
      </c>
      <c r="C158" s="167" t="inlineStr">
        <is>
          <t>Stationery &amp; Office Supplies</t>
        </is>
      </c>
      <c r="D158" s="167" t="inlineStr">
        <is>
          <t>Office Equipment</t>
        </is>
      </c>
      <c r="E158" s="204">
        <f>SUMPRODUCT('Sales Data'!O158:AR158)</f>
        <v/>
      </c>
      <c r="F158" s="205">
        <f>SUMPRODUCT('Sales Data'!O158:AR158)*'Sales Data'!L158</f>
        <v/>
      </c>
      <c r="G158" s="205">
        <f>SUMPRODUCT('Sales Data'!O158:AR158)*'Sales Data'!K158</f>
        <v/>
      </c>
      <c r="H158" s="205">
        <f>F191-G191</f>
        <v/>
      </c>
    </row>
    <row r="159" ht="15" customHeight="1" s="133">
      <c r="A159" s="187" t="inlineStr">
        <is>
          <t>PK-1190</t>
        </is>
      </c>
      <c r="B159" s="187" t="inlineStr">
        <is>
          <t>Tape Dispenser</t>
        </is>
      </c>
      <c r="C159" s="187" t="inlineStr">
        <is>
          <t>Stationery &amp; Office Supplies</t>
        </is>
      </c>
      <c r="D159" s="187" t="inlineStr">
        <is>
          <t>Office Equipment</t>
        </is>
      </c>
      <c r="E159" s="206">
        <f>SUMPRODUCT('Sales Data'!O159:AR159)</f>
        <v/>
      </c>
      <c r="F159" s="207">
        <f>SUMPRODUCT('Sales Data'!O159:AR159)*'Sales Data'!L159</f>
        <v/>
      </c>
      <c r="G159" s="207">
        <f>SUMPRODUCT('Sales Data'!O159:AR159)*'Sales Data'!K159</f>
        <v/>
      </c>
      <c r="H159" s="207">
        <f>F192-G192</f>
        <v/>
      </c>
    </row>
    <row r="160" ht="15" customHeight="1" s="133">
      <c r="A160" s="167" t="inlineStr">
        <is>
          <t>PK-1191</t>
        </is>
      </c>
      <c r="B160" s="167" t="inlineStr">
        <is>
          <t>File Folder A4</t>
        </is>
      </c>
      <c r="C160" s="167" t="inlineStr">
        <is>
          <t>Stationery &amp; Office Supplies</t>
        </is>
      </c>
      <c r="D160" s="167" t="inlineStr">
        <is>
          <t>Office Equipment</t>
        </is>
      </c>
      <c r="E160" s="204">
        <f>SUMPRODUCT('Sales Data'!O160:AR160)</f>
        <v/>
      </c>
      <c r="F160" s="205">
        <f>SUMPRODUCT('Sales Data'!O160:AR160)*'Sales Data'!L160</f>
        <v/>
      </c>
      <c r="G160" s="205">
        <f>SUMPRODUCT('Sales Data'!O160:AR160)*'Sales Data'!K160</f>
        <v/>
      </c>
      <c r="H160" s="205">
        <f>F193-G193</f>
        <v/>
      </c>
    </row>
    <row r="161" ht="15" customHeight="1" s="133">
      <c r="A161" s="187" t="inlineStr">
        <is>
          <t>PK-1192</t>
        </is>
      </c>
      <c r="B161" s="187" t="inlineStr">
        <is>
          <t>Binder Clip 25mm Box</t>
        </is>
      </c>
      <c r="C161" s="187" t="inlineStr">
        <is>
          <t>Stationery &amp; Office Supplies</t>
        </is>
      </c>
      <c r="D161" s="187" t="inlineStr">
        <is>
          <t>Office Equipment</t>
        </is>
      </c>
      <c r="E161" s="206">
        <f>SUMPRODUCT('Sales Data'!O161:AR161)</f>
        <v/>
      </c>
      <c r="F161" s="207">
        <f>SUMPRODUCT('Sales Data'!O161:AR161)*'Sales Data'!L161</f>
        <v/>
      </c>
      <c r="G161" s="207">
        <f>SUMPRODUCT('Sales Data'!O161:AR161)*'Sales Data'!K161</f>
        <v/>
      </c>
      <c r="H161" s="207">
        <f>F194-G194</f>
        <v/>
      </c>
    </row>
    <row r="162" ht="15" customHeight="1" s="133">
      <c r="A162" s="167" t="inlineStr">
        <is>
          <t>PK-1193</t>
        </is>
      </c>
      <c r="B162" s="167" t="inlineStr">
        <is>
          <t>Whiteboard Marker Set 4</t>
        </is>
      </c>
      <c r="C162" s="167" t="inlineStr">
        <is>
          <t>Stationery &amp; Office Supplies</t>
        </is>
      </c>
      <c r="D162" s="167" t="inlineStr">
        <is>
          <t>Office Equipment</t>
        </is>
      </c>
      <c r="E162" s="204">
        <f>SUMPRODUCT('Sales Data'!O162:AR162)</f>
        <v/>
      </c>
      <c r="F162" s="205">
        <f>SUMPRODUCT('Sales Data'!O162:AR162)*'Sales Data'!L162</f>
        <v/>
      </c>
      <c r="G162" s="205">
        <f>SUMPRODUCT('Sales Data'!O162:AR162)*'Sales Data'!K162</f>
        <v/>
      </c>
      <c r="H162" s="205">
        <f>F195-G195</f>
        <v/>
      </c>
    </row>
    <row r="163" ht="15" customHeight="1" s="133">
      <c r="A163" s="187" t="inlineStr">
        <is>
          <t>PK-1194</t>
        </is>
      </c>
      <c r="B163" s="187" t="inlineStr">
        <is>
          <t>Calculator Scientific</t>
        </is>
      </c>
      <c r="C163" s="187" t="inlineStr">
        <is>
          <t>Stationery &amp; Office Supplies</t>
        </is>
      </c>
      <c r="D163" s="187" t="inlineStr">
        <is>
          <t>Office Equipment</t>
        </is>
      </c>
      <c r="E163" s="206">
        <f>SUMPRODUCT('Sales Data'!O163:AR163)</f>
        <v/>
      </c>
      <c r="F163" s="207">
        <f>SUMPRODUCT('Sales Data'!O163:AR163)*'Sales Data'!L163</f>
        <v/>
      </c>
      <c r="G163" s="207">
        <f>SUMPRODUCT('Sales Data'!O163:AR163)*'Sales Data'!K163</f>
        <v/>
      </c>
      <c r="H163" s="207">
        <f>F196-G196</f>
        <v/>
      </c>
    </row>
    <row r="164" ht="15" customHeight="1" s="133">
      <c r="A164" s="208" t="inlineStr">
        <is>
          <t>TOTALS</t>
        </is>
      </c>
      <c r="B164" s="208" t="n"/>
      <c r="C164" s="208" t="n"/>
      <c r="D164" s="208" t="n"/>
      <c r="E164" s="209">
        <f>SUM(E3:E163)</f>
        <v/>
      </c>
      <c r="F164" s="210">
        <f>SUM(F3:F163)</f>
        <v/>
      </c>
      <c r="G164" s="210">
        <f>SUM(G3:G163)</f>
        <v/>
      </c>
      <c r="H164" s="210">
        <f>SUM(H3:H163)</f>
        <v/>
      </c>
    </row>
    <row r="165" ht="15" customHeight="1" s="133"/>
    <row r="166" ht="15" customHeight="1" s="133"/>
    <row r="167" ht="15" customHeight="1" s="133"/>
    <row r="168" ht="15" customHeight="1" s="133"/>
    <row r="169" ht="15" customHeight="1" s="133"/>
    <row r="170" ht="15" customHeight="1" s="133"/>
    <row r="171" ht="15" customHeight="1" s="133"/>
    <row r="172" ht="15" customHeight="1" s="133"/>
    <row r="173" ht="15" customHeight="1" s="133"/>
    <row r="174" ht="15" customHeight="1" s="133"/>
    <row r="175" ht="15" customHeight="1" s="133"/>
    <row r="176" ht="15" customHeight="1" s="133"/>
    <row r="177" ht="15" customHeight="1" s="133"/>
    <row r="178" ht="15" customHeight="1" s="133"/>
    <row r="179" ht="15" customHeight="1" s="133"/>
    <row r="180" ht="15" customHeight="1" s="133"/>
    <row r="181" ht="15" customHeight="1" s="133"/>
    <row r="182" ht="15" customHeight="1" s="133"/>
    <row r="183" ht="15" customHeight="1" s="133"/>
    <row r="184" ht="15" customHeight="1" s="133"/>
    <row r="185" ht="15" customHeight="1" s="133"/>
    <row r="186" ht="15" customHeight="1" s="133"/>
    <row r="187" ht="15" customHeight="1" s="133"/>
    <row r="188" ht="15" customHeight="1" s="133"/>
    <row r="189" ht="15" customHeight="1" s="133"/>
    <row r="190" ht="15" customHeight="1" s="133"/>
    <row r="191" ht="15" customHeight="1" s="133"/>
    <row r="192" ht="15" customHeight="1" s="133"/>
    <row r="193" ht="15" customHeight="1" s="133"/>
    <row r="194" ht="15" customHeight="1" s="133"/>
    <row r="195" ht="15" customHeight="1" s="133"/>
    <row r="196" ht="15" customHeight="1" s="133"/>
    <row r="197" ht="15" customHeight="1" s="133"/>
    <row r="198" ht="15" customHeight="1" s="133"/>
    <row r="199" ht="15" customHeight="1" s="133"/>
    <row r="200" ht="15" customHeight="1" s="133"/>
    <row r="201" ht="15" customHeight="1" s="133"/>
    <row r="202" ht="15" customHeight="1" s="133"/>
    <row r="203" ht="15" customHeight="1" s="133"/>
    <row r="204" ht="15" customHeight="1" s="133"/>
    <row r="205" ht="15" customHeight="1" s="133"/>
    <row r="206" ht="15" customHeight="1" s="133"/>
    <row r="207" ht="15" customHeight="1" s="133"/>
    <row r="208" ht="15" customHeight="1" s="133"/>
    <row r="209" ht="15" customHeight="1" s="133"/>
    <row r="210" ht="15" customHeight="1" s="133"/>
    <row r="211" ht="15" customHeight="1" s="133"/>
    <row r="212" ht="15" customHeight="1" s="133"/>
    <row r="213" ht="15" customHeight="1" s="133"/>
    <row r="214" ht="15" customHeight="1" s="133"/>
    <row r="215" ht="15" customHeight="1" s="133"/>
    <row r="216" ht="15" customHeight="1" s="133"/>
    <row r="217" ht="15" customHeight="1" s="133"/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4.25" zeroHeight="0" outlineLevelRow="0"/>
  <cols>
    <col width="26" customWidth="1" style="132" min="1" max="1"/>
    <col width="24" customWidth="1" style="132" min="2" max="2"/>
    <col width="12" customWidth="1" style="132" min="3" max="3"/>
    <col width="16" customWidth="1" style="132" min="4" max="5"/>
    <col width="12" customWidth="1" style="132" min="6" max="7"/>
    <col width="16" customWidth="1" style="132" min="8" max="8"/>
  </cols>
  <sheetData>
    <row r="1" ht="24" customHeight="1" s="133">
      <c r="A1" s="270" t="inlineStr">
        <is>
          <t>Sales Summary by Category &amp; Sub-Category</t>
        </is>
      </c>
    </row>
    <row r="2" ht="30" customHeight="1" s="133">
      <c r="A2" s="271" t="inlineStr">
        <is>
          <t>Category</t>
        </is>
      </c>
      <c r="B2" s="271" t="inlineStr">
        <is>
          <t>Sub-Category</t>
        </is>
      </c>
      <c r="C2" s="271" t="inlineStr">
        <is>
          <t># Products</t>
        </is>
      </c>
      <c r="D2" s="271" t="inlineStr">
        <is>
          <t>Total Units Sold</t>
        </is>
      </c>
      <c r="E2" s="271" t="inlineStr">
        <is>
          <t>Avg Units/Product</t>
        </is>
      </c>
      <c r="F2" s="271" t="inlineStr">
        <is>
          <t>Min Units</t>
        </is>
      </c>
      <c r="G2" s="271" t="inlineStr">
        <is>
          <t>Max Units</t>
        </is>
      </c>
      <c r="H2" s="271" t="inlineStr">
        <is>
          <t>Avg Daily Sales</t>
        </is>
      </c>
    </row>
    <row r="3" ht="14.25" customHeight="1" s="133">
      <c r="A3" s="272" t="inlineStr">
        <is>
          <t>Electronics &amp; Appliances</t>
        </is>
      </c>
      <c r="B3" s="272" t="inlineStr">
        <is>
          <t>Mobile Phones</t>
        </is>
      </c>
      <c r="C3" s="273" t="n">
        <v>10</v>
      </c>
      <c r="D3" s="273" t="n">
        <v>162</v>
      </c>
      <c r="E3" s="273" t="n">
        <v>16.2</v>
      </c>
      <c r="F3" s="273" t="n">
        <v>11</v>
      </c>
      <c r="G3" s="273" t="n">
        <v>24</v>
      </c>
      <c r="H3" s="273" t="n">
        <v>5.4</v>
      </c>
    </row>
    <row r="4" ht="14.25" customHeight="1" s="133">
      <c r="A4" s="272" t="inlineStr">
        <is>
          <t>Electronics &amp; Appliances</t>
        </is>
      </c>
      <c r="B4" s="272" t="inlineStr">
        <is>
          <t>Laptops &amp; Computers</t>
        </is>
      </c>
      <c r="C4" s="273" t="n">
        <v>8</v>
      </c>
      <c r="D4" s="273" t="n">
        <v>98</v>
      </c>
      <c r="E4" s="273" t="n">
        <v>12.2</v>
      </c>
      <c r="F4" s="273" t="n">
        <v>0</v>
      </c>
      <c r="G4" s="273" t="n">
        <v>19</v>
      </c>
      <c r="H4" s="273" t="n">
        <v>3.3</v>
      </c>
    </row>
    <row r="5" ht="14.25" customHeight="1" s="133">
      <c r="A5" s="272" t="inlineStr">
        <is>
          <t>Electronics &amp; Appliances</t>
        </is>
      </c>
      <c r="B5" s="272" t="inlineStr">
        <is>
          <t>Televisions</t>
        </is>
      </c>
      <c r="C5" s="273" t="n">
        <v>8</v>
      </c>
      <c r="D5" s="273" t="n">
        <v>144</v>
      </c>
      <c r="E5" s="273" t="n">
        <v>18</v>
      </c>
      <c r="F5" s="273" t="n">
        <v>10</v>
      </c>
      <c r="G5" s="273" t="n">
        <v>27</v>
      </c>
      <c r="H5" s="273" t="n">
        <v>4.8</v>
      </c>
    </row>
    <row r="6" ht="14.25" customHeight="1" s="133">
      <c r="A6" s="272" t="inlineStr">
        <is>
          <t>Electronics &amp; Appliances</t>
        </is>
      </c>
      <c r="B6" s="272" t="inlineStr">
        <is>
          <t>Home Appliances</t>
        </is>
      </c>
      <c r="C6" s="273" t="n">
        <v>10</v>
      </c>
      <c r="D6" s="273" t="n">
        <v>153</v>
      </c>
      <c r="E6" s="273" t="n">
        <v>15.3</v>
      </c>
      <c r="F6" s="273" t="n">
        <v>8</v>
      </c>
      <c r="G6" s="273" t="n">
        <v>21</v>
      </c>
      <c r="H6" s="273" t="n">
        <v>5.1</v>
      </c>
    </row>
    <row r="7" ht="14.25" customHeight="1" s="133">
      <c r="A7" s="272" t="inlineStr">
        <is>
          <t>Grocery &amp; Food Items</t>
        </is>
      </c>
      <c r="B7" s="272" t="inlineStr">
        <is>
          <t>Staple Foods</t>
        </is>
      </c>
      <c r="C7" s="273" t="n">
        <v>10</v>
      </c>
      <c r="D7" s="273" t="n">
        <v>4740</v>
      </c>
      <c r="E7" s="273" t="n">
        <v>474</v>
      </c>
      <c r="F7" s="273" t="n">
        <v>359</v>
      </c>
      <c r="G7" s="273" t="n">
        <v>553</v>
      </c>
      <c r="H7" s="273" t="n">
        <v>158</v>
      </c>
    </row>
    <row r="8" ht="14.25" customHeight="1" s="133">
      <c r="A8" s="272" t="inlineStr">
        <is>
          <t>Grocery &amp; Food Items</t>
        </is>
      </c>
      <c r="B8" s="272" t="inlineStr">
        <is>
          <t>Spices &amp; Condiments</t>
        </is>
      </c>
      <c r="C8" s="273" t="n">
        <v>10</v>
      </c>
      <c r="D8" s="273" t="n">
        <v>3054</v>
      </c>
      <c r="E8" s="273" t="n">
        <v>305.4</v>
      </c>
      <c r="F8" s="273" t="n">
        <v>284</v>
      </c>
      <c r="G8" s="273" t="n">
        <v>362</v>
      </c>
      <c r="H8" s="273" t="n">
        <v>101.8</v>
      </c>
    </row>
    <row r="9" ht="14.25" customHeight="1" s="133">
      <c r="A9" s="272" t="inlineStr">
        <is>
          <t>Grocery &amp; Food Items</t>
        </is>
      </c>
      <c r="B9" s="272" t="inlineStr">
        <is>
          <t>Beverages</t>
        </is>
      </c>
      <c r="C9" s="273" t="n">
        <v>10</v>
      </c>
      <c r="D9" s="273" t="n">
        <v>4011</v>
      </c>
      <c r="E9" s="273" t="n">
        <v>401.1</v>
      </c>
      <c r="F9" s="273" t="n">
        <v>346</v>
      </c>
      <c r="G9" s="273" t="n">
        <v>443</v>
      </c>
      <c r="H9" s="273" t="n">
        <v>133.7</v>
      </c>
    </row>
    <row r="10" ht="14.25" customHeight="1" s="133">
      <c r="A10" s="272" t="inlineStr">
        <is>
          <t>Grocery &amp; Food Items</t>
        </is>
      </c>
      <c r="B10" s="272" t="inlineStr">
        <is>
          <t>Dairy &amp; Frozen</t>
        </is>
      </c>
      <c r="C10" s="273" t="n">
        <v>8</v>
      </c>
      <c r="D10" s="273" t="n">
        <v>2972</v>
      </c>
      <c r="E10" s="273" t="n">
        <v>371.5</v>
      </c>
      <c r="F10" s="273" t="n">
        <v>340</v>
      </c>
      <c r="G10" s="273" t="n">
        <v>416</v>
      </c>
      <c r="H10" s="273" t="n">
        <v>99.09999999999999</v>
      </c>
    </row>
    <row r="11" ht="14.25" customHeight="1" s="133">
      <c r="A11" s="272" t="inlineStr">
        <is>
          <t>Clothing &amp; Textiles</t>
        </is>
      </c>
      <c r="B11" s="272" t="inlineStr">
        <is>
          <t>Men's Wear</t>
        </is>
      </c>
      <c r="C11" s="273" t="n">
        <v>10</v>
      </c>
      <c r="D11" s="273" t="n">
        <v>1266</v>
      </c>
      <c r="E11" s="273" t="n">
        <v>126.6</v>
      </c>
      <c r="F11" s="273" t="n">
        <v>106</v>
      </c>
      <c r="G11" s="273" t="n">
        <v>148</v>
      </c>
      <c r="H11" s="273" t="n">
        <v>42.2</v>
      </c>
    </row>
    <row r="12" ht="14.25" customHeight="1" s="133">
      <c r="A12" s="272" t="inlineStr">
        <is>
          <t>Clothing &amp; Textiles</t>
        </is>
      </c>
      <c r="B12" s="272" t="inlineStr">
        <is>
          <t>Women's Wear</t>
        </is>
      </c>
      <c r="C12" s="273" t="n">
        <v>10</v>
      </c>
      <c r="D12" s="273" t="n">
        <v>1611</v>
      </c>
      <c r="E12" s="273" t="n">
        <v>161.1</v>
      </c>
      <c r="F12" s="273" t="n">
        <v>140</v>
      </c>
      <c r="G12" s="273" t="n">
        <v>184</v>
      </c>
      <c r="H12" s="273" t="n">
        <v>53.7</v>
      </c>
    </row>
    <row r="13" ht="14.25" customHeight="1" s="133">
      <c r="A13" s="272" t="inlineStr">
        <is>
          <t>Clothing &amp; Textiles</t>
        </is>
      </c>
      <c r="B13" s="272" t="inlineStr">
        <is>
          <t>Footwear</t>
        </is>
      </c>
      <c r="C13" s="273" t="n">
        <v>8</v>
      </c>
      <c r="D13" s="273" t="n">
        <v>988</v>
      </c>
      <c r="E13" s="273" t="n">
        <v>123.5</v>
      </c>
      <c r="F13" s="273" t="n">
        <v>109</v>
      </c>
      <c r="G13" s="273" t="n">
        <v>135</v>
      </c>
      <c r="H13" s="273" t="n">
        <v>32.9</v>
      </c>
    </row>
    <row r="14" ht="14.25" customHeight="1" s="133">
      <c r="A14" s="272" t="inlineStr">
        <is>
          <t>Clothing &amp; Textiles</t>
        </is>
      </c>
      <c r="B14" s="272" t="inlineStr">
        <is>
          <t>Fabric &amp; Accessories</t>
        </is>
      </c>
      <c r="C14" s="273" t="n">
        <v>8</v>
      </c>
      <c r="D14" s="273" t="n">
        <v>1256</v>
      </c>
      <c r="E14" s="273" t="n">
        <v>157</v>
      </c>
      <c r="F14" s="273" t="n">
        <v>140</v>
      </c>
      <c r="G14" s="273" t="n">
        <v>176</v>
      </c>
      <c r="H14" s="273" t="n">
        <v>41.9</v>
      </c>
    </row>
    <row r="15" ht="14.25" customHeight="1" s="133">
      <c r="A15" s="272" t="inlineStr">
        <is>
          <t>Pharmaceuticals &amp; Health</t>
        </is>
      </c>
      <c r="B15" s="272" t="inlineStr">
        <is>
          <t>OTC Medicines</t>
        </is>
      </c>
      <c r="C15" s="273" t="n">
        <v>10</v>
      </c>
      <c r="D15" s="273" t="n">
        <v>3832</v>
      </c>
      <c r="E15" s="273" t="n">
        <v>383.2</v>
      </c>
      <c r="F15" s="273" t="n">
        <v>338</v>
      </c>
      <c r="G15" s="273" t="n">
        <v>440</v>
      </c>
      <c r="H15" s="273" t="n">
        <v>127.7</v>
      </c>
    </row>
    <row r="16" ht="14.25" customHeight="1" s="133">
      <c r="A16" s="272" t="inlineStr">
        <is>
          <t>Pharmaceuticals &amp; Health</t>
        </is>
      </c>
      <c r="B16" s="272" t="inlineStr">
        <is>
          <t>Surgical &amp; Medical Supplies</t>
        </is>
      </c>
      <c r="C16" s="273" t="n">
        <v>8</v>
      </c>
      <c r="D16" s="273" t="n">
        <v>1829</v>
      </c>
      <c r="E16" s="273" t="n">
        <v>228.6</v>
      </c>
      <c r="F16" s="273" t="n">
        <v>186</v>
      </c>
      <c r="G16" s="273" t="n">
        <v>269</v>
      </c>
      <c r="H16" s="273" t="n">
        <v>61</v>
      </c>
    </row>
    <row r="17" ht="14.25" customHeight="1" s="133">
      <c r="A17" s="272" t="inlineStr">
        <is>
          <t>Pharmaceuticals &amp; Health</t>
        </is>
      </c>
      <c r="B17" s="272" t="inlineStr">
        <is>
          <t>Personal Care</t>
        </is>
      </c>
      <c r="C17" s="273" t="n">
        <v>10</v>
      </c>
      <c r="D17" s="273" t="n">
        <v>2514</v>
      </c>
      <c r="E17" s="273" t="n">
        <v>251.4</v>
      </c>
      <c r="F17" s="273" t="n">
        <v>220</v>
      </c>
      <c r="G17" s="273" t="n">
        <v>280</v>
      </c>
      <c r="H17" s="273" t="n">
        <v>83.8</v>
      </c>
    </row>
    <row r="18" ht="14.25" customHeight="1" s="133">
      <c r="A18" s="272" t="inlineStr">
        <is>
          <t>Stationery &amp; Office Supplies</t>
        </is>
      </c>
      <c r="B18" s="272" t="inlineStr">
        <is>
          <t>Paper &amp; Notebooks</t>
        </is>
      </c>
      <c r="C18" s="273" t="n">
        <v>7</v>
      </c>
      <c r="D18" s="273" t="n">
        <v>1567</v>
      </c>
      <c r="E18" s="273" t="n">
        <v>223.9</v>
      </c>
      <c r="F18" s="273" t="n">
        <v>191</v>
      </c>
      <c r="G18" s="273" t="n">
        <v>253</v>
      </c>
      <c r="H18" s="273" t="n">
        <v>52.2</v>
      </c>
    </row>
    <row r="19" ht="14.25" customHeight="1" s="133">
      <c r="A19" s="272" t="inlineStr">
        <is>
          <t>Stationery &amp; Office Supplies</t>
        </is>
      </c>
      <c r="B19" s="272" t="inlineStr">
        <is>
          <t>Writing Instruments</t>
        </is>
      </c>
      <c r="C19" s="273" t="n">
        <v>7</v>
      </c>
      <c r="D19" s="273" t="n">
        <v>1754</v>
      </c>
      <c r="E19" s="273" t="n">
        <v>250.6</v>
      </c>
      <c r="F19" s="273" t="n">
        <v>221</v>
      </c>
      <c r="G19" s="273" t="n">
        <v>283</v>
      </c>
      <c r="H19" s="273" t="n">
        <v>58.5</v>
      </c>
    </row>
    <row r="20" ht="14.25" customHeight="1" s="133">
      <c r="A20" s="272" t="inlineStr">
        <is>
          <t>Stationery &amp; Office Supplies</t>
        </is>
      </c>
      <c r="B20" s="272" t="inlineStr">
        <is>
          <t>Office Equipment</t>
        </is>
      </c>
      <c r="C20" s="273" t="n">
        <v>9</v>
      </c>
      <c r="D20" s="273" t="n">
        <v>1696</v>
      </c>
      <c r="E20" s="273" t="n">
        <v>188.4</v>
      </c>
      <c r="F20" s="273" t="n">
        <v>167</v>
      </c>
      <c r="G20" s="273" t="n">
        <v>213</v>
      </c>
      <c r="H20" s="273" t="n">
        <v>56.5</v>
      </c>
    </row>
    <row r="21" ht="14.25" customHeight="1" s="133">
      <c r="A21" s="274" t="inlineStr">
        <is>
          <t>GRAND TOTAL</t>
        </is>
      </c>
      <c r="B21" s="274" t="n"/>
      <c r="C21" s="275" t="n"/>
      <c r="D21" s="275" t="n">
        <v>33647</v>
      </c>
      <c r="E21" s="275" t="n"/>
      <c r="F21" s="275" t="n"/>
      <c r="G21" s="275" t="n"/>
      <c r="H21" s="275" t="n"/>
    </row>
    <row r="22" ht="14.25" customHeight="1" s="133"/>
    <row r="23" ht="14.25" customHeight="1" s="133"/>
    <row r="24" ht="14.25" customHeight="1" s="133"/>
    <row r="25" ht="14.25" customHeight="1" s="133"/>
    <row r="26" ht="14.25" customHeight="1" s="133"/>
    <row r="27" ht="14.25" customHeight="1" s="133"/>
    <row r="28" ht="14.25" customHeight="1" s="133"/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K21" activeCellId="0" sqref="K21"/>
    </sheetView>
  </sheetViews>
  <sheetFormatPr baseColWidth="8" defaultColWidth="8.66796875" defaultRowHeight="14.25" zeroHeight="0" outlineLevelRow="0"/>
  <cols>
    <col width="10" customWidth="1" style="132" min="1" max="1"/>
    <col width="22" customWidth="1" style="132" min="2" max="8"/>
    <col width="12" customWidth="1" style="132" min="9" max="9"/>
  </cols>
  <sheetData>
    <row r="1" ht="24" customHeight="1" s="133">
      <c r="A1" s="270" t="inlineStr">
        <is>
          <t>Daily Sales Totals by Category</t>
        </is>
      </c>
    </row>
    <row r="2" ht="45" customHeight="1" s="133">
      <c r="A2" s="276" t="inlineStr">
        <is>
          <t>Date</t>
        </is>
      </c>
      <c r="B2" s="277" t="inlineStr">
        <is>
          <t>Electronics &amp; Appliances</t>
        </is>
      </c>
      <c r="C2" s="277" t="inlineStr">
        <is>
          <t>Grocery &amp; Food Items</t>
        </is>
      </c>
      <c r="D2" s="277" t="inlineStr">
        <is>
          <t>Clothing &amp; Textiles</t>
        </is>
      </c>
      <c r="E2" s="277" t="inlineStr">
        <is>
          <t>Pharmaceuticals &amp; Health</t>
        </is>
      </c>
      <c r="F2" s="277" t="inlineStr">
        <is>
          <t>Stationery &amp; Office Supplies</t>
        </is>
      </c>
      <c r="G2" s="275" t="inlineStr">
        <is>
          <t>Day Total</t>
        </is>
      </c>
    </row>
    <row r="3" ht="14.25" customHeight="1" s="133">
      <c r="A3" s="278" t="n">
        <v>46174</v>
      </c>
      <c r="B3" s="279" t="n">
        <v>21</v>
      </c>
      <c r="C3" s="280" t="n">
        <v>454</v>
      </c>
      <c r="D3" s="281" t="n">
        <v>149</v>
      </c>
      <c r="E3" s="282" t="n">
        <v>235</v>
      </c>
      <c r="F3" s="283" t="n">
        <v>153</v>
      </c>
      <c r="G3" s="284" t="n">
        <v>1012</v>
      </c>
    </row>
    <row r="4" ht="14.25" customHeight="1" s="133">
      <c r="A4" s="278" t="n">
        <v>46175</v>
      </c>
      <c r="B4" s="279" t="n">
        <v>24</v>
      </c>
      <c r="C4" s="280" t="n">
        <v>470</v>
      </c>
      <c r="D4" s="281" t="n">
        <v>136</v>
      </c>
      <c r="E4" s="282" t="n">
        <v>267</v>
      </c>
      <c r="F4" s="283" t="n">
        <v>137</v>
      </c>
      <c r="G4" s="284" t="n">
        <v>1034</v>
      </c>
    </row>
    <row r="5" ht="14.25" customHeight="1" s="133">
      <c r="A5" s="278" t="n">
        <v>46176</v>
      </c>
      <c r="B5" s="279" t="n">
        <v>17</v>
      </c>
      <c r="C5" s="280" t="n">
        <v>526</v>
      </c>
      <c r="D5" s="281" t="n">
        <v>159</v>
      </c>
      <c r="E5" s="282" t="n">
        <v>273</v>
      </c>
      <c r="F5" s="283" t="n">
        <v>155</v>
      </c>
      <c r="G5" s="284" t="n">
        <v>1130</v>
      </c>
    </row>
    <row r="6" ht="14.25" customHeight="1" s="133">
      <c r="A6" s="278" t="n">
        <v>46177</v>
      </c>
      <c r="B6" s="279" t="n">
        <v>28</v>
      </c>
      <c r="C6" s="280" t="n">
        <v>454</v>
      </c>
      <c r="D6" s="281" t="n">
        <v>151</v>
      </c>
      <c r="E6" s="282" t="n">
        <v>280</v>
      </c>
      <c r="F6" s="283" t="n">
        <v>151</v>
      </c>
      <c r="G6" s="284" t="n">
        <v>1064</v>
      </c>
    </row>
    <row r="7" ht="14.25" customHeight="1" s="133">
      <c r="A7" s="278" t="n">
        <v>46178</v>
      </c>
      <c r="B7" s="279" t="n">
        <v>16</v>
      </c>
      <c r="C7" s="280" t="n">
        <v>479</v>
      </c>
      <c r="D7" s="281" t="n">
        <v>205</v>
      </c>
      <c r="E7" s="282" t="n">
        <v>300</v>
      </c>
      <c r="F7" s="283" t="n">
        <v>203</v>
      </c>
      <c r="G7" s="284" t="n">
        <v>1203</v>
      </c>
    </row>
    <row r="8" ht="14.25" customHeight="1" s="133">
      <c r="A8" s="278" t="n">
        <v>46179</v>
      </c>
      <c r="B8" s="279" t="n">
        <v>20</v>
      </c>
      <c r="C8" s="280" t="n">
        <v>560</v>
      </c>
      <c r="D8" s="281" t="n">
        <v>234</v>
      </c>
      <c r="E8" s="282" t="n">
        <v>292</v>
      </c>
      <c r="F8" s="283" t="n">
        <v>198</v>
      </c>
      <c r="G8" s="284" t="n">
        <v>1304</v>
      </c>
    </row>
    <row r="9" ht="14.25" customHeight="1" s="133">
      <c r="A9" s="278" t="n">
        <v>46180</v>
      </c>
      <c r="B9" s="279" t="n">
        <v>27</v>
      </c>
      <c r="C9" s="280" t="n">
        <v>450</v>
      </c>
      <c r="D9" s="281" t="n">
        <v>161</v>
      </c>
      <c r="E9" s="282" t="n">
        <v>232</v>
      </c>
      <c r="F9" s="283" t="n">
        <v>150</v>
      </c>
      <c r="G9" s="284" t="n">
        <v>1020</v>
      </c>
    </row>
    <row r="10" ht="14.25" customHeight="1" s="133">
      <c r="A10" s="278" t="n">
        <v>46181</v>
      </c>
      <c r="B10" s="279" t="n">
        <v>19</v>
      </c>
      <c r="C10" s="280" t="n">
        <v>518</v>
      </c>
      <c r="D10" s="281" t="n">
        <v>160</v>
      </c>
      <c r="E10" s="282" t="n">
        <v>228</v>
      </c>
      <c r="F10" s="283" t="n">
        <v>156</v>
      </c>
      <c r="G10" s="284" t="n">
        <v>1081</v>
      </c>
    </row>
    <row r="11" ht="14.25" customHeight="1" s="133">
      <c r="A11" s="278" t="n">
        <v>46182</v>
      </c>
      <c r="B11" s="279" t="n">
        <v>22</v>
      </c>
      <c r="C11" s="280" t="n">
        <v>529</v>
      </c>
      <c r="D11" s="281" t="n">
        <v>167</v>
      </c>
      <c r="E11" s="282" t="n">
        <v>260</v>
      </c>
      <c r="F11" s="283" t="n">
        <v>170</v>
      </c>
      <c r="G11" s="284" t="n">
        <v>1148</v>
      </c>
    </row>
    <row r="12" ht="14.25" customHeight="1" s="133">
      <c r="A12" s="278" t="n">
        <v>46183</v>
      </c>
      <c r="B12" s="279" t="n">
        <v>24</v>
      </c>
      <c r="C12" s="280" t="n">
        <v>445</v>
      </c>
      <c r="D12" s="281" t="n">
        <v>161</v>
      </c>
      <c r="E12" s="282" t="n">
        <v>312</v>
      </c>
      <c r="F12" s="283" t="n">
        <v>162</v>
      </c>
      <c r="G12" s="284" t="n">
        <v>1104</v>
      </c>
    </row>
    <row r="13" ht="14.25" customHeight="1" s="133">
      <c r="A13" s="278" t="n">
        <v>46184</v>
      </c>
      <c r="B13" s="279" t="n">
        <v>10</v>
      </c>
      <c r="C13" s="280" t="n">
        <v>467</v>
      </c>
      <c r="D13" s="281" t="n">
        <v>138</v>
      </c>
      <c r="E13" s="282" t="n">
        <v>260</v>
      </c>
      <c r="F13" s="283" t="n">
        <v>179</v>
      </c>
      <c r="G13" s="284" t="n">
        <v>1054</v>
      </c>
    </row>
    <row r="14" ht="14.25" customHeight="1" s="133">
      <c r="A14" s="278" t="n">
        <v>46185</v>
      </c>
      <c r="B14" s="279" t="n">
        <v>14</v>
      </c>
      <c r="C14" s="280" t="n">
        <v>512</v>
      </c>
      <c r="D14" s="281" t="n">
        <v>192</v>
      </c>
      <c r="E14" s="282" t="n">
        <v>294</v>
      </c>
      <c r="F14" s="283" t="n">
        <v>154</v>
      </c>
      <c r="G14" s="284" t="n">
        <v>1166</v>
      </c>
    </row>
    <row r="15" ht="14.25" customHeight="1" s="133">
      <c r="A15" s="278" t="n">
        <v>46186</v>
      </c>
      <c r="B15" s="279" t="n">
        <v>10</v>
      </c>
      <c r="C15" s="280" t="n">
        <v>601</v>
      </c>
      <c r="D15" s="281" t="n">
        <v>202</v>
      </c>
      <c r="E15" s="282" t="n">
        <v>383</v>
      </c>
      <c r="F15" s="283" t="n">
        <v>205</v>
      </c>
      <c r="G15" s="284" t="n">
        <v>1401</v>
      </c>
    </row>
    <row r="16" ht="14.25" customHeight="1" s="133">
      <c r="A16" s="278" t="n">
        <v>46187</v>
      </c>
      <c r="B16" s="279" t="n">
        <v>31</v>
      </c>
      <c r="C16" s="280" t="n">
        <v>508</v>
      </c>
      <c r="D16" s="281" t="n">
        <v>152</v>
      </c>
      <c r="E16" s="282" t="n">
        <v>268</v>
      </c>
      <c r="F16" s="283" t="n">
        <v>137</v>
      </c>
      <c r="G16" s="284" t="n">
        <v>1096</v>
      </c>
    </row>
    <row r="17" ht="14.25" customHeight="1" s="133">
      <c r="A17" s="278" t="n">
        <v>46188</v>
      </c>
      <c r="B17" s="279" t="n">
        <v>18</v>
      </c>
      <c r="C17" s="280" t="n">
        <v>461</v>
      </c>
      <c r="D17" s="281" t="n">
        <v>167</v>
      </c>
      <c r="E17" s="282" t="n">
        <v>251</v>
      </c>
      <c r="F17" s="283" t="n">
        <v>154</v>
      </c>
      <c r="G17" s="284" t="n">
        <v>1051</v>
      </c>
    </row>
    <row r="18" ht="14.25" customHeight="1" s="133">
      <c r="A18" s="278" t="n">
        <v>46189</v>
      </c>
      <c r="B18" s="279" t="n">
        <v>16</v>
      </c>
      <c r="C18" s="280" t="n">
        <v>469</v>
      </c>
      <c r="D18" s="281" t="n">
        <v>158</v>
      </c>
      <c r="E18" s="282" t="n">
        <v>233</v>
      </c>
      <c r="F18" s="283" t="n">
        <v>142</v>
      </c>
      <c r="G18" s="284" t="n">
        <v>1018</v>
      </c>
    </row>
    <row r="19" ht="14.25" customHeight="1" s="133">
      <c r="A19" s="278" t="n">
        <v>46190</v>
      </c>
      <c r="B19" s="279" t="n">
        <v>15</v>
      </c>
      <c r="C19" s="280" t="n">
        <v>414</v>
      </c>
      <c r="D19" s="281" t="n">
        <v>149</v>
      </c>
      <c r="E19" s="282" t="n">
        <v>258</v>
      </c>
      <c r="F19" s="283" t="n">
        <v>148</v>
      </c>
      <c r="G19" s="284" t="n">
        <v>984</v>
      </c>
    </row>
    <row r="20" ht="14.25" customHeight="1" s="133">
      <c r="A20" s="278" t="n">
        <v>46191</v>
      </c>
      <c r="B20" s="279" t="n">
        <v>20</v>
      </c>
      <c r="C20" s="280" t="n">
        <v>491</v>
      </c>
      <c r="D20" s="281" t="n">
        <v>153</v>
      </c>
      <c r="E20" s="282" t="n">
        <v>256</v>
      </c>
      <c r="F20" s="283" t="n">
        <v>178</v>
      </c>
      <c r="G20" s="284" t="n">
        <v>1098</v>
      </c>
    </row>
    <row r="21" ht="14.25" customHeight="1" s="133">
      <c r="A21" s="278" t="n">
        <v>46192</v>
      </c>
      <c r="B21" s="279" t="n">
        <v>21</v>
      </c>
      <c r="C21" s="280" t="n">
        <v>509</v>
      </c>
      <c r="D21" s="281" t="n">
        <v>186</v>
      </c>
      <c r="E21" s="282" t="n">
        <v>335</v>
      </c>
      <c r="F21" s="283" t="n">
        <v>225</v>
      </c>
      <c r="G21" s="284" t="n">
        <v>1276</v>
      </c>
    </row>
    <row r="22" ht="14.25" customHeight="1" s="133">
      <c r="A22" s="278" t="n">
        <v>46193</v>
      </c>
      <c r="B22" s="279" t="n">
        <v>14</v>
      </c>
      <c r="C22" s="280" t="n">
        <v>682</v>
      </c>
      <c r="D22" s="281" t="n">
        <v>225</v>
      </c>
      <c r="E22" s="282" t="n">
        <v>319</v>
      </c>
      <c r="F22" s="283" t="n">
        <v>199</v>
      </c>
      <c r="G22" s="284" t="n">
        <v>1439</v>
      </c>
    </row>
    <row r="23" ht="14.25" customHeight="1" s="133">
      <c r="A23" s="278" t="n">
        <v>46194</v>
      </c>
      <c r="B23" s="279" t="n">
        <v>17</v>
      </c>
      <c r="C23" s="280" t="n">
        <v>458</v>
      </c>
      <c r="D23" s="281" t="n">
        <v>155</v>
      </c>
      <c r="E23" s="282" t="n">
        <v>262</v>
      </c>
      <c r="F23" s="283" t="n">
        <v>152</v>
      </c>
      <c r="G23" s="284" t="n">
        <v>1044</v>
      </c>
    </row>
    <row r="24" ht="14.25" customHeight="1" s="133">
      <c r="A24" s="278" t="n">
        <v>46195</v>
      </c>
      <c r="B24" s="279" t="n">
        <v>15</v>
      </c>
      <c r="C24" s="280" t="n">
        <v>519</v>
      </c>
      <c r="D24" s="281" t="n">
        <v>149</v>
      </c>
      <c r="E24" s="282" t="n">
        <v>264</v>
      </c>
      <c r="F24" s="283" t="n">
        <v>144</v>
      </c>
      <c r="G24" s="284" t="n">
        <v>1091</v>
      </c>
    </row>
    <row r="25" ht="14.25" customHeight="1" s="133">
      <c r="A25" s="278" t="n">
        <v>46196</v>
      </c>
      <c r="B25" s="279" t="n">
        <v>10</v>
      </c>
      <c r="C25" s="280" t="n">
        <v>412</v>
      </c>
      <c r="D25" s="281" t="n">
        <v>182</v>
      </c>
      <c r="E25" s="282" t="n">
        <v>245</v>
      </c>
      <c r="F25" s="283" t="n">
        <v>160</v>
      </c>
      <c r="G25" s="284" t="n">
        <v>1009</v>
      </c>
    </row>
    <row r="26" ht="14.25" customHeight="1" s="133">
      <c r="A26" s="278" t="n">
        <v>46197</v>
      </c>
      <c r="B26" s="279" t="n">
        <v>15</v>
      </c>
      <c r="C26" s="280" t="n">
        <v>424</v>
      </c>
      <c r="D26" s="281" t="n">
        <v>139</v>
      </c>
      <c r="E26" s="282" t="n">
        <v>280</v>
      </c>
      <c r="F26" s="283" t="n">
        <v>128</v>
      </c>
      <c r="G26" s="284" t="n">
        <v>986</v>
      </c>
    </row>
    <row r="27" ht="14.25" customHeight="1" s="133">
      <c r="A27" s="278" t="n">
        <v>46198</v>
      </c>
      <c r="B27" s="279" t="n">
        <v>13</v>
      </c>
      <c r="C27" s="280" t="n">
        <v>469</v>
      </c>
      <c r="D27" s="281" t="n">
        <v>173</v>
      </c>
      <c r="E27" s="282" t="n">
        <v>258</v>
      </c>
      <c r="F27" s="283" t="n">
        <v>172</v>
      </c>
      <c r="G27" s="284" t="n">
        <v>1085</v>
      </c>
    </row>
    <row r="28" ht="14.25" customHeight="1" s="133">
      <c r="A28" s="278" t="n">
        <v>46199</v>
      </c>
      <c r="B28" s="279" t="n">
        <v>27</v>
      </c>
      <c r="C28" s="280" t="n">
        <v>512</v>
      </c>
      <c r="D28" s="281" t="n">
        <v>183</v>
      </c>
      <c r="E28" s="282" t="n">
        <v>264</v>
      </c>
      <c r="F28" s="283" t="n">
        <v>189</v>
      </c>
      <c r="G28" s="284" t="n">
        <v>1175</v>
      </c>
    </row>
    <row r="29" ht="14.25" customHeight="1" s="133">
      <c r="A29" s="278" t="n">
        <v>46200</v>
      </c>
      <c r="B29" s="279" t="n">
        <v>22</v>
      </c>
      <c r="C29" s="280" t="n">
        <v>571</v>
      </c>
      <c r="D29" s="281" t="n">
        <v>219</v>
      </c>
      <c r="E29" s="282" t="n">
        <v>281</v>
      </c>
      <c r="F29" s="283" t="n">
        <v>184</v>
      </c>
      <c r="G29" s="284" t="n">
        <v>1277</v>
      </c>
    </row>
    <row r="30" ht="14.25" customHeight="1" s="133">
      <c r="A30" s="278" t="n">
        <v>46201</v>
      </c>
      <c r="B30" s="279" t="n">
        <v>12</v>
      </c>
      <c r="C30" s="280" t="n">
        <v>489</v>
      </c>
      <c r="D30" s="281" t="n">
        <v>173</v>
      </c>
      <c r="E30" s="282" t="n">
        <v>258</v>
      </c>
      <c r="F30" s="283" t="n">
        <v>192</v>
      </c>
      <c r="G30" s="284" t="n">
        <v>1124</v>
      </c>
    </row>
    <row r="31" ht="14.25" customHeight="1" s="133">
      <c r="A31" s="278" t="n">
        <v>46202</v>
      </c>
      <c r="B31" s="279" t="n">
        <v>20</v>
      </c>
      <c r="C31" s="280" t="n">
        <v>470</v>
      </c>
      <c r="D31" s="281" t="n">
        <v>182</v>
      </c>
      <c r="E31" s="282" t="n">
        <v>241</v>
      </c>
      <c r="F31" s="283" t="n">
        <v>182</v>
      </c>
      <c r="G31" s="284" t="n">
        <v>1095</v>
      </c>
    </row>
    <row r="32" ht="14.25" customHeight="1" s="133">
      <c r="A32" s="278" t="n">
        <v>46203</v>
      </c>
      <c r="B32" s="279" t="n">
        <v>19</v>
      </c>
      <c r="C32" s="280" t="n">
        <v>454</v>
      </c>
      <c r="D32" s="281" t="n">
        <v>161</v>
      </c>
      <c r="E32" s="282" t="n">
        <v>286</v>
      </c>
      <c r="F32" s="283" t="n">
        <v>158</v>
      </c>
      <c r="G32" s="284" t="n">
        <v>1078</v>
      </c>
    </row>
    <row r="33" ht="14.25" customHeight="1" s="133">
      <c r="A33" s="285" t="inlineStr">
        <is>
          <t>TOTAL</t>
        </is>
      </c>
      <c r="B33" s="285" t="n">
        <v>557</v>
      </c>
      <c r="C33" s="285" t="n">
        <v>14777</v>
      </c>
      <c r="D33" s="285" t="n">
        <v>5121</v>
      </c>
      <c r="E33" s="285" t="n">
        <v>8175</v>
      </c>
      <c r="F33" s="285" t="n">
        <v>5017</v>
      </c>
      <c r="G33" s="285" t="n">
        <v>33647</v>
      </c>
    </row>
  </sheetData>
  <mergeCells count="1">
    <mergeCell ref="A1:A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R163"/>
  <sheetViews>
    <sheetView showFormulas="0" showGridLines="1" showRowColHeaders="1" showZeros="1" rightToLeft="0" tabSelected="1" showOutlineSymbols="1" defaultGridColor="1" view="normal" topLeftCell="C1" colorId="64" zoomScale="100" zoomScaleNormal="100" zoomScalePageLayoutView="100" workbookViewId="0">
      <pane xSplit="0" ySplit="2" topLeftCell="A3" activePane="bottomLeft" state="frozen"/>
      <selection pane="topLeft" activeCell="C1" activeCellId="0" sqref="C1"/>
      <selection pane="bottomLeft" activeCell="O28" activeCellId="0" sqref="O28"/>
    </sheetView>
  </sheetViews>
  <sheetFormatPr baseColWidth="8" defaultColWidth="8.66796875" defaultRowHeight="14.25" zeroHeight="0" outlineLevelRow="0"/>
  <cols>
    <col width="10" customWidth="1" min="1" max="1"/>
    <col width="28" customWidth="1" min="2" max="2"/>
    <col width="26" customWidth="1" min="3" max="3"/>
    <col width="22" customWidth="1" min="4" max="4"/>
    <col width="10" customWidth="1" min="5" max="5"/>
    <col width="6" customWidth="1" min="6" max="6"/>
    <col width="10" customWidth="1" min="7" max="7"/>
    <col width="18" customWidth="1" min="8" max="8"/>
    <col width="18" customWidth="1" min="9" max="9"/>
    <col width="16" customWidth="1" min="10" max="10"/>
    <col width="14" customWidth="1" min="11" max="11"/>
    <col width="10" customWidth="1" min="12" max="12"/>
    <col width="6.109375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7.109375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</cols>
  <sheetData>
    <row r="1" ht="24" customHeight="1" s="133">
      <c r="A1" s="270" t="inlineStr">
        <is>
          <t>Al-Noor Trading — 30-Day Sales Data  (June 1 – June 30)</t>
        </is>
      </c>
      <c r="K1" t="inlineStr">
        <is>
          <t>Al-Noor Trading — 30-Day Sales Data  (June 1 – June 30)</t>
        </is>
      </c>
      <c r="M1" t="inlineStr">
        <is>
          <t>Al-Noor Trading — 30-Day Sales Data  (June 1 – June 30)</t>
        </is>
      </c>
    </row>
    <row r="2" ht="30" customHeight="1" s="133">
      <c r="A2" s="271" t="inlineStr">
        <is>
          <t>Product ID</t>
        </is>
      </c>
      <c r="B2" s="271" t="inlineStr">
        <is>
          <t>Product Name</t>
        </is>
      </c>
      <c r="C2" s="271" t="inlineStr">
        <is>
          <t>Category</t>
        </is>
      </c>
      <c r="D2" s="271" t="inlineStr">
        <is>
          <t>Sub-Category</t>
        </is>
      </c>
      <c r="E2" s="271" t="inlineStr">
        <is>
          <t>SKU</t>
        </is>
      </c>
      <c r="F2" s="271" t="inlineStr">
        <is>
          <t>Unit</t>
        </is>
      </c>
      <c r="G2" s="271" t="inlineStr">
        <is>
          <t>Qty in Hand</t>
        </is>
      </c>
      <c r="H2" s="271" t="inlineStr">
        <is>
          <t>Reorder Level</t>
        </is>
      </c>
      <c r="I2" s="271" t="inlineStr">
        <is>
          <t>Reorder Qty</t>
        </is>
      </c>
      <c r="J2" s="271" t="inlineStr">
        <is>
          <t>Stock Value (PKR)</t>
        </is>
      </c>
      <c r="K2" s="271" t="inlineStr">
        <is>
          <t>Cost Price</t>
        </is>
      </c>
      <c r="L2" s="271" t="inlineStr">
        <is>
          <t>Sale Price (PKR)</t>
        </is>
      </c>
      <c r="M2" s="271" t="inlineStr">
        <is>
          <t>Gross Marjin</t>
        </is>
      </c>
      <c r="N2" s="271" t="inlineStr">
        <is>
          <t>Stock Status</t>
        </is>
      </c>
      <c r="O2" s="286" t="n">
        <v>46174</v>
      </c>
      <c r="P2" s="286" t="n">
        <v>46175</v>
      </c>
      <c r="Q2" s="286" t="n">
        <v>46176</v>
      </c>
      <c r="R2" s="286" t="n">
        <v>46177</v>
      </c>
      <c r="S2" s="286" t="n">
        <v>46178</v>
      </c>
      <c r="T2" s="286" t="n">
        <v>46179</v>
      </c>
      <c r="U2" s="286" t="n">
        <v>46180</v>
      </c>
      <c r="V2" s="286" t="n">
        <v>46181</v>
      </c>
      <c r="W2" s="286" t="n">
        <v>46182</v>
      </c>
      <c r="X2" s="286" t="n">
        <v>46183</v>
      </c>
      <c r="Y2" s="286" t="n">
        <v>46184</v>
      </c>
      <c r="Z2" s="286" t="n">
        <v>46185</v>
      </c>
      <c r="AA2" s="286" t="n">
        <v>46186</v>
      </c>
      <c r="AB2" s="286" t="n">
        <v>46187</v>
      </c>
      <c r="AC2" s="286" t="n">
        <v>46188</v>
      </c>
      <c r="AD2" s="286" t="n">
        <v>46189</v>
      </c>
      <c r="AE2" s="286" t="n">
        <v>46190</v>
      </c>
      <c r="AF2" s="286" t="n">
        <v>46191</v>
      </c>
      <c r="AG2" s="286" t="n">
        <v>46192</v>
      </c>
      <c r="AH2" s="286" t="n">
        <v>46193</v>
      </c>
      <c r="AI2" s="286" t="n">
        <v>46194</v>
      </c>
      <c r="AJ2" s="286" t="n">
        <v>46195</v>
      </c>
      <c r="AK2" s="286" t="n">
        <v>46196</v>
      </c>
      <c r="AL2" s="286" t="n">
        <v>46197</v>
      </c>
      <c r="AM2" s="286" t="n">
        <v>46198</v>
      </c>
      <c r="AN2" s="286" t="n">
        <v>46199</v>
      </c>
      <c r="AO2" s="286" t="n">
        <v>46200</v>
      </c>
      <c r="AP2" s="286" t="n">
        <v>46201</v>
      </c>
      <c r="AQ2" s="286" t="n">
        <v>46202</v>
      </c>
      <c r="AR2" s="286" t="n">
        <v>46203</v>
      </c>
    </row>
    <row r="3" ht="14.25" customHeight="1" s="133">
      <c r="A3" s="287" t="inlineStr">
        <is>
          <t>PK-1001</t>
        </is>
      </c>
      <c r="B3" s="287" t="inlineStr">
        <is>
          <t>Samsung Galaxy A54</t>
        </is>
      </c>
      <c r="C3" s="287" t="inlineStr">
        <is>
          <t>Electronics &amp; Appliances</t>
        </is>
      </c>
      <c r="D3" s="287" t="inlineStr">
        <is>
          <t>Mobile Phones</t>
        </is>
      </c>
      <c r="E3" s="287" t="inlineStr">
        <is>
          <t>SMA54</t>
        </is>
      </c>
      <c r="F3" s="287" t="inlineStr">
        <is>
          <t>Unit</t>
        </is>
      </c>
      <c r="G3" s="288" t="n">
        <v>138</v>
      </c>
      <c r="H3" s="288" t="n">
        <v>1</v>
      </c>
      <c r="I3" s="288" t="n">
        <v>10</v>
      </c>
      <c r="J3" s="288" t="n">
        <v>10350000</v>
      </c>
      <c r="K3" s="289" t="n">
        <v>75000</v>
      </c>
      <c r="L3" s="288" t="inlineStr">
        <is>
          <t>95,000.00</t>
        </is>
      </c>
      <c r="M3" s="290">
        <f>IF(L3=0,0,(L3-K3)/L3)</f>
        <v/>
      </c>
      <c r="N3" s="288" t="inlineStr">
        <is>
          <t>In Stock</t>
        </is>
      </c>
      <c r="O3" s="288" t="n">
        <v>0</v>
      </c>
      <c r="P3" s="288" t="n">
        <v>2</v>
      </c>
      <c r="Q3" s="288" t="n">
        <v>3</v>
      </c>
      <c r="R3" s="288" t="n">
        <v>1</v>
      </c>
      <c r="S3" s="288" t="n">
        <v>0</v>
      </c>
      <c r="T3" s="288" t="n">
        <v>0</v>
      </c>
      <c r="U3" s="288" t="n">
        <v>3</v>
      </c>
      <c r="V3" s="288" t="n">
        <v>0</v>
      </c>
      <c r="W3" s="288" t="n">
        <v>2</v>
      </c>
      <c r="X3" s="288" t="n">
        <v>1</v>
      </c>
      <c r="Y3" s="288" t="n">
        <v>0</v>
      </c>
      <c r="Z3" s="288" t="n">
        <v>0</v>
      </c>
      <c r="AA3" s="288" t="n">
        <v>0</v>
      </c>
      <c r="AB3" s="288" t="n">
        <v>2</v>
      </c>
      <c r="AC3" s="288" t="n">
        <v>0</v>
      </c>
      <c r="AD3" s="288" t="n">
        <v>1</v>
      </c>
      <c r="AE3" s="288" t="n">
        <v>1</v>
      </c>
      <c r="AF3" s="288" t="n">
        <v>0</v>
      </c>
      <c r="AG3" s="288" t="n">
        <v>3</v>
      </c>
      <c r="AH3" s="288" t="n">
        <v>0</v>
      </c>
      <c r="AI3" s="288" t="n">
        <v>0</v>
      </c>
      <c r="AJ3" s="288" t="n">
        <v>0</v>
      </c>
      <c r="AK3" s="288" t="n">
        <v>0</v>
      </c>
      <c r="AL3" s="288" t="n">
        <v>0</v>
      </c>
      <c r="AM3" s="288" t="n">
        <v>0</v>
      </c>
      <c r="AN3" s="288" t="n">
        <v>0</v>
      </c>
      <c r="AO3" s="288" t="n">
        <v>3</v>
      </c>
      <c r="AP3" s="288" t="n">
        <v>2</v>
      </c>
      <c r="AQ3" s="288" t="n">
        <v>0</v>
      </c>
      <c r="AR3" s="288" t="n">
        <v>0</v>
      </c>
    </row>
    <row r="4" ht="14.25" customHeight="1" s="133">
      <c r="A4" s="291" t="inlineStr">
        <is>
          <t>PK-1002</t>
        </is>
      </c>
      <c r="B4" s="291" t="inlineStr">
        <is>
          <t>Samsung Galaxy A34</t>
        </is>
      </c>
      <c r="C4" s="291" t="inlineStr">
        <is>
          <t>Electronics &amp; Appliances</t>
        </is>
      </c>
      <c r="D4" s="291" t="inlineStr">
        <is>
          <t>Mobile Phones</t>
        </is>
      </c>
      <c r="E4" s="291" t="inlineStr">
        <is>
          <t>SMA34</t>
        </is>
      </c>
      <c r="F4" s="291" t="inlineStr">
        <is>
          <t>Unit</t>
        </is>
      </c>
      <c r="G4" s="292" t="n">
        <v>74</v>
      </c>
      <c r="H4" s="292" t="n">
        <v>2</v>
      </c>
      <c r="I4" s="292" t="n">
        <v>10</v>
      </c>
      <c r="J4" s="292" t="n">
        <v>4070000</v>
      </c>
      <c r="K4" s="293" t="n">
        <v>55000</v>
      </c>
      <c r="L4" s="292" t="inlineStr">
        <is>
          <t>68,000.00</t>
        </is>
      </c>
      <c r="M4" s="294">
        <f>IF(L4=0,0,(L4-K4)/L4)</f>
        <v/>
      </c>
      <c r="N4" s="292" t="inlineStr">
        <is>
          <t>In Stock</t>
        </is>
      </c>
      <c r="O4" s="292" t="n">
        <v>0</v>
      </c>
      <c r="P4" s="292" t="n">
        <v>3</v>
      </c>
      <c r="Q4" s="292" t="n">
        <v>0</v>
      </c>
      <c r="R4" s="292" t="n">
        <v>0</v>
      </c>
      <c r="S4" s="292" t="n">
        <v>0</v>
      </c>
      <c r="T4" s="292" t="n">
        <v>0</v>
      </c>
      <c r="U4" s="292" t="n">
        <v>0</v>
      </c>
      <c r="V4" s="292" t="n">
        <v>0</v>
      </c>
      <c r="W4" s="292" t="n">
        <v>1</v>
      </c>
      <c r="X4" s="292" t="n">
        <v>0</v>
      </c>
      <c r="Y4" s="292" t="n">
        <v>0</v>
      </c>
      <c r="Z4" s="292" t="n">
        <v>3</v>
      </c>
      <c r="AA4" s="292" t="n">
        <v>0</v>
      </c>
      <c r="AB4" s="292" t="n">
        <v>1</v>
      </c>
      <c r="AC4" s="292" t="n">
        <v>0</v>
      </c>
      <c r="AD4" s="292" t="n">
        <v>1</v>
      </c>
      <c r="AE4" s="292" t="n">
        <v>0</v>
      </c>
      <c r="AF4" s="292" t="n">
        <v>0</v>
      </c>
      <c r="AG4" s="292" t="n">
        <v>0</v>
      </c>
      <c r="AH4" s="292" t="n">
        <v>1</v>
      </c>
      <c r="AI4" s="292" t="n">
        <v>1</v>
      </c>
      <c r="AJ4" s="292" t="n">
        <v>0</v>
      </c>
      <c r="AK4" s="292" t="n">
        <v>2</v>
      </c>
      <c r="AL4" s="292" t="n">
        <v>0</v>
      </c>
      <c r="AM4" s="292" t="n">
        <v>0</v>
      </c>
      <c r="AN4" s="292" t="n">
        <v>1</v>
      </c>
      <c r="AO4" s="292" t="n">
        <v>0</v>
      </c>
      <c r="AP4" s="292" t="n">
        <v>0</v>
      </c>
      <c r="AQ4" s="292" t="n">
        <v>0</v>
      </c>
      <c r="AR4" s="292" t="n">
        <v>0</v>
      </c>
    </row>
    <row r="5" ht="14.25" customHeight="1" s="133">
      <c r="A5" s="287" t="inlineStr">
        <is>
          <t>PK-1003</t>
        </is>
      </c>
      <c r="B5" s="287" t="inlineStr">
        <is>
          <t>iPhone 14</t>
        </is>
      </c>
      <c r="C5" s="287" t="inlineStr">
        <is>
          <t>Electronics &amp; Appliances</t>
        </is>
      </c>
      <c r="D5" s="287" t="inlineStr">
        <is>
          <t>Mobile Phones</t>
        </is>
      </c>
      <c r="E5" s="287" t="inlineStr">
        <is>
          <t>IPH14</t>
        </is>
      </c>
      <c r="F5" s="287" t="inlineStr">
        <is>
          <t>Unit</t>
        </is>
      </c>
      <c r="G5" s="288" t="n">
        <v>7</v>
      </c>
      <c r="H5" s="288" t="n">
        <v>1</v>
      </c>
      <c r="I5" s="288" t="n">
        <v>5</v>
      </c>
      <c r="J5" s="288" t="n">
        <v>1680000</v>
      </c>
      <c r="K5" s="289" t="n">
        <v>240000</v>
      </c>
      <c r="L5" s="288" t="inlineStr">
        <is>
          <t>279,000.00</t>
        </is>
      </c>
      <c r="M5" s="290">
        <f>IF(L5=0,0,(L5-K5)/L5)</f>
        <v/>
      </c>
      <c r="N5" s="288" t="inlineStr">
        <is>
          <t>In Stock</t>
        </is>
      </c>
      <c r="O5" s="288" t="n">
        <v>0</v>
      </c>
      <c r="P5" s="288" t="n">
        <v>3</v>
      </c>
      <c r="Q5" s="288" t="n">
        <v>0</v>
      </c>
      <c r="R5" s="288" t="n">
        <v>3</v>
      </c>
      <c r="S5" s="288" t="n">
        <v>0</v>
      </c>
      <c r="T5" s="288" t="n">
        <v>1</v>
      </c>
      <c r="U5" s="288" t="n">
        <v>0</v>
      </c>
      <c r="V5" s="288" t="n">
        <v>0</v>
      </c>
      <c r="W5" s="288" t="n">
        <v>0</v>
      </c>
      <c r="X5" s="288" t="n">
        <v>0</v>
      </c>
      <c r="Y5" s="288" t="n">
        <v>0</v>
      </c>
      <c r="Z5" s="288" t="n">
        <v>0</v>
      </c>
      <c r="AA5" s="288" t="n">
        <v>0</v>
      </c>
      <c r="AB5" s="288" t="n">
        <v>0</v>
      </c>
      <c r="AC5" s="288" t="n">
        <v>0</v>
      </c>
      <c r="AD5" s="288" t="n">
        <v>0</v>
      </c>
      <c r="AE5" s="288" t="n">
        <v>1</v>
      </c>
      <c r="AF5" s="288" t="n">
        <v>1</v>
      </c>
      <c r="AG5" s="288" t="n">
        <v>1</v>
      </c>
      <c r="AH5" s="288" t="n">
        <v>0</v>
      </c>
      <c r="AI5" s="288" t="n">
        <v>0</v>
      </c>
      <c r="AJ5" s="288" t="n">
        <v>2</v>
      </c>
      <c r="AK5" s="288" t="n">
        <v>0</v>
      </c>
      <c r="AL5" s="288" t="n">
        <v>0</v>
      </c>
      <c r="AM5" s="288" t="n">
        <v>0</v>
      </c>
      <c r="AN5" s="288" t="n">
        <v>0</v>
      </c>
      <c r="AO5" s="288" t="n">
        <v>0</v>
      </c>
      <c r="AP5" s="288" t="n">
        <v>0</v>
      </c>
      <c r="AQ5" s="288" t="n">
        <v>0</v>
      </c>
      <c r="AR5" s="288" t="n">
        <v>0</v>
      </c>
    </row>
    <row r="6" ht="14.25" customHeight="1" s="133">
      <c r="A6" s="291" t="inlineStr">
        <is>
          <t>PK-1004</t>
        </is>
      </c>
      <c r="B6" s="291" t="inlineStr">
        <is>
          <t>iPhone 13</t>
        </is>
      </c>
      <c r="C6" s="291" t="inlineStr">
        <is>
          <t>Electronics &amp; Appliances</t>
        </is>
      </c>
      <c r="D6" s="291" t="inlineStr">
        <is>
          <t>Mobile Phones</t>
        </is>
      </c>
      <c r="E6" s="291" t="inlineStr">
        <is>
          <t>IPH13</t>
        </is>
      </c>
      <c r="F6" s="291" t="inlineStr">
        <is>
          <t>Unit</t>
        </is>
      </c>
      <c r="G6" s="292" t="n">
        <v>53</v>
      </c>
      <c r="H6" s="292" t="n">
        <v>1</v>
      </c>
      <c r="I6" s="292" t="n">
        <v>5</v>
      </c>
      <c r="J6" s="292" t="n">
        <v>9805000</v>
      </c>
      <c r="K6" s="293" t="n">
        <v>185000</v>
      </c>
      <c r="L6" s="292" t="inlineStr">
        <is>
          <t>215,000.00</t>
        </is>
      </c>
      <c r="M6" s="294">
        <f>IF(L6=0,0,(L6-K6)/L6)</f>
        <v/>
      </c>
      <c r="N6" s="292" t="inlineStr">
        <is>
          <t>In Stock</t>
        </is>
      </c>
      <c r="O6" s="292" t="n">
        <v>0</v>
      </c>
      <c r="P6" s="292" t="n">
        <v>0</v>
      </c>
      <c r="Q6" s="292" t="n">
        <v>0</v>
      </c>
      <c r="R6" s="292" t="n">
        <v>1</v>
      </c>
      <c r="S6" s="292" t="n">
        <v>0</v>
      </c>
      <c r="T6" s="292" t="n">
        <v>2</v>
      </c>
      <c r="U6" s="292" t="n">
        <v>0</v>
      </c>
      <c r="V6" s="292" t="n">
        <v>0</v>
      </c>
      <c r="W6" s="292" t="n">
        <v>2</v>
      </c>
      <c r="X6" s="292" t="n">
        <v>1</v>
      </c>
      <c r="Y6" s="292" t="n">
        <v>0</v>
      </c>
      <c r="Z6" s="292" t="n">
        <v>0</v>
      </c>
      <c r="AA6" s="292" t="n">
        <v>0</v>
      </c>
      <c r="AB6" s="292" t="n">
        <v>1</v>
      </c>
      <c r="AC6" s="292" t="n">
        <v>1</v>
      </c>
      <c r="AD6" s="292" t="n">
        <v>0</v>
      </c>
      <c r="AE6" s="292" t="n">
        <v>2</v>
      </c>
      <c r="AF6" s="292" t="n">
        <v>0</v>
      </c>
      <c r="AG6" s="292" t="n">
        <v>0</v>
      </c>
      <c r="AH6" s="292" t="n">
        <v>1</v>
      </c>
      <c r="AI6" s="292" t="n">
        <v>0</v>
      </c>
      <c r="AJ6" s="292" t="n">
        <v>0</v>
      </c>
      <c r="AK6" s="292" t="n">
        <v>0</v>
      </c>
      <c r="AL6" s="292" t="n">
        <v>2</v>
      </c>
      <c r="AM6" s="292" t="n">
        <v>2</v>
      </c>
      <c r="AN6" s="292" t="n">
        <v>0</v>
      </c>
      <c r="AO6" s="292" t="n">
        <v>1</v>
      </c>
      <c r="AP6" s="292" t="n">
        <v>0</v>
      </c>
      <c r="AQ6" s="292" t="n">
        <v>1</v>
      </c>
      <c r="AR6" s="292" t="n">
        <v>1</v>
      </c>
    </row>
    <row r="7" ht="14.25" customHeight="1" s="133">
      <c r="A7" s="287" t="inlineStr">
        <is>
          <t>PK-1005</t>
        </is>
      </c>
      <c r="B7" s="287" t="inlineStr">
        <is>
          <t>Vivo Y36</t>
        </is>
      </c>
      <c r="C7" s="287" t="inlineStr">
        <is>
          <t>Electronics &amp; Appliances</t>
        </is>
      </c>
      <c r="D7" s="287" t="inlineStr">
        <is>
          <t>Mobile Phones</t>
        </is>
      </c>
      <c r="E7" s="287" t="inlineStr">
        <is>
          <t>VIVY36</t>
        </is>
      </c>
      <c r="F7" s="287" t="inlineStr">
        <is>
          <t>Unit</t>
        </is>
      </c>
      <c r="G7" s="288" t="n">
        <v>65</v>
      </c>
      <c r="H7" s="288" t="n">
        <v>3</v>
      </c>
      <c r="I7" s="288" t="n">
        <v>15</v>
      </c>
      <c r="J7" s="288" t="n">
        <v>2730000</v>
      </c>
      <c r="K7" s="289" t="n">
        <v>42000</v>
      </c>
      <c r="L7" s="288" t="inlineStr">
        <is>
          <t>52,000.00</t>
        </is>
      </c>
      <c r="M7" s="290">
        <f>IF(L7=0,0,(L7-K7)/L7)</f>
        <v/>
      </c>
      <c r="N7" s="288" t="inlineStr">
        <is>
          <t>In Stock</t>
        </is>
      </c>
      <c r="O7" s="288" t="n">
        <v>1</v>
      </c>
      <c r="P7" s="288" t="n">
        <v>0</v>
      </c>
      <c r="Q7" s="288" t="n">
        <v>0</v>
      </c>
      <c r="R7" s="288" t="n">
        <v>1</v>
      </c>
      <c r="S7" s="288" t="n">
        <v>0</v>
      </c>
      <c r="T7" s="288" t="n">
        <v>1</v>
      </c>
      <c r="U7" s="288" t="n">
        <v>0</v>
      </c>
      <c r="V7" s="288" t="n">
        <v>1</v>
      </c>
      <c r="W7" s="288" t="n">
        <v>0</v>
      </c>
      <c r="X7" s="288" t="n">
        <v>0</v>
      </c>
      <c r="Y7" s="288" t="n">
        <v>0</v>
      </c>
      <c r="Z7" s="288" t="n">
        <v>2</v>
      </c>
      <c r="AA7" s="288" t="n">
        <v>0</v>
      </c>
      <c r="AB7" s="288" t="n">
        <v>1</v>
      </c>
      <c r="AC7" s="288" t="n">
        <v>0</v>
      </c>
      <c r="AD7" s="288" t="n">
        <v>0</v>
      </c>
      <c r="AE7" s="288" t="n">
        <v>1</v>
      </c>
      <c r="AF7" s="288" t="n">
        <v>0</v>
      </c>
      <c r="AG7" s="288" t="n">
        <v>0</v>
      </c>
      <c r="AH7" s="288" t="n">
        <v>1</v>
      </c>
      <c r="AI7" s="288" t="n">
        <v>2</v>
      </c>
      <c r="AJ7" s="288" t="n">
        <v>0</v>
      </c>
      <c r="AK7" s="288" t="n">
        <v>0</v>
      </c>
      <c r="AL7" s="288" t="n">
        <v>0</v>
      </c>
      <c r="AM7" s="288" t="n">
        <v>1</v>
      </c>
      <c r="AN7" s="288" t="n">
        <v>0</v>
      </c>
      <c r="AO7" s="288" t="n">
        <v>1</v>
      </c>
      <c r="AP7" s="288" t="n">
        <v>2</v>
      </c>
      <c r="AQ7" s="288" t="n">
        <v>0</v>
      </c>
      <c r="AR7" s="288" t="n">
        <v>3</v>
      </c>
    </row>
    <row r="8" ht="14.25" customHeight="1" s="133">
      <c r="A8" s="291" t="inlineStr">
        <is>
          <t>PK-1006</t>
        </is>
      </c>
      <c r="B8" s="291" t="inlineStr">
        <is>
          <t>Vivo V27</t>
        </is>
      </c>
      <c r="C8" s="291" t="inlineStr">
        <is>
          <t>Electronics &amp; Appliances</t>
        </is>
      </c>
      <c r="D8" s="291" t="inlineStr">
        <is>
          <t>Mobile Phones</t>
        </is>
      </c>
      <c r="E8" s="291" t="inlineStr">
        <is>
          <t>VIVV27</t>
        </is>
      </c>
      <c r="F8" s="291" t="inlineStr">
        <is>
          <t>Unit</t>
        </is>
      </c>
      <c r="G8" s="292" t="n">
        <v>12</v>
      </c>
      <c r="H8" s="292" t="n">
        <v>2</v>
      </c>
      <c r="I8" s="292" t="n">
        <v>10</v>
      </c>
      <c r="J8" s="292" t="n">
        <v>780000</v>
      </c>
      <c r="K8" s="293" t="n">
        <v>65000</v>
      </c>
      <c r="L8" s="292" t="inlineStr">
        <is>
          <t>80,000.00</t>
        </is>
      </c>
      <c r="M8" s="294">
        <f>IF(L8=0,0,(L8-K8)/L8)</f>
        <v/>
      </c>
      <c r="N8" s="292" t="inlineStr">
        <is>
          <t>In Stock</t>
        </is>
      </c>
      <c r="O8" s="292" t="n">
        <v>2</v>
      </c>
      <c r="P8" s="292" t="n">
        <v>0</v>
      </c>
      <c r="Q8" s="292" t="n">
        <v>1</v>
      </c>
      <c r="R8" s="292" t="n">
        <v>0</v>
      </c>
      <c r="S8" s="292" t="n">
        <v>1</v>
      </c>
      <c r="T8" s="292" t="n">
        <v>0</v>
      </c>
      <c r="U8" s="292" t="n">
        <v>0</v>
      </c>
      <c r="V8" s="292" t="n">
        <v>0</v>
      </c>
      <c r="W8" s="292" t="n">
        <v>0</v>
      </c>
      <c r="X8" s="292" t="n">
        <v>0</v>
      </c>
      <c r="Y8" s="292" t="n">
        <v>0</v>
      </c>
      <c r="Z8" s="292" t="n">
        <v>0</v>
      </c>
      <c r="AA8" s="292" t="n">
        <v>1</v>
      </c>
      <c r="AB8" s="292" t="n">
        <v>0</v>
      </c>
      <c r="AC8" s="292" t="n">
        <v>1</v>
      </c>
      <c r="AD8" s="292" t="n">
        <v>0</v>
      </c>
      <c r="AE8" s="292" t="n">
        <v>0</v>
      </c>
      <c r="AF8" s="292" t="n">
        <v>0</v>
      </c>
      <c r="AG8" s="292" t="n">
        <v>0</v>
      </c>
      <c r="AH8" s="292" t="n">
        <v>0</v>
      </c>
      <c r="AI8" s="292" t="n">
        <v>0</v>
      </c>
      <c r="AJ8" s="292" t="n">
        <v>0</v>
      </c>
      <c r="AK8" s="292" t="n">
        <v>0</v>
      </c>
      <c r="AL8" s="292" t="n">
        <v>1</v>
      </c>
      <c r="AM8" s="292" t="n">
        <v>0</v>
      </c>
      <c r="AN8" s="292" t="n">
        <v>0</v>
      </c>
      <c r="AO8" s="292" t="n">
        <v>0</v>
      </c>
      <c r="AP8" s="292" t="n">
        <v>0</v>
      </c>
      <c r="AQ8" s="292" t="n">
        <v>2</v>
      </c>
      <c r="AR8" s="292" t="n">
        <v>2</v>
      </c>
    </row>
    <row r="9" ht="14.25" customHeight="1" s="133">
      <c r="A9" s="287" t="inlineStr">
        <is>
          <t>PK-1007</t>
        </is>
      </c>
      <c r="B9" s="287" t="inlineStr">
        <is>
          <t>Oppo A78</t>
        </is>
      </c>
      <c r="C9" s="287" t="inlineStr">
        <is>
          <t>Electronics &amp; Appliances</t>
        </is>
      </c>
      <c r="D9" s="287" t="inlineStr">
        <is>
          <t>Mobile Phones</t>
        </is>
      </c>
      <c r="E9" s="287" t="inlineStr">
        <is>
          <t>OPPA78</t>
        </is>
      </c>
      <c r="F9" s="287" t="inlineStr">
        <is>
          <t>Unit</t>
        </is>
      </c>
      <c r="G9" s="288" t="n">
        <v>101</v>
      </c>
      <c r="H9" s="288" t="n">
        <v>3</v>
      </c>
      <c r="I9" s="288" t="n">
        <v>15</v>
      </c>
      <c r="J9" s="288" t="n">
        <v>3838000</v>
      </c>
      <c r="K9" s="289" t="n">
        <v>38000</v>
      </c>
      <c r="L9" s="288" t="inlineStr">
        <is>
          <t>47,000.00</t>
        </is>
      </c>
      <c r="M9" s="290">
        <f>IF(L9=0,0,(L9-K9)/L9)</f>
        <v/>
      </c>
      <c r="N9" s="288" t="inlineStr">
        <is>
          <t>In Stock</t>
        </is>
      </c>
      <c r="O9" s="288" t="n">
        <v>3</v>
      </c>
      <c r="P9" s="288" t="n">
        <v>1</v>
      </c>
      <c r="Q9" s="288" t="n">
        <v>0</v>
      </c>
      <c r="R9" s="288" t="n">
        <v>0</v>
      </c>
      <c r="S9" s="288" t="n">
        <v>0</v>
      </c>
      <c r="T9" s="288" t="n">
        <v>0</v>
      </c>
      <c r="U9" s="288" t="n">
        <v>0</v>
      </c>
      <c r="V9" s="288" t="n">
        <v>2</v>
      </c>
      <c r="W9" s="288" t="n">
        <v>0</v>
      </c>
      <c r="X9" s="288" t="n">
        <v>3</v>
      </c>
      <c r="Y9" s="288" t="n">
        <v>1</v>
      </c>
      <c r="Z9" s="288" t="n">
        <v>0</v>
      </c>
      <c r="AA9" s="288" t="n">
        <v>0</v>
      </c>
      <c r="AB9" s="288" t="n">
        <v>1</v>
      </c>
      <c r="AC9" s="288" t="n">
        <v>0</v>
      </c>
      <c r="AD9" s="288" t="n">
        <v>0</v>
      </c>
      <c r="AE9" s="288" t="n">
        <v>1</v>
      </c>
      <c r="AF9" s="288" t="n">
        <v>2</v>
      </c>
      <c r="AG9" s="288" t="n">
        <v>0</v>
      </c>
      <c r="AH9" s="288" t="n">
        <v>0</v>
      </c>
      <c r="AI9" s="288" t="n">
        <v>0</v>
      </c>
      <c r="AJ9" s="288" t="n">
        <v>0</v>
      </c>
      <c r="AK9" s="288" t="n">
        <v>0</v>
      </c>
      <c r="AL9" s="288" t="n">
        <v>1</v>
      </c>
      <c r="AM9" s="288" t="n">
        <v>0</v>
      </c>
      <c r="AN9" s="288" t="n">
        <v>0</v>
      </c>
      <c r="AO9" s="288" t="n">
        <v>0</v>
      </c>
      <c r="AP9" s="288" t="n">
        <v>1</v>
      </c>
      <c r="AQ9" s="288" t="n">
        <v>0</v>
      </c>
      <c r="AR9" s="288" t="n">
        <v>0</v>
      </c>
    </row>
    <row r="10" ht="14.25" customHeight="1" s="133">
      <c r="A10" s="291" t="inlineStr">
        <is>
          <t>PK-1008</t>
        </is>
      </c>
      <c r="B10" s="291" t="inlineStr">
        <is>
          <t>Oppo Reno10</t>
        </is>
      </c>
      <c r="C10" s="291" t="inlineStr">
        <is>
          <t>Electronics &amp; Appliances</t>
        </is>
      </c>
      <c r="D10" s="291" t="inlineStr">
        <is>
          <t>Mobile Phones</t>
        </is>
      </c>
      <c r="E10" s="291" t="inlineStr">
        <is>
          <t>OPPR10</t>
        </is>
      </c>
      <c r="F10" s="291" t="inlineStr">
        <is>
          <t>Unit</t>
        </is>
      </c>
      <c r="G10" s="292" t="n">
        <v>96</v>
      </c>
      <c r="H10" s="292" t="n">
        <v>1</v>
      </c>
      <c r="I10" s="292" t="n">
        <v>8</v>
      </c>
      <c r="J10" s="292" t="n">
        <v>7872000</v>
      </c>
      <c r="K10" s="293" t="n">
        <v>82000</v>
      </c>
      <c r="L10" s="292" t="inlineStr">
        <is>
          <t>99,000.00</t>
        </is>
      </c>
      <c r="M10" s="294">
        <f>IF(L10=0,0,(L10-K10)/L10)</f>
        <v/>
      </c>
      <c r="N10" s="292" t="inlineStr">
        <is>
          <t>In Stock</t>
        </is>
      </c>
      <c r="O10" s="292" t="n">
        <v>0</v>
      </c>
      <c r="P10" s="292" t="n">
        <v>0</v>
      </c>
      <c r="Q10" s="292" t="n">
        <v>1</v>
      </c>
      <c r="R10" s="292" t="n">
        <v>0</v>
      </c>
      <c r="S10" s="292" t="n">
        <v>0</v>
      </c>
      <c r="T10" s="292" t="n">
        <v>1</v>
      </c>
      <c r="U10" s="292" t="n">
        <v>0</v>
      </c>
      <c r="V10" s="292" t="n">
        <v>0</v>
      </c>
      <c r="W10" s="292" t="n">
        <v>1</v>
      </c>
      <c r="X10" s="292" t="n">
        <v>1</v>
      </c>
      <c r="Y10" s="292" t="n">
        <v>1</v>
      </c>
      <c r="Z10" s="292" t="n">
        <v>0</v>
      </c>
      <c r="AA10" s="292" t="n">
        <v>0</v>
      </c>
      <c r="AB10" s="292" t="n">
        <v>2</v>
      </c>
      <c r="AC10" s="292" t="n">
        <v>0</v>
      </c>
      <c r="AD10" s="292" t="n">
        <v>0</v>
      </c>
      <c r="AE10" s="292" t="n">
        <v>0</v>
      </c>
      <c r="AF10" s="292" t="n">
        <v>0</v>
      </c>
      <c r="AG10" s="292" t="n">
        <v>2</v>
      </c>
      <c r="AH10" s="292" t="n">
        <v>0</v>
      </c>
      <c r="AI10" s="292" t="n">
        <v>0</v>
      </c>
      <c r="AJ10" s="292" t="n">
        <v>2</v>
      </c>
      <c r="AK10" s="292" t="n">
        <v>0</v>
      </c>
      <c r="AL10" s="292" t="n">
        <v>1</v>
      </c>
      <c r="AM10" s="292" t="n">
        <v>0</v>
      </c>
      <c r="AN10" s="292" t="n">
        <v>0</v>
      </c>
      <c r="AO10" s="292" t="n">
        <v>0</v>
      </c>
      <c r="AP10" s="292" t="n">
        <v>1</v>
      </c>
      <c r="AQ10" s="292" t="n">
        <v>0</v>
      </c>
      <c r="AR10" s="292" t="n">
        <v>0</v>
      </c>
    </row>
    <row r="11" ht="14.25" customHeight="1" s="133">
      <c r="A11" s="287" t="inlineStr">
        <is>
          <t>PK-1009</t>
        </is>
      </c>
      <c r="B11" s="287" t="inlineStr">
        <is>
          <t>Realme 11 Pro</t>
        </is>
      </c>
      <c r="C11" s="287" t="inlineStr">
        <is>
          <t>Electronics &amp; Appliances</t>
        </is>
      </c>
      <c r="D11" s="287" t="inlineStr">
        <is>
          <t>Mobile Phones</t>
        </is>
      </c>
      <c r="E11" s="287" t="inlineStr">
        <is>
          <t>RLM11P</t>
        </is>
      </c>
      <c r="F11" s="287" t="inlineStr">
        <is>
          <t>Unit</t>
        </is>
      </c>
      <c r="G11" s="288" t="n">
        <v>34</v>
      </c>
      <c r="H11" s="288" t="n">
        <v>3</v>
      </c>
      <c r="I11" s="288" t="n">
        <v>15</v>
      </c>
      <c r="J11" s="288" t="n">
        <v>1768000</v>
      </c>
      <c r="K11" s="289" t="n">
        <v>52000</v>
      </c>
      <c r="L11" s="288" t="inlineStr">
        <is>
          <t>65,000.00</t>
        </is>
      </c>
      <c r="M11" s="290">
        <f>IF(L11=0,0,(L11-K11)/L11)</f>
        <v/>
      </c>
      <c r="N11" s="288" t="inlineStr">
        <is>
          <t>In Stock</t>
        </is>
      </c>
      <c r="O11" s="288" t="n">
        <v>0</v>
      </c>
      <c r="P11" s="288" t="n">
        <v>0</v>
      </c>
      <c r="Q11" s="288" t="n">
        <v>1</v>
      </c>
      <c r="R11" s="288" t="n">
        <v>0</v>
      </c>
      <c r="S11" s="288" t="n">
        <v>0</v>
      </c>
      <c r="T11" s="288" t="n">
        <v>0</v>
      </c>
      <c r="U11" s="288" t="n">
        <v>0</v>
      </c>
      <c r="V11" s="288" t="n">
        <v>2</v>
      </c>
      <c r="W11" s="288" t="n">
        <v>0</v>
      </c>
      <c r="X11" s="288" t="n">
        <v>0</v>
      </c>
      <c r="Y11" s="288" t="n">
        <v>0</v>
      </c>
      <c r="Z11" s="288" t="n">
        <v>0</v>
      </c>
      <c r="AA11" s="288" t="n">
        <v>0</v>
      </c>
      <c r="AB11" s="288" t="n">
        <v>0</v>
      </c>
      <c r="AC11" s="288" t="n">
        <v>0</v>
      </c>
      <c r="AD11" s="288" t="n">
        <v>1</v>
      </c>
      <c r="AE11" s="288" t="n">
        <v>0</v>
      </c>
      <c r="AF11" s="288" t="n">
        <v>1</v>
      </c>
      <c r="AG11" s="288" t="n">
        <v>0</v>
      </c>
      <c r="AH11" s="288" t="n">
        <v>0</v>
      </c>
      <c r="AI11" s="288" t="n">
        <v>0</v>
      </c>
      <c r="AJ11" s="288" t="n">
        <v>3</v>
      </c>
      <c r="AK11" s="288" t="n">
        <v>2</v>
      </c>
      <c r="AL11" s="288" t="n">
        <v>1</v>
      </c>
      <c r="AM11" s="288" t="n">
        <v>0</v>
      </c>
      <c r="AN11" s="288" t="n">
        <v>1</v>
      </c>
      <c r="AO11" s="288" t="n">
        <v>1</v>
      </c>
      <c r="AP11" s="288" t="n">
        <v>0</v>
      </c>
      <c r="AQ11" s="288" t="n">
        <v>0</v>
      </c>
      <c r="AR11" s="288" t="n">
        <v>2</v>
      </c>
    </row>
    <row r="12" ht="14.25" customHeight="1" s="133">
      <c r="A12" s="291" t="inlineStr">
        <is>
          <t>PK-1010</t>
        </is>
      </c>
      <c r="B12" s="291" t="inlineStr">
        <is>
          <t>Xiaomi Redmi 12</t>
        </is>
      </c>
      <c r="C12" s="291" t="inlineStr">
        <is>
          <t>Electronics &amp; Appliances</t>
        </is>
      </c>
      <c r="D12" s="291" t="inlineStr">
        <is>
          <t>Mobile Phones</t>
        </is>
      </c>
      <c r="E12" s="291" t="inlineStr">
        <is>
          <t>XMR12</t>
        </is>
      </c>
      <c r="F12" s="291" t="inlineStr">
        <is>
          <t>Unit</t>
        </is>
      </c>
      <c r="G12" s="292" t="n">
        <v>20</v>
      </c>
      <c r="H12" s="292" t="n">
        <v>4</v>
      </c>
      <c r="I12" s="292" t="n">
        <v>20</v>
      </c>
      <c r="J12" s="292" t="n">
        <v>680000</v>
      </c>
      <c r="K12" s="293" t="n">
        <v>34000</v>
      </c>
      <c r="L12" s="292" t="inlineStr">
        <is>
          <t>42,000.00</t>
        </is>
      </c>
      <c r="M12" s="294">
        <f>IF(L12=0,0,(L12-K12)/L12)</f>
        <v/>
      </c>
      <c r="N12" s="292" t="inlineStr">
        <is>
          <t>In Stock</t>
        </is>
      </c>
      <c r="O12" s="292" t="n">
        <v>0</v>
      </c>
      <c r="P12" s="292" t="n">
        <v>0</v>
      </c>
      <c r="Q12" s="292" t="n">
        <v>1</v>
      </c>
      <c r="R12" s="292" t="n">
        <v>0</v>
      </c>
      <c r="S12" s="292" t="n">
        <v>1</v>
      </c>
      <c r="T12" s="292" t="n">
        <v>0</v>
      </c>
      <c r="U12" s="292" t="n">
        <v>3</v>
      </c>
      <c r="V12" s="292" t="n">
        <v>0</v>
      </c>
      <c r="W12" s="292" t="n">
        <v>1</v>
      </c>
      <c r="X12" s="292" t="n">
        <v>0</v>
      </c>
      <c r="Y12" s="292" t="n">
        <v>0</v>
      </c>
      <c r="Z12" s="292" t="n">
        <v>1</v>
      </c>
      <c r="AA12" s="292" t="n">
        <v>1</v>
      </c>
      <c r="AB12" s="292" t="n">
        <v>2</v>
      </c>
      <c r="AC12" s="292" t="n">
        <v>3</v>
      </c>
      <c r="AD12" s="292" t="n">
        <v>0</v>
      </c>
      <c r="AE12" s="292" t="n">
        <v>0</v>
      </c>
      <c r="AF12" s="292" t="n">
        <v>1</v>
      </c>
      <c r="AG12" s="292" t="n">
        <v>0</v>
      </c>
      <c r="AH12" s="292" t="n">
        <v>0</v>
      </c>
      <c r="AI12" s="292" t="n">
        <v>0</v>
      </c>
      <c r="AJ12" s="292" t="n">
        <v>0</v>
      </c>
      <c r="AK12" s="292" t="n">
        <v>0</v>
      </c>
      <c r="AL12" s="292" t="n">
        <v>3</v>
      </c>
      <c r="AM12" s="292" t="n">
        <v>0</v>
      </c>
      <c r="AN12" s="292" t="n">
        <v>2</v>
      </c>
      <c r="AO12" s="292" t="n">
        <v>1</v>
      </c>
      <c r="AP12" s="292" t="n">
        <v>0</v>
      </c>
      <c r="AQ12" s="292" t="n">
        <v>1</v>
      </c>
      <c r="AR12" s="292" t="n">
        <v>0</v>
      </c>
    </row>
    <row r="13" ht="14.25" customHeight="1" s="133">
      <c r="A13" s="287" t="inlineStr">
        <is>
          <t>PK-1011</t>
        </is>
      </c>
      <c r="B13" s="287" t="inlineStr">
        <is>
          <t>Dell Inspiron 15</t>
        </is>
      </c>
      <c r="C13" s="287" t="inlineStr">
        <is>
          <t>Electronics &amp; Appliances</t>
        </is>
      </c>
      <c r="D13" s="287" t="inlineStr">
        <is>
          <t>Laptops &amp; Computers</t>
        </is>
      </c>
      <c r="E13" s="287" t="inlineStr">
        <is>
          <t>DELI15</t>
        </is>
      </c>
      <c r="F13" s="287" t="inlineStr">
        <is>
          <t>Unit</t>
        </is>
      </c>
      <c r="G13" s="288" t="n">
        <v>118</v>
      </c>
      <c r="H13" s="288" t="n">
        <v>1</v>
      </c>
      <c r="I13" s="288" t="n">
        <v>5</v>
      </c>
      <c r="J13" s="288" t="n">
        <v>13570000</v>
      </c>
      <c r="K13" s="289" t="n">
        <v>115000</v>
      </c>
      <c r="L13" s="288" t="inlineStr">
        <is>
          <t>139,000.00</t>
        </is>
      </c>
      <c r="M13" s="290">
        <f>IF(L13=0,0,(L13-K13)/L13)</f>
        <v/>
      </c>
      <c r="N13" s="288" t="inlineStr">
        <is>
          <t>In Stock</t>
        </is>
      </c>
      <c r="O13" s="288" t="n">
        <v>0</v>
      </c>
      <c r="P13" s="288" t="n">
        <v>1</v>
      </c>
      <c r="Q13" s="288" t="n">
        <v>0</v>
      </c>
      <c r="R13" s="288" t="n">
        <v>0</v>
      </c>
      <c r="S13" s="288" t="n">
        <v>0</v>
      </c>
      <c r="T13" s="288" t="n">
        <v>0</v>
      </c>
      <c r="U13" s="288" t="n">
        <v>0</v>
      </c>
      <c r="V13" s="288" t="n">
        <v>2</v>
      </c>
      <c r="W13" s="288" t="n">
        <v>0</v>
      </c>
      <c r="X13" s="288" t="n">
        <v>0</v>
      </c>
      <c r="Y13" s="288" t="n">
        <v>0</v>
      </c>
      <c r="Z13" s="288" t="n">
        <v>0</v>
      </c>
      <c r="AA13" s="288" t="n">
        <v>0</v>
      </c>
      <c r="AB13" s="288" t="n">
        <v>3</v>
      </c>
      <c r="AC13" s="288" t="n">
        <v>3</v>
      </c>
      <c r="AD13" s="288" t="n">
        <v>1</v>
      </c>
      <c r="AE13" s="288" t="n">
        <v>2</v>
      </c>
      <c r="AF13" s="288" t="n">
        <v>0</v>
      </c>
      <c r="AG13" s="288" t="n">
        <v>0</v>
      </c>
      <c r="AH13" s="288" t="n">
        <v>0</v>
      </c>
      <c r="AI13" s="288" t="n">
        <v>0</v>
      </c>
      <c r="AJ13" s="288" t="n">
        <v>0</v>
      </c>
      <c r="AK13" s="288" t="n">
        <v>1</v>
      </c>
      <c r="AL13" s="288" t="n">
        <v>0</v>
      </c>
      <c r="AM13" s="288" t="n">
        <v>2</v>
      </c>
      <c r="AN13" s="288" t="n">
        <v>0</v>
      </c>
      <c r="AO13" s="288" t="n">
        <v>0</v>
      </c>
      <c r="AP13" s="288" t="n">
        <v>1</v>
      </c>
      <c r="AQ13" s="288" t="n">
        <v>0</v>
      </c>
      <c r="AR13" s="288" t="n">
        <v>1</v>
      </c>
    </row>
    <row r="14" ht="14.25" customHeight="1" s="133">
      <c r="A14" s="291" t="inlineStr">
        <is>
          <t>PK-1012</t>
        </is>
      </c>
      <c r="B14" s="291" t="inlineStr">
        <is>
          <t>HP Pavilion 14</t>
        </is>
      </c>
      <c r="C14" s="291" t="inlineStr">
        <is>
          <t>Electronics &amp; Appliances</t>
        </is>
      </c>
      <c r="D14" s="291" t="inlineStr">
        <is>
          <t>Laptops &amp; Computers</t>
        </is>
      </c>
      <c r="E14" s="291" t="inlineStr">
        <is>
          <t>HPP14</t>
        </is>
      </c>
      <c r="F14" s="291" t="inlineStr">
        <is>
          <t>Unit</t>
        </is>
      </c>
      <c r="G14" s="292" t="n">
        <v>1</v>
      </c>
      <c r="H14" s="292" t="n">
        <v>1</v>
      </c>
      <c r="I14" s="292" t="n">
        <v>5</v>
      </c>
      <c r="J14" s="292" t="n">
        <v>108000</v>
      </c>
      <c r="K14" s="293" t="n">
        <v>108000</v>
      </c>
      <c r="L14" s="292" t="inlineStr">
        <is>
          <t>130,000.00</t>
        </is>
      </c>
      <c r="M14" s="294">
        <f>IF(L14=0,0,(L14-K14)/L14)</f>
        <v/>
      </c>
      <c r="N14" s="292" t="inlineStr">
        <is>
          <t>In Stock</t>
        </is>
      </c>
      <c r="O14" s="292" t="n">
        <v>0</v>
      </c>
      <c r="P14" s="292" t="n">
        <v>0</v>
      </c>
      <c r="Q14" s="292" t="n">
        <v>0</v>
      </c>
      <c r="R14" s="292" t="n">
        <v>0</v>
      </c>
      <c r="S14" s="292" t="n">
        <v>0</v>
      </c>
      <c r="T14" s="292" t="n">
        <v>0</v>
      </c>
      <c r="U14" s="292" t="n">
        <v>0</v>
      </c>
      <c r="V14" s="292" t="n">
        <v>0</v>
      </c>
      <c r="W14" s="292" t="n">
        <v>0</v>
      </c>
      <c r="X14" s="292" t="n">
        <v>0</v>
      </c>
      <c r="Y14" s="292" t="n">
        <v>0</v>
      </c>
      <c r="Z14" s="292" t="n">
        <v>0</v>
      </c>
      <c r="AA14" s="292" t="n">
        <v>0</v>
      </c>
      <c r="AB14" s="292" t="n">
        <v>0</v>
      </c>
      <c r="AC14" s="292" t="n">
        <v>0</v>
      </c>
      <c r="AD14" s="292" t="n">
        <v>0</v>
      </c>
      <c r="AE14" s="292" t="n">
        <v>0</v>
      </c>
      <c r="AF14" s="292" t="n">
        <v>0</v>
      </c>
      <c r="AG14" s="292" t="n">
        <v>0</v>
      </c>
      <c r="AH14" s="292" t="n">
        <v>0</v>
      </c>
      <c r="AI14" s="292" t="n">
        <v>0</v>
      </c>
      <c r="AJ14" s="292" t="n">
        <v>0</v>
      </c>
      <c r="AK14" s="292" t="n">
        <v>0</v>
      </c>
      <c r="AL14" s="292" t="n">
        <v>0</v>
      </c>
      <c r="AM14" s="292" t="n">
        <v>0</v>
      </c>
      <c r="AN14" s="292" t="n">
        <v>0</v>
      </c>
      <c r="AO14" s="292" t="n">
        <v>0</v>
      </c>
      <c r="AP14" s="292" t="n">
        <v>0</v>
      </c>
      <c r="AQ14" s="292" t="n">
        <v>0</v>
      </c>
      <c r="AR14" s="292" t="n">
        <v>0</v>
      </c>
    </row>
    <row r="15" ht="14.25" customHeight="1" s="133">
      <c r="A15" s="287" t="inlineStr">
        <is>
          <t>PK-1013</t>
        </is>
      </c>
      <c r="B15" s="287" t="inlineStr">
        <is>
          <t>Lenovo IdeaPad 3</t>
        </is>
      </c>
      <c r="C15" s="287" t="inlineStr">
        <is>
          <t>Electronics &amp; Appliances</t>
        </is>
      </c>
      <c r="D15" s="287" t="inlineStr">
        <is>
          <t>Laptops &amp; Computers</t>
        </is>
      </c>
      <c r="E15" s="287" t="inlineStr">
        <is>
          <t>LENIP3</t>
        </is>
      </c>
      <c r="F15" s="287" t="inlineStr">
        <is>
          <t>Unit</t>
        </is>
      </c>
      <c r="G15" s="288" t="n">
        <v>133</v>
      </c>
      <c r="H15" s="288" t="n">
        <v>1</v>
      </c>
      <c r="I15" s="288" t="n">
        <v>5</v>
      </c>
      <c r="J15" s="288" t="n">
        <v>12635000</v>
      </c>
      <c r="K15" s="289" t="n">
        <v>95000</v>
      </c>
      <c r="L15" s="288" t="inlineStr">
        <is>
          <t>115,000.00</t>
        </is>
      </c>
      <c r="M15" s="290">
        <f>IF(L15=0,0,(L15-K15)/L15)</f>
        <v/>
      </c>
      <c r="N15" s="288" t="inlineStr">
        <is>
          <t>In Stock</t>
        </is>
      </c>
      <c r="O15" s="288" t="n">
        <v>0</v>
      </c>
      <c r="P15" s="288" t="n">
        <v>0</v>
      </c>
      <c r="Q15" s="288" t="n">
        <v>1</v>
      </c>
      <c r="R15" s="288" t="n">
        <v>2</v>
      </c>
      <c r="S15" s="288" t="n">
        <v>1</v>
      </c>
      <c r="T15" s="288" t="n">
        <v>2</v>
      </c>
      <c r="U15" s="288" t="n">
        <v>1</v>
      </c>
      <c r="V15" s="288" t="n">
        <v>1</v>
      </c>
      <c r="W15" s="288" t="n">
        <v>2</v>
      </c>
      <c r="X15" s="288" t="n">
        <v>0</v>
      </c>
      <c r="Y15" s="288" t="n">
        <v>0</v>
      </c>
      <c r="Z15" s="288" t="n">
        <v>0</v>
      </c>
      <c r="AA15" s="288" t="n">
        <v>0</v>
      </c>
      <c r="AB15" s="288" t="n">
        <v>3</v>
      </c>
      <c r="AC15" s="288" t="n">
        <v>0</v>
      </c>
      <c r="AD15" s="288" t="n">
        <v>0</v>
      </c>
      <c r="AE15" s="288" t="n">
        <v>1</v>
      </c>
      <c r="AF15" s="288" t="n">
        <v>0</v>
      </c>
      <c r="AG15" s="288" t="n">
        <v>1</v>
      </c>
      <c r="AH15" s="288" t="n">
        <v>2</v>
      </c>
      <c r="AI15" s="288" t="n">
        <v>1</v>
      </c>
      <c r="AJ15" s="288" t="n">
        <v>0</v>
      </c>
      <c r="AK15" s="288" t="n">
        <v>0</v>
      </c>
      <c r="AL15" s="288" t="n">
        <v>0</v>
      </c>
      <c r="AM15" s="288" t="n">
        <v>0</v>
      </c>
      <c r="AN15" s="288" t="n">
        <v>0</v>
      </c>
      <c r="AO15" s="288" t="n">
        <v>1</v>
      </c>
      <c r="AP15" s="288" t="n">
        <v>0</v>
      </c>
      <c r="AQ15" s="288" t="n">
        <v>0</v>
      </c>
      <c r="AR15" s="288" t="n">
        <v>0</v>
      </c>
    </row>
    <row r="16" ht="14.25" customHeight="1" s="133">
      <c r="A16" s="291" t="inlineStr">
        <is>
          <t>PK-1014</t>
        </is>
      </c>
      <c r="B16" s="291" t="inlineStr">
        <is>
          <t>Asus VivoBook 15</t>
        </is>
      </c>
      <c r="C16" s="291" t="inlineStr">
        <is>
          <t>Electronics &amp; Appliances</t>
        </is>
      </c>
      <c r="D16" s="291" t="inlineStr">
        <is>
          <t>Laptops &amp; Computers</t>
        </is>
      </c>
      <c r="E16" s="291" t="inlineStr">
        <is>
          <t>ASVB15</t>
        </is>
      </c>
      <c r="F16" s="291" t="inlineStr">
        <is>
          <t>Unit</t>
        </is>
      </c>
      <c r="G16" s="292" t="n">
        <v>62</v>
      </c>
      <c r="H16" s="292" t="n">
        <v>1</v>
      </c>
      <c r="I16" s="292" t="n">
        <v>5</v>
      </c>
      <c r="J16" s="292" t="n">
        <v>6510000</v>
      </c>
      <c r="K16" s="293" t="n">
        <v>105000</v>
      </c>
      <c r="L16" s="292" t="inlineStr">
        <is>
          <t>128,000.00</t>
        </is>
      </c>
      <c r="M16" s="294">
        <f>IF(L16=0,0,(L16-K16)/L16)</f>
        <v/>
      </c>
      <c r="N16" s="292" t="inlineStr">
        <is>
          <t>In Stock</t>
        </is>
      </c>
      <c r="O16" s="292" t="n">
        <v>0</v>
      </c>
      <c r="P16" s="292" t="n">
        <v>0</v>
      </c>
      <c r="Q16" s="292" t="n">
        <v>1</v>
      </c>
      <c r="R16" s="292" t="n">
        <v>0</v>
      </c>
      <c r="S16" s="292" t="n">
        <v>0</v>
      </c>
      <c r="T16" s="292" t="n">
        <v>0</v>
      </c>
      <c r="U16" s="292" t="n">
        <v>0</v>
      </c>
      <c r="V16" s="292" t="n">
        <v>0</v>
      </c>
      <c r="W16" s="292" t="n">
        <v>0</v>
      </c>
      <c r="X16" s="292" t="n">
        <v>0</v>
      </c>
      <c r="Y16" s="292" t="n">
        <v>0</v>
      </c>
      <c r="Z16" s="292" t="n">
        <v>0</v>
      </c>
      <c r="AA16" s="292" t="n">
        <v>2</v>
      </c>
      <c r="AB16" s="292" t="n">
        <v>3</v>
      </c>
      <c r="AC16" s="292" t="n">
        <v>2</v>
      </c>
      <c r="AD16" s="292" t="n">
        <v>1</v>
      </c>
      <c r="AE16" s="292" t="n">
        <v>0</v>
      </c>
      <c r="AF16" s="292" t="n">
        <v>0</v>
      </c>
      <c r="AG16" s="292" t="n">
        <v>0</v>
      </c>
      <c r="AH16" s="292" t="n">
        <v>0</v>
      </c>
      <c r="AI16" s="292" t="n">
        <v>1</v>
      </c>
      <c r="AJ16" s="292" t="n">
        <v>0</v>
      </c>
      <c r="AK16" s="292" t="n">
        <v>0</v>
      </c>
      <c r="AL16" s="292" t="n">
        <v>0</v>
      </c>
      <c r="AM16" s="292" t="n">
        <v>0</v>
      </c>
      <c r="AN16" s="292" t="n">
        <v>3</v>
      </c>
      <c r="AO16" s="292" t="n">
        <v>3</v>
      </c>
      <c r="AP16" s="292" t="n">
        <v>0</v>
      </c>
      <c r="AQ16" s="292" t="n">
        <v>0</v>
      </c>
      <c r="AR16" s="292" t="n">
        <v>0</v>
      </c>
    </row>
    <row r="17" ht="14.25" customHeight="1" s="133">
      <c r="A17" s="287" t="inlineStr">
        <is>
          <t>PK-1015</t>
        </is>
      </c>
      <c r="B17" s="287" t="inlineStr">
        <is>
          <t>Dell Latitude 5520</t>
        </is>
      </c>
      <c r="C17" s="287" t="inlineStr">
        <is>
          <t>Electronics &amp; Appliances</t>
        </is>
      </c>
      <c r="D17" s="287" t="inlineStr">
        <is>
          <t>Laptops &amp; Computers</t>
        </is>
      </c>
      <c r="E17" s="287" t="inlineStr">
        <is>
          <t>DELL5520</t>
        </is>
      </c>
      <c r="F17" s="287" t="inlineStr">
        <is>
          <t>Unit</t>
        </is>
      </c>
      <c r="G17" s="288" t="n">
        <v>6</v>
      </c>
      <c r="H17" s="288" t="n">
        <v>1</v>
      </c>
      <c r="I17" s="288" t="n">
        <v>3</v>
      </c>
      <c r="J17" s="288" t="n">
        <v>1050000</v>
      </c>
      <c r="K17" s="289" t="n">
        <v>175000</v>
      </c>
      <c r="L17" s="288" t="inlineStr">
        <is>
          <t>210,000.00</t>
        </is>
      </c>
      <c r="M17" s="290">
        <f>IF(L17=0,0,(L17-K17)/L17)</f>
        <v/>
      </c>
      <c r="N17" s="288" t="inlineStr">
        <is>
          <t>In Stock</t>
        </is>
      </c>
      <c r="O17" s="288" t="n">
        <v>1</v>
      </c>
      <c r="P17" s="288" t="n">
        <v>1</v>
      </c>
      <c r="Q17" s="288" t="n">
        <v>0</v>
      </c>
      <c r="R17" s="288" t="n">
        <v>0</v>
      </c>
      <c r="S17" s="288" t="n">
        <v>0</v>
      </c>
      <c r="T17" s="288" t="n">
        <v>0</v>
      </c>
      <c r="U17" s="288" t="n">
        <v>0</v>
      </c>
      <c r="V17" s="288" t="n">
        <v>0</v>
      </c>
      <c r="W17" s="288" t="n">
        <v>1</v>
      </c>
      <c r="X17" s="288" t="n">
        <v>2</v>
      </c>
      <c r="Y17" s="288" t="n">
        <v>0</v>
      </c>
      <c r="Z17" s="288" t="n">
        <v>0</v>
      </c>
      <c r="AA17" s="288" t="n">
        <v>0</v>
      </c>
      <c r="AB17" s="288" t="n">
        <v>0</v>
      </c>
      <c r="AC17" s="288" t="n">
        <v>0</v>
      </c>
      <c r="AD17" s="288" t="n">
        <v>0</v>
      </c>
      <c r="AE17" s="288" t="n">
        <v>0</v>
      </c>
      <c r="AF17" s="288" t="n">
        <v>0</v>
      </c>
      <c r="AG17" s="288" t="n">
        <v>2</v>
      </c>
      <c r="AH17" s="288" t="n">
        <v>0</v>
      </c>
      <c r="AI17" s="288" t="n">
        <v>0</v>
      </c>
      <c r="AJ17" s="288" t="n">
        <v>0</v>
      </c>
      <c r="AK17" s="288" t="n">
        <v>0</v>
      </c>
      <c r="AL17" s="288" t="n">
        <v>0</v>
      </c>
      <c r="AM17" s="288" t="n">
        <v>0</v>
      </c>
      <c r="AN17" s="288" t="n">
        <v>1</v>
      </c>
      <c r="AO17" s="288" t="n">
        <v>0</v>
      </c>
      <c r="AP17" s="288" t="n">
        <v>0</v>
      </c>
      <c r="AQ17" s="288" t="n">
        <v>0</v>
      </c>
      <c r="AR17" s="288" t="n">
        <v>1</v>
      </c>
    </row>
    <row r="18" ht="14.25" customHeight="1" s="133">
      <c r="A18" s="291" t="inlineStr">
        <is>
          <t>PK-1016</t>
        </is>
      </c>
      <c r="B18" s="291" t="inlineStr">
        <is>
          <t>HP ProBook 450</t>
        </is>
      </c>
      <c r="C18" s="291" t="inlineStr">
        <is>
          <t>Electronics &amp; Appliances</t>
        </is>
      </c>
      <c r="D18" s="291" t="inlineStr">
        <is>
          <t>Laptops &amp; Computers</t>
        </is>
      </c>
      <c r="E18" s="291" t="inlineStr">
        <is>
          <t>HPPB450</t>
        </is>
      </c>
      <c r="F18" s="291" t="inlineStr">
        <is>
          <t>Unit</t>
        </is>
      </c>
      <c r="G18" s="292" t="n">
        <v>18</v>
      </c>
      <c r="H18" s="292" t="n">
        <v>1</v>
      </c>
      <c r="I18" s="292" t="n">
        <v>3</v>
      </c>
      <c r="J18" s="292" t="n">
        <v>2790000</v>
      </c>
      <c r="K18" s="293" t="n">
        <v>155000</v>
      </c>
      <c r="L18" s="292" t="inlineStr">
        <is>
          <t>185,000.00</t>
        </is>
      </c>
      <c r="M18" s="294">
        <f>IF(L18=0,0,(L18-K18)/L18)</f>
        <v/>
      </c>
      <c r="N18" s="292" t="inlineStr">
        <is>
          <t>In Stock</t>
        </is>
      </c>
      <c r="O18" s="292" t="n">
        <v>0</v>
      </c>
      <c r="P18" s="292" t="n">
        <v>0</v>
      </c>
      <c r="Q18" s="292" t="n">
        <v>0</v>
      </c>
      <c r="R18" s="292" t="n">
        <v>0</v>
      </c>
      <c r="S18" s="292" t="n">
        <v>1</v>
      </c>
      <c r="T18" s="292" t="n">
        <v>0</v>
      </c>
      <c r="U18" s="292" t="n">
        <v>1</v>
      </c>
      <c r="V18" s="292" t="n">
        <v>0</v>
      </c>
      <c r="W18" s="292" t="n">
        <v>0</v>
      </c>
      <c r="X18" s="292" t="n">
        <v>0</v>
      </c>
      <c r="Y18" s="292" t="n">
        <v>0</v>
      </c>
      <c r="Z18" s="292" t="n">
        <v>0</v>
      </c>
      <c r="AA18" s="292" t="n">
        <v>0</v>
      </c>
      <c r="AB18" s="292" t="n">
        <v>3</v>
      </c>
      <c r="AC18" s="292" t="n">
        <v>0</v>
      </c>
      <c r="AD18" s="292" t="n">
        <v>1</v>
      </c>
      <c r="AE18" s="292" t="n">
        <v>0</v>
      </c>
      <c r="AF18" s="292" t="n">
        <v>0</v>
      </c>
      <c r="AG18" s="292" t="n">
        <v>0</v>
      </c>
      <c r="AH18" s="292" t="n">
        <v>2</v>
      </c>
      <c r="AI18" s="292" t="n">
        <v>0</v>
      </c>
      <c r="AJ18" s="292" t="n">
        <v>1</v>
      </c>
      <c r="AK18" s="292" t="n">
        <v>0</v>
      </c>
      <c r="AL18" s="292" t="n">
        <v>0</v>
      </c>
      <c r="AM18" s="292" t="n">
        <v>0</v>
      </c>
      <c r="AN18" s="292" t="n">
        <v>2</v>
      </c>
      <c r="AO18" s="292" t="n">
        <v>1</v>
      </c>
      <c r="AP18" s="292" t="n">
        <v>0</v>
      </c>
      <c r="AQ18" s="292" t="n">
        <v>1</v>
      </c>
      <c r="AR18" s="292" t="n">
        <v>0</v>
      </c>
    </row>
    <row r="19" ht="14.25" customHeight="1" s="133">
      <c r="A19" s="287" t="inlineStr">
        <is>
          <t>PK-1017</t>
        </is>
      </c>
      <c r="B19" s="287" t="inlineStr">
        <is>
          <t>Apple MacBook Air M2</t>
        </is>
      </c>
      <c r="C19" s="287" t="inlineStr">
        <is>
          <t>Electronics &amp; Appliances</t>
        </is>
      </c>
      <c r="D19" s="287" t="inlineStr">
        <is>
          <t>Laptops &amp; Computers</t>
        </is>
      </c>
      <c r="E19" s="287" t="inlineStr">
        <is>
          <t>MBAIM2</t>
        </is>
      </c>
      <c r="F19" s="287" t="inlineStr">
        <is>
          <t>Unit</t>
        </is>
      </c>
      <c r="G19" s="288" t="n">
        <v>40</v>
      </c>
      <c r="H19" s="288" t="n">
        <v>1</v>
      </c>
      <c r="I19" s="288" t="n">
        <v>3</v>
      </c>
      <c r="J19" s="288" t="n">
        <v>11600000</v>
      </c>
      <c r="K19" s="289" t="n">
        <v>290000</v>
      </c>
      <c r="L19" s="288" t="inlineStr">
        <is>
          <t>339,000.00</t>
        </is>
      </c>
      <c r="M19" s="290">
        <f>IF(L19=0,0,(L19-K19)/L19)</f>
        <v/>
      </c>
      <c r="N19" s="288" t="inlineStr">
        <is>
          <t>In Stock</t>
        </is>
      </c>
      <c r="O19" s="288" t="n">
        <v>0</v>
      </c>
      <c r="P19" s="288" t="n">
        <v>0</v>
      </c>
      <c r="Q19" s="288" t="n">
        <v>0</v>
      </c>
      <c r="R19" s="288" t="n">
        <v>2</v>
      </c>
      <c r="S19" s="288" t="n">
        <v>2</v>
      </c>
      <c r="T19" s="288" t="n">
        <v>1</v>
      </c>
      <c r="U19" s="288" t="n">
        <v>0</v>
      </c>
      <c r="V19" s="288" t="n">
        <v>0</v>
      </c>
      <c r="W19" s="288" t="n">
        <v>0</v>
      </c>
      <c r="X19" s="288" t="n">
        <v>2</v>
      </c>
      <c r="Y19" s="288" t="n">
        <v>0</v>
      </c>
      <c r="Z19" s="288" t="n">
        <v>0</v>
      </c>
      <c r="AA19" s="288" t="n">
        <v>0</v>
      </c>
      <c r="AB19" s="288" t="n">
        <v>0</v>
      </c>
      <c r="AC19" s="288" t="n">
        <v>0</v>
      </c>
      <c r="AD19" s="288" t="n">
        <v>1</v>
      </c>
      <c r="AE19" s="288" t="n">
        <v>0</v>
      </c>
      <c r="AF19" s="288" t="n">
        <v>0</v>
      </c>
      <c r="AG19" s="288" t="n">
        <v>0</v>
      </c>
      <c r="AH19" s="288" t="n">
        <v>0</v>
      </c>
      <c r="AI19" s="288" t="n">
        <v>0</v>
      </c>
      <c r="AJ19" s="288" t="n">
        <v>0</v>
      </c>
      <c r="AK19" s="288" t="n">
        <v>0</v>
      </c>
      <c r="AL19" s="288" t="n">
        <v>0</v>
      </c>
      <c r="AM19" s="288" t="n">
        <v>0</v>
      </c>
      <c r="AN19" s="288" t="n">
        <v>0</v>
      </c>
      <c r="AO19" s="288" t="n">
        <v>0</v>
      </c>
      <c r="AP19" s="288" t="n">
        <v>0</v>
      </c>
      <c r="AQ19" s="288" t="n">
        <v>0</v>
      </c>
      <c r="AR19" s="288" t="n">
        <v>0</v>
      </c>
    </row>
    <row r="20" ht="14.25" customHeight="1" s="133">
      <c r="A20" s="291" t="inlineStr">
        <is>
          <t>PK-1018</t>
        </is>
      </c>
      <c r="B20" s="291" t="inlineStr">
        <is>
          <t>Acer Aspire 7</t>
        </is>
      </c>
      <c r="C20" s="291" t="inlineStr">
        <is>
          <t>Electronics &amp; Appliances</t>
        </is>
      </c>
      <c r="D20" s="291" t="inlineStr">
        <is>
          <t>Laptops &amp; Computers</t>
        </is>
      </c>
      <c r="E20" s="291" t="inlineStr">
        <is>
          <t>ACRA7</t>
        </is>
      </c>
      <c r="F20" s="291" t="inlineStr">
        <is>
          <t>Unit</t>
        </is>
      </c>
      <c r="G20" s="292" t="n">
        <v>135</v>
      </c>
      <c r="H20" s="292" t="n">
        <v>2</v>
      </c>
      <c r="I20" s="292" t="n">
        <v>8</v>
      </c>
      <c r="J20" s="292" t="n">
        <v>16200000</v>
      </c>
      <c r="K20" s="293" t="n">
        <v>120000</v>
      </c>
      <c r="L20" s="292" t="inlineStr">
        <is>
          <t>145,000.00</t>
        </is>
      </c>
      <c r="M20" s="294">
        <f>IF(L20=0,0,(L20-K20)/L20)</f>
        <v/>
      </c>
      <c r="N20" s="292" t="inlineStr">
        <is>
          <t>In Stock</t>
        </is>
      </c>
      <c r="O20" s="292" t="n">
        <v>0</v>
      </c>
      <c r="P20" s="292" t="n">
        <v>3</v>
      </c>
      <c r="Q20" s="292" t="n">
        <v>0</v>
      </c>
      <c r="R20" s="292" t="n">
        <v>0</v>
      </c>
      <c r="S20" s="292" t="n">
        <v>0</v>
      </c>
      <c r="T20" s="292" t="n">
        <v>0</v>
      </c>
      <c r="U20" s="292" t="n">
        <v>0</v>
      </c>
      <c r="V20" s="292" t="n">
        <v>3</v>
      </c>
      <c r="W20" s="292" t="n">
        <v>0</v>
      </c>
      <c r="X20" s="292" t="n">
        <v>3</v>
      </c>
      <c r="Y20" s="292" t="n">
        <v>1</v>
      </c>
      <c r="Z20" s="292" t="n">
        <v>0</v>
      </c>
      <c r="AA20" s="292" t="n">
        <v>0</v>
      </c>
      <c r="AB20" s="292" t="n">
        <v>0</v>
      </c>
      <c r="AC20" s="292" t="n">
        <v>2</v>
      </c>
      <c r="AD20" s="292" t="n">
        <v>0</v>
      </c>
      <c r="AE20" s="292" t="n">
        <v>0</v>
      </c>
      <c r="AF20" s="292" t="n">
        <v>0</v>
      </c>
      <c r="AG20" s="292" t="n">
        <v>0</v>
      </c>
      <c r="AH20" s="292" t="n">
        <v>1</v>
      </c>
      <c r="AI20" s="292" t="n">
        <v>0</v>
      </c>
      <c r="AJ20" s="292" t="n">
        <v>0</v>
      </c>
      <c r="AK20" s="292" t="n">
        <v>0</v>
      </c>
      <c r="AL20" s="292" t="n">
        <v>0</v>
      </c>
      <c r="AM20" s="292" t="n">
        <v>0</v>
      </c>
      <c r="AN20" s="292" t="n">
        <v>0</v>
      </c>
      <c r="AO20" s="292" t="n">
        <v>2</v>
      </c>
      <c r="AP20" s="292" t="n">
        <v>0</v>
      </c>
      <c r="AQ20" s="292" t="n">
        <v>1</v>
      </c>
      <c r="AR20" s="292" t="n">
        <v>0</v>
      </c>
    </row>
    <row r="21" ht="14.25" customHeight="1" s="133">
      <c r="A21" s="287" t="inlineStr">
        <is>
          <t>PK-1019</t>
        </is>
      </c>
      <c r="B21" s="287" t="inlineStr">
        <is>
          <t>Samsung 43" 4K Smart TV</t>
        </is>
      </c>
      <c r="C21" s="287" t="inlineStr">
        <is>
          <t>Electronics &amp; Appliances</t>
        </is>
      </c>
      <c r="D21" s="287" t="inlineStr">
        <is>
          <t>Televisions</t>
        </is>
      </c>
      <c r="E21" s="287" t="inlineStr">
        <is>
          <t>SMTV43</t>
        </is>
      </c>
      <c r="F21" s="287" t="inlineStr">
        <is>
          <t>Unit</t>
        </is>
      </c>
      <c r="G21" s="288" t="n">
        <v>102</v>
      </c>
      <c r="H21" s="288" t="n">
        <v>1</v>
      </c>
      <c r="I21" s="288" t="n">
        <v>5</v>
      </c>
      <c r="J21" s="288" t="n">
        <v>7956000</v>
      </c>
      <c r="K21" s="289" t="n">
        <v>78000</v>
      </c>
      <c r="L21" s="288" t="inlineStr">
        <is>
          <t>98,000.00</t>
        </is>
      </c>
      <c r="M21" s="290">
        <f>IF(L21=0,0,(L21-K21)/L21)</f>
        <v/>
      </c>
      <c r="N21" s="288" t="inlineStr">
        <is>
          <t>In Stock</t>
        </is>
      </c>
      <c r="O21" s="288" t="n">
        <v>3</v>
      </c>
      <c r="P21" s="288" t="n">
        <v>1</v>
      </c>
      <c r="Q21" s="288" t="n">
        <v>0</v>
      </c>
      <c r="R21" s="288" t="n">
        <v>3</v>
      </c>
      <c r="S21" s="288" t="n">
        <v>0</v>
      </c>
      <c r="T21" s="288" t="n">
        <v>0</v>
      </c>
      <c r="U21" s="288" t="n">
        <v>1</v>
      </c>
      <c r="V21" s="288" t="n">
        <v>1</v>
      </c>
      <c r="W21" s="288" t="n">
        <v>1</v>
      </c>
      <c r="X21" s="288" t="n">
        <v>0</v>
      </c>
      <c r="Y21" s="288" t="n">
        <v>0</v>
      </c>
      <c r="Z21" s="288" t="n">
        <v>0</v>
      </c>
      <c r="AA21" s="288" t="n">
        <v>0</v>
      </c>
      <c r="AB21" s="288" t="n">
        <v>0</v>
      </c>
      <c r="AC21" s="288" t="n">
        <v>0</v>
      </c>
      <c r="AD21" s="288" t="n">
        <v>0</v>
      </c>
      <c r="AE21" s="288" t="n">
        <v>0</v>
      </c>
      <c r="AF21" s="288" t="n">
        <v>0</v>
      </c>
      <c r="AG21" s="288" t="n">
        <v>0</v>
      </c>
      <c r="AH21" s="288" t="n">
        <v>1</v>
      </c>
      <c r="AI21" s="288" t="n">
        <v>1</v>
      </c>
      <c r="AJ21" s="288" t="n">
        <v>0</v>
      </c>
      <c r="AK21" s="288" t="n">
        <v>0</v>
      </c>
      <c r="AL21" s="288" t="n">
        <v>0</v>
      </c>
      <c r="AM21" s="288" t="n">
        <v>0</v>
      </c>
      <c r="AN21" s="288" t="n">
        <v>0</v>
      </c>
      <c r="AO21" s="288" t="n">
        <v>0</v>
      </c>
      <c r="AP21" s="288" t="n">
        <v>0</v>
      </c>
      <c r="AQ21" s="288" t="n">
        <v>2</v>
      </c>
      <c r="AR21" s="288" t="n">
        <v>0</v>
      </c>
    </row>
    <row r="22" ht="14.25" customHeight="1" s="133">
      <c r="A22" s="291" t="inlineStr">
        <is>
          <t>PK-1020</t>
        </is>
      </c>
      <c r="B22" s="291" t="inlineStr">
        <is>
          <t>Samsung 55" QLED</t>
        </is>
      </c>
      <c r="C22" s="291" t="inlineStr">
        <is>
          <t>Electronics &amp; Appliances</t>
        </is>
      </c>
      <c r="D22" s="291" t="inlineStr">
        <is>
          <t>Televisions</t>
        </is>
      </c>
      <c r="E22" s="291" t="inlineStr">
        <is>
          <t>SMTV55</t>
        </is>
      </c>
      <c r="F22" s="291" t="inlineStr">
        <is>
          <t>Unit</t>
        </is>
      </c>
      <c r="G22" s="292" t="n">
        <v>89</v>
      </c>
      <c r="H22" s="292" t="n">
        <v>1</v>
      </c>
      <c r="I22" s="292" t="n">
        <v>3</v>
      </c>
      <c r="J22" s="292" t="n">
        <v>13350000</v>
      </c>
      <c r="K22" s="293" t="n">
        <v>150000</v>
      </c>
      <c r="L22" s="292" t="inlineStr">
        <is>
          <t>185,000.00</t>
        </is>
      </c>
      <c r="M22" s="294">
        <f>IF(L22=0,0,(L22-K22)/L22)</f>
        <v/>
      </c>
      <c r="N22" s="292" t="inlineStr">
        <is>
          <t>In Stock</t>
        </is>
      </c>
      <c r="O22" s="292" t="n">
        <v>1</v>
      </c>
      <c r="P22" s="292" t="n">
        <v>1</v>
      </c>
      <c r="Q22" s="292" t="n">
        <v>0</v>
      </c>
      <c r="R22" s="292" t="n">
        <v>0</v>
      </c>
      <c r="S22" s="292" t="n">
        <v>0</v>
      </c>
      <c r="T22" s="292" t="n">
        <v>3</v>
      </c>
      <c r="U22" s="292" t="n">
        <v>0</v>
      </c>
      <c r="V22" s="292" t="n">
        <v>2</v>
      </c>
      <c r="W22" s="292" t="n">
        <v>0</v>
      </c>
      <c r="X22" s="292" t="n">
        <v>2</v>
      </c>
      <c r="Y22" s="292" t="n">
        <v>0</v>
      </c>
      <c r="Z22" s="292" t="n">
        <v>1</v>
      </c>
      <c r="AA22" s="292" t="n">
        <v>0</v>
      </c>
      <c r="AB22" s="292" t="n">
        <v>0</v>
      </c>
      <c r="AC22" s="292" t="n">
        <v>3</v>
      </c>
      <c r="AD22" s="292" t="n">
        <v>0</v>
      </c>
      <c r="AE22" s="292" t="n">
        <v>1</v>
      </c>
      <c r="AF22" s="292" t="n">
        <v>2</v>
      </c>
      <c r="AG22" s="292" t="n">
        <v>0</v>
      </c>
      <c r="AH22" s="292" t="n">
        <v>1</v>
      </c>
      <c r="AI22" s="292" t="n">
        <v>2</v>
      </c>
      <c r="AJ22" s="292" t="n">
        <v>2</v>
      </c>
      <c r="AK22" s="292" t="n">
        <v>3</v>
      </c>
      <c r="AL22" s="292" t="n">
        <v>1</v>
      </c>
      <c r="AM22" s="292" t="n">
        <v>2</v>
      </c>
      <c r="AN22" s="292" t="n">
        <v>0</v>
      </c>
      <c r="AO22" s="292" t="n">
        <v>0</v>
      </c>
      <c r="AP22" s="292" t="n">
        <v>0</v>
      </c>
      <c r="AQ22" s="292" t="n">
        <v>0</v>
      </c>
      <c r="AR22" s="292" t="n">
        <v>0</v>
      </c>
    </row>
    <row r="23" ht="14.25" customHeight="1" s="133">
      <c r="A23" s="287" t="inlineStr">
        <is>
          <t>PK-1021</t>
        </is>
      </c>
      <c r="B23" s="287" t="inlineStr">
        <is>
          <t>TCL 40" Smart TV</t>
        </is>
      </c>
      <c r="C23" s="287" t="inlineStr">
        <is>
          <t>Electronics &amp; Appliances</t>
        </is>
      </c>
      <c r="D23" s="287" t="inlineStr">
        <is>
          <t>Televisions</t>
        </is>
      </c>
      <c r="E23" s="287" t="inlineStr">
        <is>
          <t>TCL40</t>
        </is>
      </c>
      <c r="F23" s="287" t="inlineStr">
        <is>
          <t>Unit</t>
        </is>
      </c>
      <c r="G23" s="288" t="n">
        <v>137</v>
      </c>
      <c r="H23" s="288" t="n">
        <v>2</v>
      </c>
      <c r="I23" s="288" t="n">
        <v>8</v>
      </c>
      <c r="J23" s="288" t="n">
        <v>5754000</v>
      </c>
      <c r="K23" s="289" t="n">
        <v>42000</v>
      </c>
      <c r="L23" s="288" t="inlineStr">
        <is>
          <t>52,000.00</t>
        </is>
      </c>
      <c r="M23" s="290">
        <f>IF(L23=0,0,(L23-K23)/L23)</f>
        <v/>
      </c>
      <c r="N23" s="288" t="inlineStr">
        <is>
          <t>In Stock</t>
        </is>
      </c>
      <c r="O23" s="288" t="n">
        <v>1</v>
      </c>
      <c r="P23" s="288" t="n">
        <v>1</v>
      </c>
      <c r="Q23" s="288" t="n">
        <v>0</v>
      </c>
      <c r="R23" s="288" t="n">
        <v>1</v>
      </c>
      <c r="S23" s="288" t="n">
        <v>0</v>
      </c>
      <c r="T23" s="288" t="n">
        <v>0</v>
      </c>
      <c r="U23" s="288" t="n">
        <v>2</v>
      </c>
      <c r="V23" s="288" t="n">
        <v>0</v>
      </c>
      <c r="W23" s="288" t="n">
        <v>0</v>
      </c>
      <c r="X23" s="288" t="n">
        <v>0</v>
      </c>
      <c r="Y23" s="288" t="n">
        <v>2</v>
      </c>
      <c r="Z23" s="288" t="n">
        <v>0</v>
      </c>
      <c r="AA23" s="288" t="n">
        <v>2</v>
      </c>
      <c r="AB23" s="288" t="n">
        <v>0</v>
      </c>
      <c r="AC23" s="288" t="n">
        <v>0</v>
      </c>
      <c r="AD23" s="288" t="n">
        <v>1</v>
      </c>
      <c r="AE23" s="288" t="n">
        <v>0</v>
      </c>
      <c r="AF23" s="288" t="n">
        <v>3</v>
      </c>
      <c r="AG23" s="288" t="n">
        <v>0</v>
      </c>
      <c r="AH23" s="288" t="n">
        <v>0</v>
      </c>
      <c r="AI23" s="288" t="n">
        <v>2</v>
      </c>
      <c r="AJ23" s="288" t="n">
        <v>0</v>
      </c>
      <c r="AK23" s="288" t="n">
        <v>0</v>
      </c>
      <c r="AL23" s="288" t="n">
        <v>1</v>
      </c>
      <c r="AM23" s="288" t="n">
        <v>0</v>
      </c>
      <c r="AN23" s="288" t="n">
        <v>3</v>
      </c>
      <c r="AO23" s="288" t="n">
        <v>1</v>
      </c>
      <c r="AP23" s="288" t="n">
        <v>0</v>
      </c>
      <c r="AQ23" s="288" t="n">
        <v>0</v>
      </c>
      <c r="AR23" s="288" t="n">
        <v>0</v>
      </c>
    </row>
    <row r="24" ht="14.25" customHeight="1" s="133">
      <c r="A24" s="291" t="inlineStr">
        <is>
          <t>PK-1022</t>
        </is>
      </c>
      <c r="B24" s="291" t="inlineStr">
        <is>
          <t>TCL 50" 4K TV</t>
        </is>
      </c>
      <c r="C24" s="291" t="inlineStr">
        <is>
          <t>Electronics &amp; Appliances</t>
        </is>
      </c>
      <c r="D24" s="291" t="inlineStr">
        <is>
          <t>Televisions</t>
        </is>
      </c>
      <c r="E24" s="291" t="inlineStr">
        <is>
          <t>TCL50</t>
        </is>
      </c>
      <c r="F24" s="291" t="inlineStr">
        <is>
          <t>Unit</t>
        </is>
      </c>
      <c r="G24" s="292" t="n">
        <v>17</v>
      </c>
      <c r="H24" s="292" t="n">
        <v>1</v>
      </c>
      <c r="I24" s="292" t="n">
        <v>5</v>
      </c>
      <c r="J24" s="292" t="n">
        <v>1156000</v>
      </c>
      <c r="K24" s="293" t="n">
        <v>68000</v>
      </c>
      <c r="L24" s="292" t="inlineStr">
        <is>
          <t>85,000.00</t>
        </is>
      </c>
      <c r="M24" s="294">
        <f>IF(L24=0,0,(L24-K24)/L24)</f>
        <v/>
      </c>
      <c r="N24" s="292" t="inlineStr">
        <is>
          <t>In Stock</t>
        </is>
      </c>
      <c r="O24" s="292" t="n">
        <v>1</v>
      </c>
      <c r="P24" s="292" t="n">
        <v>0</v>
      </c>
      <c r="Q24" s="292" t="n">
        <v>0</v>
      </c>
      <c r="R24" s="292" t="n">
        <v>3</v>
      </c>
      <c r="S24" s="292" t="n">
        <v>0</v>
      </c>
      <c r="T24" s="292" t="n">
        <v>0</v>
      </c>
      <c r="U24" s="292" t="n">
        <v>2</v>
      </c>
      <c r="V24" s="292" t="n">
        <v>1</v>
      </c>
      <c r="W24" s="292" t="n">
        <v>0</v>
      </c>
      <c r="X24" s="292" t="n">
        <v>2</v>
      </c>
      <c r="Y24" s="292" t="n">
        <v>0</v>
      </c>
      <c r="Z24" s="292" t="n">
        <v>0</v>
      </c>
      <c r="AA24" s="292" t="n">
        <v>0</v>
      </c>
      <c r="AB24" s="292" t="n">
        <v>0</v>
      </c>
      <c r="AC24" s="292" t="n">
        <v>0</v>
      </c>
      <c r="AD24" s="292" t="n">
        <v>0</v>
      </c>
      <c r="AE24" s="292" t="n">
        <v>0</v>
      </c>
      <c r="AF24" s="292" t="n">
        <v>0</v>
      </c>
      <c r="AG24" s="292" t="n">
        <v>0</v>
      </c>
      <c r="AH24" s="292" t="n">
        <v>0</v>
      </c>
      <c r="AI24" s="292" t="n">
        <v>0</v>
      </c>
      <c r="AJ24" s="292" t="n">
        <v>2</v>
      </c>
      <c r="AK24" s="292" t="n">
        <v>0</v>
      </c>
      <c r="AL24" s="292" t="n">
        <v>0</v>
      </c>
      <c r="AM24" s="292" t="n">
        <v>0</v>
      </c>
      <c r="AN24" s="292" t="n">
        <v>2</v>
      </c>
      <c r="AO24" s="292" t="n">
        <v>0</v>
      </c>
      <c r="AP24" s="292" t="n">
        <v>1</v>
      </c>
      <c r="AQ24" s="292" t="n">
        <v>0</v>
      </c>
      <c r="AR24" s="292" t="n">
        <v>0</v>
      </c>
    </row>
    <row r="25" ht="14.25" customHeight="1" s="133">
      <c r="A25" s="287" t="inlineStr">
        <is>
          <t>PK-1023</t>
        </is>
      </c>
      <c r="B25" s="287" t="inlineStr">
        <is>
          <t>Haier 32" LED</t>
        </is>
      </c>
      <c r="C25" s="287" t="inlineStr">
        <is>
          <t>Electronics &amp; Appliances</t>
        </is>
      </c>
      <c r="D25" s="287" t="inlineStr">
        <is>
          <t>Televisions</t>
        </is>
      </c>
      <c r="E25" s="287" t="inlineStr">
        <is>
          <t>HAI32</t>
        </is>
      </c>
      <c r="F25" s="287" t="inlineStr">
        <is>
          <t>Unit</t>
        </is>
      </c>
      <c r="G25" s="288" t="n">
        <v>102</v>
      </c>
      <c r="H25" s="288" t="n">
        <v>3</v>
      </c>
      <c r="I25" s="288" t="n">
        <v>10</v>
      </c>
      <c r="J25" s="288" t="n">
        <v>2856000</v>
      </c>
      <c r="K25" s="289" t="n">
        <v>28000</v>
      </c>
      <c r="L25" s="288" t="inlineStr">
        <is>
          <t>36,000.00</t>
        </is>
      </c>
      <c r="M25" s="290">
        <f>IF(L25=0,0,(L25-K25)/L25)</f>
        <v/>
      </c>
      <c r="N25" s="288" t="inlineStr">
        <is>
          <t>In Stock</t>
        </is>
      </c>
      <c r="O25" s="288" t="n">
        <v>0</v>
      </c>
      <c r="P25" s="288" t="n">
        <v>1</v>
      </c>
      <c r="Q25" s="288" t="n">
        <v>3</v>
      </c>
      <c r="R25" s="288" t="n">
        <v>0</v>
      </c>
      <c r="S25" s="288" t="n">
        <v>0</v>
      </c>
      <c r="T25" s="288" t="n">
        <v>0</v>
      </c>
      <c r="U25" s="288" t="n">
        <v>1</v>
      </c>
      <c r="V25" s="288" t="n">
        <v>0</v>
      </c>
      <c r="W25" s="288" t="n">
        <v>2</v>
      </c>
      <c r="X25" s="288" t="n">
        <v>0</v>
      </c>
      <c r="Y25" s="288" t="n">
        <v>0</v>
      </c>
      <c r="Z25" s="288" t="n">
        <v>0</v>
      </c>
      <c r="AA25" s="288" t="n">
        <v>0</v>
      </c>
      <c r="AB25" s="288" t="n">
        <v>2</v>
      </c>
      <c r="AC25" s="288" t="n">
        <v>1</v>
      </c>
      <c r="AD25" s="288" t="n">
        <v>1</v>
      </c>
      <c r="AE25" s="288" t="n">
        <v>0</v>
      </c>
      <c r="AF25" s="288" t="n">
        <v>0</v>
      </c>
      <c r="AG25" s="288" t="n">
        <v>1</v>
      </c>
      <c r="AH25" s="288" t="n">
        <v>2</v>
      </c>
      <c r="AI25" s="288" t="n">
        <v>0</v>
      </c>
      <c r="AJ25" s="288" t="n">
        <v>1</v>
      </c>
      <c r="AK25" s="288" t="n">
        <v>0</v>
      </c>
      <c r="AL25" s="288" t="n">
        <v>2</v>
      </c>
      <c r="AM25" s="288" t="n">
        <v>2</v>
      </c>
      <c r="AN25" s="288" t="n">
        <v>2</v>
      </c>
      <c r="AO25" s="288" t="n">
        <v>0</v>
      </c>
      <c r="AP25" s="288" t="n">
        <v>0</v>
      </c>
      <c r="AQ25" s="288" t="n">
        <v>1</v>
      </c>
      <c r="AR25" s="288" t="n">
        <v>0</v>
      </c>
    </row>
    <row r="26" ht="14.25" customHeight="1" s="133">
      <c r="A26" s="291" t="inlineStr">
        <is>
          <t>PK-1024</t>
        </is>
      </c>
      <c r="B26" s="291" t="inlineStr">
        <is>
          <t>Haier 43" Smart TV</t>
        </is>
      </c>
      <c r="C26" s="291" t="inlineStr">
        <is>
          <t>Electronics &amp; Appliances</t>
        </is>
      </c>
      <c r="D26" s="291" t="inlineStr">
        <is>
          <t>Televisions</t>
        </is>
      </c>
      <c r="E26" s="291" t="inlineStr">
        <is>
          <t>HAI43</t>
        </is>
      </c>
      <c r="F26" s="291" t="inlineStr">
        <is>
          <t>Unit</t>
        </is>
      </c>
      <c r="G26" s="292" t="n">
        <v>6</v>
      </c>
      <c r="H26" s="292" t="n">
        <v>2</v>
      </c>
      <c r="I26" s="292" t="n">
        <v>8</v>
      </c>
      <c r="J26" s="292" t="n">
        <v>330000</v>
      </c>
      <c r="K26" s="293" t="n">
        <v>55000</v>
      </c>
      <c r="L26" s="292" t="inlineStr">
        <is>
          <t>68,000.00</t>
        </is>
      </c>
      <c r="M26" s="294">
        <f>IF(L26=0,0,(L26-K26)/L26)</f>
        <v/>
      </c>
      <c r="N26" s="292" t="inlineStr">
        <is>
          <t>In Stock</t>
        </is>
      </c>
      <c r="O26" s="292" t="n">
        <v>0</v>
      </c>
      <c r="P26" s="292" t="n">
        <v>0</v>
      </c>
      <c r="Q26" s="292" t="n">
        <v>0</v>
      </c>
      <c r="R26" s="292" t="n">
        <v>1</v>
      </c>
      <c r="S26" s="292" t="n">
        <v>1</v>
      </c>
      <c r="T26" s="292" t="n">
        <v>1</v>
      </c>
      <c r="U26" s="292" t="n">
        <v>0</v>
      </c>
      <c r="V26" s="292" t="n">
        <v>0</v>
      </c>
      <c r="W26" s="292" t="n">
        <v>0</v>
      </c>
      <c r="X26" s="292" t="n">
        <v>0</v>
      </c>
      <c r="Y26" s="292" t="n">
        <v>2</v>
      </c>
      <c r="Z26" s="292" t="n">
        <v>0</v>
      </c>
      <c r="AA26" s="292" t="n">
        <v>0</v>
      </c>
      <c r="AB26" s="292" t="n">
        <v>0</v>
      </c>
      <c r="AC26" s="292" t="n">
        <v>0</v>
      </c>
      <c r="AD26" s="292" t="n">
        <v>0</v>
      </c>
      <c r="AE26" s="292" t="n">
        <v>0</v>
      </c>
      <c r="AF26" s="292" t="n">
        <v>0</v>
      </c>
      <c r="AG26" s="292" t="n">
        <v>0</v>
      </c>
      <c r="AH26" s="292" t="n">
        <v>0</v>
      </c>
      <c r="AI26" s="292" t="n">
        <v>0</v>
      </c>
      <c r="AJ26" s="292" t="n">
        <v>0</v>
      </c>
      <c r="AK26" s="292" t="n">
        <v>0</v>
      </c>
      <c r="AL26" s="292" t="n">
        <v>0</v>
      </c>
      <c r="AM26" s="292" t="n">
        <v>0</v>
      </c>
      <c r="AN26" s="292" t="n">
        <v>0</v>
      </c>
      <c r="AO26" s="292" t="n">
        <v>1</v>
      </c>
      <c r="AP26" s="292" t="n">
        <v>2</v>
      </c>
      <c r="AQ26" s="292" t="n">
        <v>0</v>
      </c>
      <c r="AR26" s="292" t="n">
        <v>2</v>
      </c>
    </row>
    <row r="27" ht="14.25" customHeight="1" s="133">
      <c r="A27" s="287" t="inlineStr">
        <is>
          <t>PK-1025</t>
        </is>
      </c>
      <c r="B27" s="287" t="inlineStr">
        <is>
          <t>LG 55" OLED</t>
        </is>
      </c>
      <c r="C27" s="287" t="inlineStr">
        <is>
          <t>Electronics &amp; Appliances</t>
        </is>
      </c>
      <c r="D27" s="287" t="inlineStr">
        <is>
          <t>Televisions</t>
        </is>
      </c>
      <c r="E27" s="287" t="inlineStr">
        <is>
          <t>LGOLED55</t>
        </is>
      </c>
      <c r="F27" s="287" t="inlineStr">
        <is>
          <t>Unit</t>
        </is>
      </c>
      <c r="G27" s="288" t="n">
        <v>63</v>
      </c>
      <c r="H27" s="288" t="n">
        <v>1</v>
      </c>
      <c r="I27" s="288" t="n">
        <v>3</v>
      </c>
      <c r="J27" s="288" t="n">
        <v>12285000</v>
      </c>
      <c r="K27" s="289" t="n">
        <v>195000</v>
      </c>
      <c r="L27" s="288" t="inlineStr">
        <is>
          <t>239,000.00</t>
        </is>
      </c>
      <c r="M27" s="290">
        <f>IF(L27=0,0,(L27-K27)/L27)</f>
        <v/>
      </c>
      <c r="N27" s="288" t="inlineStr">
        <is>
          <t>In Stock</t>
        </is>
      </c>
      <c r="O27" s="288" t="n">
        <v>1</v>
      </c>
      <c r="P27" s="288" t="n">
        <v>1</v>
      </c>
      <c r="Q27" s="288" t="n">
        <v>0</v>
      </c>
      <c r="R27" s="288" t="n">
        <v>0</v>
      </c>
      <c r="S27" s="288" t="n">
        <v>1</v>
      </c>
      <c r="T27" s="288" t="n">
        <v>0</v>
      </c>
      <c r="U27" s="288" t="n">
        <v>3</v>
      </c>
      <c r="V27" s="288" t="n">
        <v>0</v>
      </c>
      <c r="W27" s="288" t="n">
        <v>0</v>
      </c>
      <c r="X27" s="288" t="n">
        <v>2</v>
      </c>
      <c r="Y27" s="288" t="n">
        <v>0</v>
      </c>
      <c r="Z27" s="288" t="n">
        <v>2</v>
      </c>
      <c r="AA27" s="288" t="n">
        <v>0</v>
      </c>
      <c r="AB27" s="288" t="n">
        <v>0</v>
      </c>
      <c r="AC27" s="288" t="n">
        <v>0</v>
      </c>
      <c r="AD27" s="288" t="n">
        <v>0</v>
      </c>
      <c r="AE27" s="288" t="n">
        <v>1</v>
      </c>
      <c r="AF27" s="288" t="n">
        <v>0</v>
      </c>
      <c r="AG27" s="288" t="n">
        <v>1</v>
      </c>
      <c r="AH27" s="288" t="n">
        <v>0</v>
      </c>
      <c r="AI27" s="288" t="n">
        <v>0</v>
      </c>
      <c r="AJ27" s="288" t="n">
        <v>0</v>
      </c>
      <c r="AK27" s="288" t="n">
        <v>0</v>
      </c>
      <c r="AL27" s="288" t="n">
        <v>0</v>
      </c>
      <c r="AM27" s="288" t="n">
        <v>0</v>
      </c>
      <c r="AN27" s="288" t="n">
        <v>2</v>
      </c>
      <c r="AO27" s="288" t="n">
        <v>0</v>
      </c>
      <c r="AP27" s="288" t="n">
        <v>0</v>
      </c>
      <c r="AQ27" s="288" t="n">
        <v>0</v>
      </c>
      <c r="AR27" s="288" t="n">
        <v>0</v>
      </c>
    </row>
    <row r="28" ht="14.25" customHeight="1" s="133">
      <c r="A28" s="291" t="inlineStr">
        <is>
          <t>PK-1026</t>
        </is>
      </c>
      <c r="B28" s="291" t="inlineStr">
        <is>
          <t>Sony Bravia 50"</t>
        </is>
      </c>
      <c r="C28" s="291" t="inlineStr">
        <is>
          <t>Electronics &amp; Appliances</t>
        </is>
      </c>
      <c r="D28" s="291" t="inlineStr">
        <is>
          <t>Televisions</t>
        </is>
      </c>
      <c r="E28" s="291" t="inlineStr">
        <is>
          <t>SONY50</t>
        </is>
      </c>
      <c r="F28" s="291" t="inlineStr">
        <is>
          <t>Unit</t>
        </is>
      </c>
      <c r="G28" s="292" t="n">
        <v>144</v>
      </c>
      <c r="H28" s="292" t="n">
        <v>1</v>
      </c>
      <c r="I28" s="292" t="n">
        <v>3</v>
      </c>
      <c r="J28" s="292" t="n">
        <v>18000000</v>
      </c>
      <c r="K28" s="293" t="n">
        <v>125000</v>
      </c>
      <c r="L28" s="292" t="inlineStr">
        <is>
          <t>155,000.00</t>
        </is>
      </c>
      <c r="M28" s="294">
        <f>IF(L28=0,0,(L28-K28)/L28)</f>
        <v/>
      </c>
      <c r="N28" s="292" t="inlineStr">
        <is>
          <t>In Stock</t>
        </is>
      </c>
      <c r="O28" s="292" t="n">
        <v>3</v>
      </c>
      <c r="P28" s="292" t="n">
        <v>0</v>
      </c>
      <c r="Q28" s="292" t="n">
        <v>2</v>
      </c>
      <c r="R28" s="292" t="n">
        <v>1</v>
      </c>
      <c r="S28" s="292" t="n">
        <v>0</v>
      </c>
      <c r="T28" s="292" t="n">
        <v>1</v>
      </c>
      <c r="U28" s="292" t="n">
        <v>2</v>
      </c>
      <c r="V28" s="292" t="n">
        <v>1</v>
      </c>
      <c r="W28" s="292" t="n">
        <v>3</v>
      </c>
      <c r="X28" s="292" t="n">
        <v>0</v>
      </c>
      <c r="Y28" s="292" t="n">
        <v>1</v>
      </c>
      <c r="Z28" s="292" t="n">
        <v>0</v>
      </c>
      <c r="AA28" s="292" t="n">
        <v>1</v>
      </c>
      <c r="AB28" s="292" t="n">
        <v>0</v>
      </c>
      <c r="AC28" s="292" t="n">
        <v>0</v>
      </c>
      <c r="AD28" s="292" t="n">
        <v>0</v>
      </c>
      <c r="AE28" s="292" t="n">
        <v>0</v>
      </c>
      <c r="AF28" s="292" t="n">
        <v>0</v>
      </c>
      <c r="AG28" s="292" t="n">
        <v>1</v>
      </c>
      <c r="AH28" s="292" t="n">
        <v>0</v>
      </c>
      <c r="AI28" s="292" t="n">
        <v>2</v>
      </c>
      <c r="AJ28" s="292" t="n">
        <v>0</v>
      </c>
      <c r="AK28" s="292" t="n">
        <v>0</v>
      </c>
      <c r="AL28" s="292" t="n">
        <v>0</v>
      </c>
      <c r="AM28" s="292" t="n">
        <v>0</v>
      </c>
      <c r="AN28" s="292" t="n">
        <v>1</v>
      </c>
      <c r="AO28" s="292" t="n">
        <v>0</v>
      </c>
      <c r="AP28" s="292" t="n">
        <v>0</v>
      </c>
      <c r="AQ28" s="292" t="n">
        <v>2</v>
      </c>
      <c r="AR28" s="292" t="n">
        <v>2</v>
      </c>
    </row>
    <row r="29" ht="14.25" customHeight="1" s="133">
      <c r="A29" s="287" t="inlineStr">
        <is>
          <t>PK-1027</t>
        </is>
      </c>
      <c r="B29" s="287" t="inlineStr">
        <is>
          <t>Dawlance Inverter AC 1.5T</t>
        </is>
      </c>
      <c r="C29" s="287" t="inlineStr">
        <is>
          <t>Electronics &amp; Appliances</t>
        </is>
      </c>
      <c r="D29" s="287" t="inlineStr">
        <is>
          <t>Home Appliances</t>
        </is>
      </c>
      <c r="E29" s="287" t="inlineStr">
        <is>
          <t>DWAC15</t>
        </is>
      </c>
      <c r="F29" s="287" t="inlineStr">
        <is>
          <t>Unit</t>
        </is>
      </c>
      <c r="G29" s="288" t="n">
        <v>71</v>
      </c>
      <c r="H29" s="288" t="n">
        <v>2</v>
      </c>
      <c r="I29" s="288" t="n">
        <v>5</v>
      </c>
      <c r="J29" s="288" t="n">
        <v>6745000</v>
      </c>
      <c r="K29" s="289" t="n">
        <v>95000</v>
      </c>
      <c r="L29" s="288" t="inlineStr">
        <is>
          <t>118,000.00</t>
        </is>
      </c>
      <c r="M29" s="290">
        <f>IF(L29=0,0,(L29-K29)/L29)</f>
        <v/>
      </c>
      <c r="N29" s="288" t="inlineStr">
        <is>
          <t>In Stock</t>
        </is>
      </c>
      <c r="O29" s="288" t="n">
        <v>1</v>
      </c>
      <c r="P29" s="288" t="n">
        <v>0</v>
      </c>
      <c r="Q29" s="288" t="n">
        <v>0</v>
      </c>
      <c r="R29" s="288" t="n">
        <v>1</v>
      </c>
      <c r="S29" s="288" t="n">
        <v>0</v>
      </c>
      <c r="T29" s="288" t="n">
        <v>2</v>
      </c>
      <c r="U29" s="288" t="n">
        <v>2</v>
      </c>
      <c r="V29" s="288" t="n">
        <v>0</v>
      </c>
      <c r="W29" s="288" t="n">
        <v>2</v>
      </c>
      <c r="X29" s="288" t="n">
        <v>0</v>
      </c>
      <c r="Y29" s="288" t="n">
        <v>0</v>
      </c>
      <c r="Z29" s="288" t="n">
        <v>0</v>
      </c>
      <c r="AA29" s="288" t="n">
        <v>0</v>
      </c>
      <c r="AB29" s="288" t="n">
        <v>0</v>
      </c>
      <c r="AC29" s="288" t="n">
        <v>0</v>
      </c>
      <c r="AD29" s="288" t="n">
        <v>0</v>
      </c>
      <c r="AE29" s="288" t="n">
        <v>0</v>
      </c>
      <c r="AF29" s="288" t="n">
        <v>0</v>
      </c>
      <c r="AG29" s="288" t="n">
        <v>0</v>
      </c>
      <c r="AH29" s="288" t="n">
        <v>0</v>
      </c>
      <c r="AI29" s="288" t="n">
        <v>0</v>
      </c>
      <c r="AJ29" s="288" t="n">
        <v>1</v>
      </c>
      <c r="AK29" s="288" t="n">
        <v>0</v>
      </c>
      <c r="AL29" s="288" t="n">
        <v>0</v>
      </c>
      <c r="AM29" s="288" t="n">
        <v>0</v>
      </c>
      <c r="AN29" s="288" t="n">
        <v>1</v>
      </c>
      <c r="AO29" s="288" t="n">
        <v>0</v>
      </c>
      <c r="AP29" s="288" t="n">
        <v>0</v>
      </c>
      <c r="AQ29" s="288" t="n">
        <v>0</v>
      </c>
      <c r="AR29" s="288" t="n">
        <v>0</v>
      </c>
    </row>
    <row r="30" ht="14.25" customHeight="1" s="133">
      <c r="A30" s="291" t="inlineStr">
        <is>
          <t>PK-1028</t>
        </is>
      </c>
      <c r="B30" s="291" t="inlineStr">
        <is>
          <t>Haier Inverter AC 1T</t>
        </is>
      </c>
      <c r="C30" s="291" t="inlineStr">
        <is>
          <t>Electronics &amp; Appliances</t>
        </is>
      </c>
      <c r="D30" s="291" t="inlineStr">
        <is>
          <t>Home Appliances</t>
        </is>
      </c>
      <c r="E30" s="291" t="inlineStr">
        <is>
          <t>HAAC1</t>
        </is>
      </c>
      <c r="F30" s="291" t="inlineStr">
        <is>
          <t>Unit</t>
        </is>
      </c>
      <c r="G30" s="292" t="n">
        <v>109</v>
      </c>
      <c r="H30" s="292" t="n">
        <v>2</v>
      </c>
      <c r="I30" s="292" t="n">
        <v>5</v>
      </c>
      <c r="J30" s="292" t="n">
        <v>8175000</v>
      </c>
      <c r="K30" s="293" t="n">
        <v>75000</v>
      </c>
      <c r="L30" s="292" t="inlineStr">
        <is>
          <t>94,000.00</t>
        </is>
      </c>
      <c r="M30" s="294">
        <f>IF(L30=0,0,(L30-K30)/L30)</f>
        <v/>
      </c>
      <c r="N30" s="292" t="inlineStr">
        <is>
          <t>In Stock</t>
        </is>
      </c>
      <c r="O30" s="292" t="n">
        <v>0</v>
      </c>
      <c r="P30" s="292" t="n">
        <v>0</v>
      </c>
      <c r="Q30" s="292" t="n">
        <v>0</v>
      </c>
      <c r="R30" s="292" t="n">
        <v>2</v>
      </c>
      <c r="S30" s="292" t="n">
        <v>0</v>
      </c>
      <c r="T30" s="292" t="n">
        <v>0</v>
      </c>
      <c r="U30" s="292" t="n">
        <v>0</v>
      </c>
      <c r="V30" s="292" t="n">
        <v>0</v>
      </c>
      <c r="W30" s="292" t="n">
        <v>0</v>
      </c>
      <c r="X30" s="292" t="n">
        <v>0</v>
      </c>
      <c r="Y30" s="292" t="n">
        <v>0</v>
      </c>
      <c r="Z30" s="292" t="n">
        <v>0</v>
      </c>
      <c r="AA30" s="292" t="n">
        <v>2</v>
      </c>
      <c r="AB30" s="292" t="n">
        <v>0</v>
      </c>
      <c r="AC30" s="292" t="n">
        <v>1</v>
      </c>
      <c r="AD30" s="292" t="n">
        <v>0</v>
      </c>
      <c r="AE30" s="292" t="n">
        <v>0</v>
      </c>
      <c r="AF30" s="292" t="n">
        <v>1</v>
      </c>
      <c r="AG30" s="292" t="n">
        <v>2</v>
      </c>
      <c r="AH30" s="292" t="n">
        <v>0</v>
      </c>
      <c r="AI30" s="292" t="n">
        <v>1</v>
      </c>
      <c r="AJ30" s="292" t="n">
        <v>1</v>
      </c>
      <c r="AK30" s="292" t="n">
        <v>0</v>
      </c>
      <c r="AL30" s="292" t="n">
        <v>0</v>
      </c>
      <c r="AM30" s="292" t="n">
        <v>0</v>
      </c>
      <c r="AN30" s="292" t="n">
        <v>0</v>
      </c>
      <c r="AO30" s="292" t="n">
        <v>1</v>
      </c>
      <c r="AP30" s="292" t="n">
        <v>0</v>
      </c>
      <c r="AQ30" s="292" t="n">
        <v>0</v>
      </c>
      <c r="AR30" s="292" t="n">
        <v>1</v>
      </c>
    </row>
    <row r="31" ht="14.25" customHeight="1" s="133">
      <c r="A31" s="287" t="inlineStr">
        <is>
          <t>PK-1029</t>
        </is>
      </c>
      <c r="B31" s="287" t="inlineStr">
        <is>
          <t>Orient AC 1.5T</t>
        </is>
      </c>
      <c r="C31" s="287" t="inlineStr">
        <is>
          <t>Electronics &amp; Appliances</t>
        </is>
      </c>
      <c r="D31" s="287" t="inlineStr">
        <is>
          <t>Home Appliances</t>
        </is>
      </c>
      <c r="E31" s="287" t="inlineStr">
        <is>
          <t>ORAC15</t>
        </is>
      </c>
      <c r="F31" s="287" t="inlineStr">
        <is>
          <t>Unit</t>
        </is>
      </c>
      <c r="G31" s="288" t="n">
        <v>144</v>
      </c>
      <c r="H31" s="288" t="n">
        <v>2</v>
      </c>
      <c r="I31" s="288" t="n">
        <v>5</v>
      </c>
      <c r="J31" s="288" t="n">
        <v>11520000</v>
      </c>
      <c r="K31" s="289" t="n">
        <v>80000</v>
      </c>
      <c r="L31" s="288" t="inlineStr">
        <is>
          <t>99,000.00</t>
        </is>
      </c>
      <c r="M31" s="290">
        <f>IF(L31=0,0,(L31-K31)/L31)</f>
        <v/>
      </c>
      <c r="N31" s="288" t="inlineStr">
        <is>
          <t>In Stock</t>
        </is>
      </c>
      <c r="O31" s="288" t="n">
        <v>0</v>
      </c>
      <c r="P31" s="288" t="n">
        <v>1</v>
      </c>
      <c r="Q31" s="288" t="n">
        <v>0</v>
      </c>
      <c r="R31" s="288" t="n">
        <v>1</v>
      </c>
      <c r="S31" s="288" t="n">
        <v>0</v>
      </c>
      <c r="T31" s="288" t="n">
        <v>1</v>
      </c>
      <c r="U31" s="288" t="n">
        <v>0</v>
      </c>
      <c r="V31" s="288" t="n">
        <v>0</v>
      </c>
      <c r="W31" s="288" t="n">
        <v>1</v>
      </c>
      <c r="X31" s="288" t="n">
        <v>0</v>
      </c>
      <c r="Y31" s="288" t="n">
        <v>0</v>
      </c>
      <c r="Z31" s="288" t="n">
        <v>2</v>
      </c>
      <c r="AA31" s="288" t="n">
        <v>0</v>
      </c>
      <c r="AB31" s="288" t="n">
        <v>2</v>
      </c>
      <c r="AC31" s="288" t="n">
        <v>0</v>
      </c>
      <c r="AD31" s="288" t="n">
        <v>0</v>
      </c>
      <c r="AE31" s="288" t="n">
        <v>0</v>
      </c>
      <c r="AF31" s="288" t="n">
        <v>1</v>
      </c>
      <c r="AG31" s="288" t="n">
        <v>2</v>
      </c>
      <c r="AH31" s="288" t="n">
        <v>0</v>
      </c>
      <c r="AI31" s="288" t="n">
        <v>0</v>
      </c>
      <c r="AJ31" s="288" t="n">
        <v>0</v>
      </c>
      <c r="AK31" s="288" t="n">
        <v>0</v>
      </c>
      <c r="AL31" s="288" t="n">
        <v>0</v>
      </c>
      <c r="AM31" s="288" t="n">
        <v>0</v>
      </c>
      <c r="AN31" s="288" t="n">
        <v>3</v>
      </c>
      <c r="AO31" s="288" t="n">
        <v>0</v>
      </c>
      <c r="AP31" s="288" t="n">
        <v>0</v>
      </c>
      <c r="AQ31" s="288" t="n">
        <v>1</v>
      </c>
      <c r="AR31" s="288" t="n">
        <v>0</v>
      </c>
    </row>
    <row r="32" ht="14.25" customHeight="1" s="133">
      <c r="A32" s="291" t="inlineStr">
        <is>
          <t>PK-1030</t>
        </is>
      </c>
      <c r="B32" s="291" t="inlineStr">
        <is>
          <t>Dawlance Refrigerator 12CF</t>
        </is>
      </c>
      <c r="C32" s="291" t="inlineStr">
        <is>
          <t>Electronics &amp; Appliances</t>
        </is>
      </c>
      <c r="D32" s="291" t="inlineStr">
        <is>
          <t>Home Appliances</t>
        </is>
      </c>
      <c r="E32" s="291" t="inlineStr">
        <is>
          <t>DWREF12</t>
        </is>
      </c>
      <c r="F32" s="291" t="inlineStr">
        <is>
          <t>Unit</t>
        </is>
      </c>
      <c r="G32" s="292" t="n">
        <v>24</v>
      </c>
      <c r="H32" s="292" t="n">
        <v>1</v>
      </c>
      <c r="I32" s="292" t="n">
        <v>4</v>
      </c>
      <c r="J32" s="292" t="n">
        <v>1560000</v>
      </c>
      <c r="K32" s="293" t="n">
        <v>65000</v>
      </c>
      <c r="L32" s="292" t="inlineStr">
        <is>
          <t>80,000.00</t>
        </is>
      </c>
      <c r="M32" s="294">
        <f>IF(L32=0,0,(L32-K32)/L32)</f>
        <v/>
      </c>
      <c r="N32" s="292" t="inlineStr">
        <is>
          <t>In Stock</t>
        </is>
      </c>
      <c r="O32" s="292" t="n">
        <v>1</v>
      </c>
      <c r="P32" s="292" t="n">
        <v>0</v>
      </c>
      <c r="Q32" s="292" t="n">
        <v>0</v>
      </c>
      <c r="R32" s="292" t="n">
        <v>1</v>
      </c>
      <c r="S32" s="292" t="n">
        <v>0</v>
      </c>
      <c r="T32" s="292" t="n">
        <v>0</v>
      </c>
      <c r="U32" s="292" t="n">
        <v>0</v>
      </c>
      <c r="V32" s="292" t="n">
        <v>0</v>
      </c>
      <c r="W32" s="292" t="n">
        <v>0</v>
      </c>
      <c r="X32" s="292" t="n">
        <v>2</v>
      </c>
      <c r="Y32" s="292" t="n">
        <v>0</v>
      </c>
      <c r="Z32" s="292" t="n">
        <v>0</v>
      </c>
      <c r="AA32" s="292" t="n">
        <v>0</v>
      </c>
      <c r="AB32" s="292" t="n">
        <v>1</v>
      </c>
      <c r="AC32" s="292" t="n">
        <v>1</v>
      </c>
      <c r="AD32" s="292" t="n">
        <v>0</v>
      </c>
      <c r="AE32" s="292" t="n">
        <v>2</v>
      </c>
      <c r="AF32" s="292" t="n">
        <v>0</v>
      </c>
      <c r="AG32" s="292" t="n">
        <v>0</v>
      </c>
      <c r="AH32" s="292" t="n">
        <v>2</v>
      </c>
      <c r="AI32" s="292" t="n">
        <v>0</v>
      </c>
      <c r="AJ32" s="292" t="n">
        <v>0</v>
      </c>
      <c r="AK32" s="292" t="n">
        <v>0</v>
      </c>
      <c r="AL32" s="292" t="n">
        <v>0</v>
      </c>
      <c r="AM32" s="292" t="n">
        <v>0</v>
      </c>
      <c r="AN32" s="292" t="n">
        <v>0</v>
      </c>
      <c r="AO32" s="292" t="n">
        <v>0</v>
      </c>
      <c r="AP32" s="292" t="n">
        <v>2</v>
      </c>
      <c r="AQ32" s="292" t="n">
        <v>2</v>
      </c>
      <c r="AR32" s="292" t="n">
        <v>0</v>
      </c>
    </row>
    <row r="33" ht="14.25" customHeight="1" s="133">
      <c r="A33" s="287" t="inlineStr">
        <is>
          <t>PK-1031</t>
        </is>
      </c>
      <c r="B33" s="287" t="inlineStr">
        <is>
          <t>Haier Fridge 14CF</t>
        </is>
      </c>
      <c r="C33" s="287" t="inlineStr">
        <is>
          <t>Electronics &amp; Appliances</t>
        </is>
      </c>
      <c r="D33" s="287" t="inlineStr">
        <is>
          <t>Home Appliances</t>
        </is>
      </c>
      <c r="E33" s="287" t="inlineStr">
        <is>
          <t>HAFR14</t>
        </is>
      </c>
      <c r="F33" s="287" t="inlineStr">
        <is>
          <t>Unit</t>
        </is>
      </c>
      <c r="G33" s="288" t="n">
        <v>71</v>
      </c>
      <c r="H33" s="288" t="n">
        <v>1</v>
      </c>
      <c r="I33" s="288" t="n">
        <v>4</v>
      </c>
      <c r="J33" s="288" t="n">
        <v>5112000</v>
      </c>
      <c r="K33" s="289" t="n">
        <v>72000</v>
      </c>
      <c r="L33" s="288" t="inlineStr">
        <is>
          <t>90,000.00</t>
        </is>
      </c>
      <c r="M33" s="290">
        <f>IF(L33=0,0,(L33-K33)/L33)</f>
        <v/>
      </c>
      <c r="N33" s="288" t="inlineStr">
        <is>
          <t>In Stock</t>
        </is>
      </c>
      <c r="O33" s="288" t="n">
        <v>0</v>
      </c>
      <c r="P33" s="288" t="n">
        <v>0</v>
      </c>
      <c r="Q33" s="288" t="n">
        <v>1</v>
      </c>
      <c r="R33" s="288" t="n">
        <v>0</v>
      </c>
      <c r="S33" s="288" t="n">
        <v>2</v>
      </c>
      <c r="T33" s="288" t="n">
        <v>1</v>
      </c>
      <c r="U33" s="288" t="n">
        <v>0</v>
      </c>
      <c r="V33" s="288" t="n">
        <v>2</v>
      </c>
      <c r="W33" s="288" t="n">
        <v>0</v>
      </c>
      <c r="X33" s="288" t="n">
        <v>1</v>
      </c>
      <c r="Y33" s="288" t="n">
        <v>1</v>
      </c>
      <c r="Z33" s="288" t="n">
        <v>0</v>
      </c>
      <c r="AA33" s="288" t="n">
        <v>0</v>
      </c>
      <c r="AB33" s="288" t="n">
        <v>0</v>
      </c>
      <c r="AC33" s="288" t="n">
        <v>0</v>
      </c>
      <c r="AD33" s="288" t="n">
        <v>0</v>
      </c>
      <c r="AE33" s="288" t="n">
        <v>0</v>
      </c>
      <c r="AF33" s="288" t="n">
        <v>2</v>
      </c>
      <c r="AG33" s="288" t="n">
        <v>1</v>
      </c>
      <c r="AH33" s="288" t="n">
        <v>0</v>
      </c>
      <c r="AI33" s="288" t="n">
        <v>2</v>
      </c>
      <c r="AJ33" s="288" t="n">
        <v>0</v>
      </c>
      <c r="AK33" s="288" t="n">
        <v>0</v>
      </c>
      <c r="AL33" s="288" t="n">
        <v>0</v>
      </c>
      <c r="AM33" s="288" t="n">
        <v>0</v>
      </c>
      <c r="AN33" s="288" t="n">
        <v>0</v>
      </c>
      <c r="AO33" s="288" t="n">
        <v>0</v>
      </c>
      <c r="AP33" s="288" t="n">
        <v>0</v>
      </c>
      <c r="AQ33" s="288" t="n">
        <v>1</v>
      </c>
      <c r="AR33" s="288" t="n">
        <v>0</v>
      </c>
    </row>
    <row r="34" ht="14.25" customHeight="1" s="133">
      <c r="A34" s="291" t="inlineStr">
        <is>
          <t>PK-1032</t>
        </is>
      </c>
      <c r="B34" s="291" t="inlineStr">
        <is>
          <t>PEL Refrigerator 16CF</t>
        </is>
      </c>
      <c r="C34" s="291" t="inlineStr">
        <is>
          <t>Electronics &amp; Appliances</t>
        </is>
      </c>
      <c r="D34" s="291" t="inlineStr">
        <is>
          <t>Home Appliances</t>
        </is>
      </c>
      <c r="E34" s="291" t="inlineStr">
        <is>
          <t>PELRF16</t>
        </is>
      </c>
      <c r="F34" s="291" t="inlineStr">
        <is>
          <t>Unit</t>
        </is>
      </c>
      <c r="G34" s="292" t="n">
        <v>143</v>
      </c>
      <c r="H34" s="292" t="n">
        <v>1</v>
      </c>
      <c r="I34" s="292" t="n">
        <v>4</v>
      </c>
      <c r="J34" s="292" t="n">
        <v>11726000</v>
      </c>
      <c r="K34" s="293" t="n">
        <v>82000</v>
      </c>
      <c r="L34" s="292" t="inlineStr">
        <is>
          <t>102,000.00</t>
        </is>
      </c>
      <c r="M34" s="294">
        <f>IF(L34=0,0,(L34-K34)/L34)</f>
        <v/>
      </c>
      <c r="N34" s="292" t="inlineStr">
        <is>
          <t>In Stock</t>
        </is>
      </c>
      <c r="O34" s="292" t="n">
        <v>0</v>
      </c>
      <c r="P34" s="292" t="n">
        <v>1</v>
      </c>
      <c r="Q34" s="292" t="n">
        <v>0</v>
      </c>
      <c r="R34" s="292" t="n">
        <v>1</v>
      </c>
      <c r="S34" s="292" t="n">
        <v>2</v>
      </c>
      <c r="T34" s="292" t="n">
        <v>0</v>
      </c>
      <c r="U34" s="292" t="n">
        <v>0</v>
      </c>
      <c r="V34" s="292" t="n">
        <v>0</v>
      </c>
      <c r="W34" s="292" t="n">
        <v>0</v>
      </c>
      <c r="X34" s="292" t="n">
        <v>1</v>
      </c>
      <c r="Y34" s="292" t="n">
        <v>0</v>
      </c>
      <c r="Z34" s="292" t="n">
        <v>0</v>
      </c>
      <c r="AA34" s="292" t="n">
        <v>1</v>
      </c>
      <c r="AB34" s="292" t="n">
        <v>2</v>
      </c>
      <c r="AC34" s="292" t="n">
        <v>0</v>
      </c>
      <c r="AD34" s="292" t="n">
        <v>0</v>
      </c>
      <c r="AE34" s="292" t="n">
        <v>0</v>
      </c>
      <c r="AF34" s="292" t="n">
        <v>2</v>
      </c>
      <c r="AG34" s="292" t="n">
        <v>0</v>
      </c>
      <c r="AH34" s="292" t="n">
        <v>0</v>
      </c>
      <c r="AI34" s="292" t="n">
        <v>0</v>
      </c>
      <c r="AJ34" s="292" t="n">
        <v>0</v>
      </c>
      <c r="AK34" s="292" t="n">
        <v>0</v>
      </c>
      <c r="AL34" s="292" t="n">
        <v>0</v>
      </c>
      <c r="AM34" s="292" t="n">
        <v>3</v>
      </c>
      <c r="AN34" s="292" t="n">
        <v>0</v>
      </c>
      <c r="AO34" s="292" t="n">
        <v>2</v>
      </c>
      <c r="AP34" s="292" t="n">
        <v>0</v>
      </c>
      <c r="AQ34" s="292" t="n">
        <v>0</v>
      </c>
      <c r="AR34" s="292" t="n">
        <v>3</v>
      </c>
    </row>
    <row r="35" ht="14.25" customHeight="1" s="133">
      <c r="A35" s="287" t="inlineStr">
        <is>
          <t>PK-1033</t>
        </is>
      </c>
      <c r="B35" s="287" t="inlineStr">
        <is>
          <t>Dawlance Washing Machine</t>
        </is>
      </c>
      <c r="C35" s="287" t="inlineStr">
        <is>
          <t>Electronics &amp; Appliances</t>
        </is>
      </c>
      <c r="D35" s="287" t="inlineStr">
        <is>
          <t>Home Appliances</t>
        </is>
      </c>
      <c r="E35" s="287" t="inlineStr">
        <is>
          <t>DWWM</t>
        </is>
      </c>
      <c r="F35" s="287" t="inlineStr">
        <is>
          <t>Unit</t>
        </is>
      </c>
      <c r="G35" s="288" t="n">
        <v>28</v>
      </c>
      <c r="H35" s="288" t="n">
        <v>2</v>
      </c>
      <c r="I35" s="288" t="n">
        <v>5</v>
      </c>
      <c r="J35" s="288" t="n">
        <v>1260000</v>
      </c>
      <c r="K35" s="289" t="n">
        <v>45000</v>
      </c>
      <c r="L35" s="288" t="inlineStr">
        <is>
          <t>56,000.00</t>
        </is>
      </c>
      <c r="M35" s="290">
        <f>IF(L35=0,0,(L35-K35)/L35)</f>
        <v/>
      </c>
      <c r="N35" s="288" t="inlineStr">
        <is>
          <t>In Stock</t>
        </is>
      </c>
      <c r="O35" s="288" t="n">
        <v>0</v>
      </c>
      <c r="P35" s="288" t="n">
        <v>0</v>
      </c>
      <c r="Q35" s="288" t="n">
        <v>0</v>
      </c>
      <c r="R35" s="288" t="n">
        <v>2</v>
      </c>
      <c r="S35" s="288" t="n">
        <v>0</v>
      </c>
      <c r="T35" s="288" t="n">
        <v>0</v>
      </c>
      <c r="U35" s="288" t="n">
        <v>0</v>
      </c>
      <c r="V35" s="288" t="n">
        <v>1</v>
      </c>
      <c r="W35" s="288" t="n">
        <v>0</v>
      </c>
      <c r="X35" s="288" t="n">
        <v>0</v>
      </c>
      <c r="Y35" s="288" t="n">
        <v>0</v>
      </c>
      <c r="Z35" s="288" t="n">
        <v>0</v>
      </c>
      <c r="AA35" s="288" t="n">
        <v>0</v>
      </c>
      <c r="AB35" s="288" t="n">
        <v>0</v>
      </c>
      <c r="AC35" s="288" t="n">
        <v>0</v>
      </c>
      <c r="AD35" s="288" t="n">
        <v>0</v>
      </c>
      <c r="AE35" s="288" t="n">
        <v>1</v>
      </c>
      <c r="AF35" s="288" t="n">
        <v>2</v>
      </c>
      <c r="AG35" s="288" t="n">
        <v>0</v>
      </c>
      <c r="AH35" s="288" t="n">
        <v>0</v>
      </c>
      <c r="AI35" s="288" t="n">
        <v>0</v>
      </c>
      <c r="AJ35" s="288" t="n">
        <v>0</v>
      </c>
      <c r="AK35" s="288" t="n">
        <v>0</v>
      </c>
      <c r="AL35" s="288" t="n">
        <v>0</v>
      </c>
      <c r="AM35" s="288" t="n">
        <v>0</v>
      </c>
      <c r="AN35" s="288" t="n">
        <v>0</v>
      </c>
      <c r="AO35" s="288" t="n">
        <v>0</v>
      </c>
      <c r="AP35" s="288" t="n">
        <v>0</v>
      </c>
      <c r="AQ35" s="288" t="n">
        <v>2</v>
      </c>
      <c r="AR35" s="288" t="n">
        <v>0</v>
      </c>
    </row>
    <row r="36" ht="14.25" customHeight="1" s="133">
      <c r="A36" s="291" t="inlineStr">
        <is>
          <t>PK-1034</t>
        </is>
      </c>
      <c r="B36" s="291" t="inlineStr">
        <is>
          <t>Haier Front Load 8kg</t>
        </is>
      </c>
      <c r="C36" s="291" t="inlineStr">
        <is>
          <t>Electronics &amp; Appliances</t>
        </is>
      </c>
      <c r="D36" s="291" t="inlineStr">
        <is>
          <t>Home Appliances</t>
        </is>
      </c>
      <c r="E36" s="291" t="inlineStr">
        <is>
          <t>HAFL8</t>
        </is>
      </c>
      <c r="F36" s="291" t="inlineStr">
        <is>
          <t>Unit</t>
        </is>
      </c>
      <c r="G36" s="292" t="n">
        <v>126</v>
      </c>
      <c r="H36" s="292" t="n">
        <v>1</v>
      </c>
      <c r="I36" s="292" t="n">
        <v>4</v>
      </c>
      <c r="J36" s="292" t="n">
        <v>9450000</v>
      </c>
      <c r="K36" s="293" t="n">
        <v>75000</v>
      </c>
      <c r="L36" s="292" t="inlineStr">
        <is>
          <t>95,000.00</t>
        </is>
      </c>
      <c r="M36" s="294">
        <f>IF(L36=0,0,(L36-K36)/L36)</f>
        <v/>
      </c>
      <c r="N36" s="292" t="inlineStr">
        <is>
          <t>In Stock</t>
        </is>
      </c>
      <c r="O36" s="292" t="n">
        <v>0</v>
      </c>
      <c r="P36" s="292" t="n">
        <v>0</v>
      </c>
      <c r="Q36" s="292" t="n">
        <v>2</v>
      </c>
      <c r="R36" s="292" t="n">
        <v>0</v>
      </c>
      <c r="S36" s="292" t="n">
        <v>3</v>
      </c>
      <c r="T36" s="292" t="n">
        <v>0</v>
      </c>
      <c r="U36" s="292" t="n">
        <v>0</v>
      </c>
      <c r="V36" s="292" t="n">
        <v>0</v>
      </c>
      <c r="W36" s="292" t="n">
        <v>2</v>
      </c>
      <c r="X36" s="292" t="n">
        <v>0</v>
      </c>
      <c r="Y36" s="292" t="n">
        <v>1</v>
      </c>
      <c r="Z36" s="292" t="n">
        <v>2</v>
      </c>
      <c r="AA36" s="292" t="n">
        <v>0</v>
      </c>
      <c r="AB36" s="292" t="n">
        <v>1</v>
      </c>
      <c r="AC36" s="292" t="n">
        <v>0</v>
      </c>
      <c r="AD36" s="292" t="n">
        <v>2</v>
      </c>
      <c r="AE36" s="292" t="n">
        <v>1</v>
      </c>
      <c r="AF36" s="292" t="n">
        <v>1</v>
      </c>
      <c r="AG36" s="292" t="n">
        <v>2</v>
      </c>
      <c r="AH36" s="292" t="n">
        <v>0</v>
      </c>
      <c r="AI36" s="292" t="n">
        <v>1</v>
      </c>
      <c r="AJ36" s="292" t="n">
        <v>0</v>
      </c>
      <c r="AK36" s="292" t="n">
        <v>0</v>
      </c>
      <c r="AL36" s="292" t="n">
        <v>0</v>
      </c>
      <c r="AM36" s="292" t="n">
        <v>0</v>
      </c>
      <c r="AN36" s="292" t="n">
        <v>0</v>
      </c>
      <c r="AO36" s="292" t="n">
        <v>2</v>
      </c>
      <c r="AP36" s="292" t="n">
        <v>0</v>
      </c>
      <c r="AQ36" s="292" t="n">
        <v>1</v>
      </c>
      <c r="AR36" s="292" t="n">
        <v>0</v>
      </c>
    </row>
    <row r="37" ht="14.25" customHeight="1" s="133">
      <c r="A37" s="287" t="inlineStr">
        <is>
          <t>PK-1035</t>
        </is>
      </c>
      <c r="B37" s="287" t="inlineStr">
        <is>
          <t>National Microwave 30L</t>
        </is>
      </c>
      <c r="C37" s="287" t="inlineStr">
        <is>
          <t>Electronics &amp; Appliances</t>
        </is>
      </c>
      <c r="D37" s="287" t="inlineStr">
        <is>
          <t>Home Appliances</t>
        </is>
      </c>
      <c r="E37" s="287" t="inlineStr">
        <is>
          <t>NATMW</t>
        </is>
      </c>
      <c r="F37" s="287" t="inlineStr">
        <is>
          <t>Unit</t>
        </is>
      </c>
      <c r="G37" s="288" t="n">
        <v>79</v>
      </c>
      <c r="H37" s="288" t="n">
        <v>3</v>
      </c>
      <c r="I37" s="288" t="n">
        <v>8</v>
      </c>
      <c r="J37" s="288" t="n">
        <v>1738000</v>
      </c>
      <c r="K37" s="289" t="n">
        <v>22000</v>
      </c>
      <c r="L37" s="288" t="inlineStr">
        <is>
          <t>28,000.00</t>
        </is>
      </c>
      <c r="M37" s="290">
        <f>IF(L37=0,0,(L37-K37)/L37)</f>
        <v/>
      </c>
      <c r="N37" s="288" t="inlineStr">
        <is>
          <t>In Stock</t>
        </is>
      </c>
      <c r="O37" s="288" t="n">
        <v>1</v>
      </c>
      <c r="P37" s="288" t="n">
        <v>3</v>
      </c>
      <c r="Q37" s="288" t="n">
        <v>0</v>
      </c>
      <c r="R37" s="288" t="n">
        <v>1</v>
      </c>
      <c r="S37" s="288" t="n">
        <v>0</v>
      </c>
      <c r="T37" s="288" t="n">
        <v>1</v>
      </c>
      <c r="U37" s="288" t="n">
        <v>3</v>
      </c>
      <c r="V37" s="288" t="n">
        <v>0</v>
      </c>
      <c r="W37" s="288" t="n">
        <v>0</v>
      </c>
      <c r="X37" s="288" t="n">
        <v>0</v>
      </c>
      <c r="Y37" s="288" t="n">
        <v>0</v>
      </c>
      <c r="Z37" s="288" t="n">
        <v>1</v>
      </c>
      <c r="AA37" s="288" t="n">
        <v>0</v>
      </c>
      <c r="AB37" s="288" t="n">
        <v>1</v>
      </c>
      <c r="AC37" s="288" t="n">
        <v>0</v>
      </c>
      <c r="AD37" s="288" t="n">
        <v>2</v>
      </c>
      <c r="AE37" s="288" t="n">
        <v>0</v>
      </c>
      <c r="AF37" s="288" t="n">
        <v>0</v>
      </c>
      <c r="AG37" s="288" t="n">
        <v>1</v>
      </c>
      <c r="AH37" s="288" t="n">
        <v>0</v>
      </c>
      <c r="AI37" s="288" t="n">
        <v>0</v>
      </c>
      <c r="AJ37" s="288" t="n">
        <v>0</v>
      </c>
      <c r="AK37" s="288" t="n">
        <v>0</v>
      </c>
      <c r="AL37" s="288" t="n">
        <v>2</v>
      </c>
      <c r="AM37" s="288" t="n">
        <v>0</v>
      </c>
      <c r="AN37" s="288" t="n">
        <v>3</v>
      </c>
      <c r="AO37" s="288" t="n">
        <v>1</v>
      </c>
      <c r="AP37" s="288" t="n">
        <v>0</v>
      </c>
      <c r="AQ37" s="288" t="n">
        <v>0</v>
      </c>
      <c r="AR37" s="288" t="n">
        <v>1</v>
      </c>
    </row>
    <row r="38" ht="14.25" customHeight="1" s="133">
      <c r="A38" s="291" t="inlineStr">
        <is>
          <t>PK-1036</t>
        </is>
      </c>
      <c r="B38" s="291" t="inlineStr">
        <is>
          <t>Kenwood Blender</t>
        </is>
      </c>
      <c r="C38" s="291" t="inlineStr">
        <is>
          <t>Electronics &amp; Appliances</t>
        </is>
      </c>
      <c r="D38" s="291" t="inlineStr">
        <is>
          <t>Home Appliances</t>
        </is>
      </c>
      <c r="E38" s="291" t="inlineStr">
        <is>
          <t>KENBL</t>
        </is>
      </c>
      <c r="F38" s="291" t="inlineStr">
        <is>
          <t>Unit</t>
        </is>
      </c>
      <c r="G38" s="292" t="n">
        <v>33</v>
      </c>
      <c r="H38" s="292" t="n">
        <v>5</v>
      </c>
      <c r="I38" s="292" t="n">
        <v>15</v>
      </c>
      <c r="J38" s="292" t="n">
        <v>115500</v>
      </c>
      <c r="K38" s="293" t="n">
        <v>3500</v>
      </c>
      <c r="L38" s="292" t="inlineStr">
        <is>
          <t>5,000.00</t>
        </is>
      </c>
      <c r="M38" s="294">
        <f>IF(L38=0,0,(L38-K38)/L38)</f>
        <v/>
      </c>
      <c r="N38" s="292" t="inlineStr">
        <is>
          <t>In Stock</t>
        </is>
      </c>
      <c r="O38" s="292" t="n">
        <v>1</v>
      </c>
      <c r="P38" s="292" t="n">
        <v>0</v>
      </c>
      <c r="Q38" s="292" t="n">
        <v>0</v>
      </c>
      <c r="R38" s="292" t="n">
        <v>0</v>
      </c>
      <c r="S38" s="292" t="n">
        <v>1</v>
      </c>
      <c r="T38" s="292" t="n">
        <v>2</v>
      </c>
      <c r="U38" s="292" t="n">
        <v>3</v>
      </c>
      <c r="V38" s="292" t="n">
        <v>0</v>
      </c>
      <c r="W38" s="292" t="n">
        <v>1</v>
      </c>
      <c r="X38" s="292" t="n">
        <v>1</v>
      </c>
      <c r="Y38" s="292" t="n">
        <v>0</v>
      </c>
      <c r="Z38" s="292" t="n">
        <v>0</v>
      </c>
      <c r="AA38" s="292" t="n">
        <v>0</v>
      </c>
      <c r="AB38" s="292" t="n">
        <v>0</v>
      </c>
      <c r="AC38" s="292" t="n">
        <v>0</v>
      </c>
      <c r="AD38" s="292" t="n">
        <v>3</v>
      </c>
      <c r="AE38" s="292" t="n">
        <v>0</v>
      </c>
      <c r="AF38" s="292" t="n">
        <v>1</v>
      </c>
      <c r="AG38" s="292" t="n">
        <v>1</v>
      </c>
      <c r="AH38" s="292" t="n">
        <v>0</v>
      </c>
      <c r="AI38" s="292" t="n">
        <v>1</v>
      </c>
      <c r="AJ38" s="292" t="n">
        <v>0</v>
      </c>
      <c r="AK38" s="292" t="n">
        <v>2</v>
      </c>
      <c r="AL38" s="292" t="n">
        <v>0</v>
      </c>
      <c r="AM38" s="292" t="n">
        <v>1</v>
      </c>
      <c r="AN38" s="292" t="n">
        <v>0</v>
      </c>
      <c r="AO38" s="292" t="n">
        <v>0</v>
      </c>
      <c r="AP38" s="292" t="n">
        <v>0</v>
      </c>
      <c r="AQ38" s="292" t="n">
        <v>2</v>
      </c>
      <c r="AR38" s="292" t="n">
        <v>0</v>
      </c>
    </row>
    <row r="39" ht="14.25" customHeight="1" s="133">
      <c r="A39" s="295" t="inlineStr">
        <is>
          <t>PK-1037</t>
        </is>
      </c>
      <c r="B39" s="295" t="inlineStr">
        <is>
          <t>Basmati Rice 25kg</t>
        </is>
      </c>
      <c r="C39" s="295" t="inlineStr">
        <is>
          <t>Grocery &amp; Food Items</t>
        </is>
      </c>
      <c r="D39" s="295" t="inlineStr">
        <is>
          <t>Staple Foods</t>
        </is>
      </c>
      <c r="E39" s="295" t="inlineStr">
        <is>
          <t>BSRC25</t>
        </is>
      </c>
      <c r="F39" s="295" t="inlineStr">
        <is>
          <t>Unit</t>
        </is>
      </c>
      <c r="G39" s="296" t="n">
        <v>79</v>
      </c>
      <c r="H39" s="296" t="n">
        <v>10</v>
      </c>
      <c r="I39" s="296" t="n">
        <v>50</v>
      </c>
      <c r="J39" s="296" t="n">
        <v>300200</v>
      </c>
      <c r="K39" s="297" t="n">
        <v>3800</v>
      </c>
      <c r="L39" s="296" t="inlineStr">
        <is>
          <t>4,800.00</t>
        </is>
      </c>
      <c r="M39" s="298">
        <f>IF(L39=0,0,(L39-K39)/L39)</f>
        <v/>
      </c>
      <c r="N39" s="296" t="inlineStr">
        <is>
          <t>In Stock</t>
        </is>
      </c>
      <c r="O39" s="296" t="n">
        <v>18</v>
      </c>
      <c r="P39" s="296" t="n">
        <v>17</v>
      </c>
      <c r="Q39" s="296" t="n">
        <v>13</v>
      </c>
      <c r="R39" s="296" t="n">
        <v>6</v>
      </c>
      <c r="S39" s="296" t="n">
        <v>9</v>
      </c>
      <c r="T39" s="296" t="n">
        <v>15</v>
      </c>
      <c r="U39" s="296" t="n">
        <v>18</v>
      </c>
      <c r="V39" s="296" t="n">
        <v>16</v>
      </c>
      <c r="W39" s="296" t="n">
        <v>14</v>
      </c>
      <c r="X39" s="296" t="n">
        <v>15</v>
      </c>
      <c r="Y39" s="296" t="n">
        <v>12</v>
      </c>
      <c r="Z39" s="296" t="n">
        <v>10</v>
      </c>
      <c r="AA39" s="296" t="n">
        <v>9</v>
      </c>
      <c r="AB39" s="296" t="n">
        <v>9</v>
      </c>
      <c r="AC39" s="296" t="n">
        <v>11</v>
      </c>
      <c r="AD39" s="296" t="n">
        <v>8</v>
      </c>
      <c r="AE39" s="296" t="n">
        <v>9</v>
      </c>
      <c r="AF39" s="296" t="n">
        <v>17</v>
      </c>
      <c r="AG39" s="296" t="n">
        <v>9</v>
      </c>
      <c r="AH39" s="296" t="n">
        <v>16</v>
      </c>
      <c r="AI39" s="296" t="n">
        <v>13</v>
      </c>
      <c r="AJ39" s="296" t="n">
        <v>6</v>
      </c>
      <c r="AK39" s="296" t="n">
        <v>8</v>
      </c>
      <c r="AL39" s="296" t="n">
        <v>16</v>
      </c>
      <c r="AM39" s="296" t="n">
        <v>4</v>
      </c>
      <c r="AN39" s="296" t="n">
        <v>15</v>
      </c>
      <c r="AO39" s="296" t="n">
        <v>10</v>
      </c>
      <c r="AP39" s="296" t="n">
        <v>13</v>
      </c>
      <c r="AQ39" s="296" t="n">
        <v>9</v>
      </c>
      <c r="AR39" s="296" t="n">
        <v>14</v>
      </c>
    </row>
    <row r="40" ht="14.25" customHeight="1" s="133">
      <c r="A40" s="291" t="inlineStr">
        <is>
          <t>PK-1038</t>
        </is>
      </c>
      <c r="B40" s="291" t="inlineStr">
        <is>
          <t>Basmati Rice 5kg</t>
        </is>
      </c>
      <c r="C40" s="291" t="inlineStr">
        <is>
          <t>Grocery &amp; Food Items</t>
        </is>
      </c>
      <c r="D40" s="291" t="inlineStr">
        <is>
          <t>Staple Foods</t>
        </is>
      </c>
      <c r="E40" s="291" t="inlineStr">
        <is>
          <t>BSRC5</t>
        </is>
      </c>
      <c r="F40" s="291" t="inlineStr">
        <is>
          <t>Unit</t>
        </is>
      </c>
      <c r="G40" s="292" t="n">
        <v>79</v>
      </c>
      <c r="H40" s="292" t="n">
        <v>20</v>
      </c>
      <c r="I40" s="292" t="n">
        <v>100</v>
      </c>
      <c r="J40" s="292" t="n">
        <v>63200</v>
      </c>
      <c r="K40" s="293" t="n">
        <v>800</v>
      </c>
      <c r="L40" s="292" t="inlineStr">
        <is>
          <t>1,050.00</t>
        </is>
      </c>
      <c r="M40" s="294">
        <f>IF(L40=0,0,(L40-K40)/L40)</f>
        <v/>
      </c>
      <c r="N40" s="292" t="inlineStr">
        <is>
          <t>In Stock</t>
        </is>
      </c>
      <c r="O40" s="292" t="n">
        <v>9</v>
      </c>
      <c r="P40" s="292" t="n">
        <v>31</v>
      </c>
      <c r="Q40" s="292" t="n">
        <v>13</v>
      </c>
      <c r="R40" s="292" t="n">
        <v>25</v>
      </c>
      <c r="S40" s="292" t="n">
        <v>16</v>
      </c>
      <c r="T40" s="292" t="n">
        <v>14</v>
      </c>
      <c r="U40" s="292" t="n">
        <v>14</v>
      </c>
      <c r="V40" s="292" t="n">
        <v>10</v>
      </c>
      <c r="W40" s="292" t="n">
        <v>22</v>
      </c>
      <c r="X40" s="292" t="n">
        <v>16</v>
      </c>
      <c r="Y40" s="292" t="n">
        <v>11</v>
      </c>
      <c r="Z40" s="292" t="n">
        <v>19</v>
      </c>
      <c r="AA40" s="292" t="n">
        <v>22</v>
      </c>
      <c r="AB40" s="292" t="n">
        <v>13</v>
      </c>
      <c r="AC40" s="292" t="n">
        <v>11</v>
      </c>
      <c r="AD40" s="292" t="n">
        <v>16</v>
      </c>
      <c r="AE40" s="292" t="n">
        <v>15</v>
      </c>
      <c r="AF40" s="292" t="n">
        <v>19</v>
      </c>
      <c r="AG40" s="292" t="n">
        <v>16</v>
      </c>
      <c r="AH40" s="292" t="n">
        <v>23</v>
      </c>
      <c r="AI40" s="292" t="n">
        <v>17</v>
      </c>
      <c r="AJ40" s="292" t="n">
        <v>20</v>
      </c>
      <c r="AK40" s="292" t="n">
        <v>11</v>
      </c>
      <c r="AL40" s="292" t="n">
        <v>14</v>
      </c>
      <c r="AM40" s="292" t="n">
        <v>16</v>
      </c>
      <c r="AN40" s="292" t="n">
        <v>11</v>
      </c>
      <c r="AO40" s="292" t="n">
        <v>10</v>
      </c>
      <c r="AP40" s="292" t="n">
        <v>16</v>
      </c>
      <c r="AQ40" s="292" t="n">
        <v>10</v>
      </c>
      <c r="AR40" s="292" t="n">
        <v>11</v>
      </c>
    </row>
    <row r="41" ht="14.25" customHeight="1" s="133">
      <c r="A41" s="295" t="inlineStr">
        <is>
          <t>PK-1039</t>
        </is>
      </c>
      <c r="B41" s="295" t="inlineStr">
        <is>
          <t>Wheat Flour Atta 10kg</t>
        </is>
      </c>
      <c r="C41" s="295" t="inlineStr">
        <is>
          <t>Grocery &amp; Food Items</t>
        </is>
      </c>
      <c r="D41" s="295" t="inlineStr">
        <is>
          <t>Staple Foods</t>
        </is>
      </c>
      <c r="E41" s="295" t="inlineStr">
        <is>
          <t>ATTA10</t>
        </is>
      </c>
      <c r="F41" s="295" t="inlineStr">
        <is>
          <t>Unit</t>
        </is>
      </c>
      <c r="G41" s="296" t="n">
        <v>64</v>
      </c>
      <c r="H41" s="296" t="n">
        <v>15</v>
      </c>
      <c r="I41" s="296" t="n">
        <v>75</v>
      </c>
      <c r="J41" s="296" t="n">
        <v>70400</v>
      </c>
      <c r="K41" s="297" t="n">
        <v>1100</v>
      </c>
      <c r="L41" s="296" t="inlineStr">
        <is>
          <t>1,400.00</t>
        </is>
      </c>
      <c r="M41" s="298">
        <f>IF(L41=0,0,(L41-K41)/L41)</f>
        <v/>
      </c>
      <c r="N41" s="296" t="inlineStr">
        <is>
          <t>In Stock</t>
        </is>
      </c>
      <c r="O41" s="296" t="n">
        <v>15</v>
      </c>
      <c r="P41" s="296" t="n">
        <v>20</v>
      </c>
      <c r="Q41" s="296" t="n">
        <v>23</v>
      </c>
      <c r="R41" s="296" t="n">
        <v>27</v>
      </c>
      <c r="S41" s="296" t="n">
        <v>18</v>
      </c>
      <c r="T41" s="296" t="n">
        <v>15</v>
      </c>
      <c r="U41" s="296" t="n">
        <v>13</v>
      </c>
      <c r="V41" s="296" t="n">
        <v>6</v>
      </c>
      <c r="W41" s="296" t="n">
        <v>17</v>
      </c>
      <c r="X41" s="296" t="n">
        <v>13</v>
      </c>
      <c r="Y41" s="296" t="n">
        <v>19</v>
      </c>
      <c r="Z41" s="296" t="n">
        <v>13</v>
      </c>
      <c r="AA41" s="296" t="n">
        <v>19</v>
      </c>
      <c r="AB41" s="296" t="n">
        <v>20</v>
      </c>
      <c r="AC41" s="296" t="n">
        <v>14</v>
      </c>
      <c r="AD41" s="296" t="n">
        <v>15</v>
      </c>
      <c r="AE41" s="296" t="n">
        <v>11</v>
      </c>
      <c r="AF41" s="296" t="n">
        <v>28</v>
      </c>
      <c r="AG41" s="296" t="n">
        <v>12</v>
      </c>
      <c r="AH41" s="296" t="n">
        <v>20</v>
      </c>
      <c r="AI41" s="296" t="n">
        <v>14</v>
      </c>
      <c r="AJ41" s="296" t="n">
        <v>23</v>
      </c>
      <c r="AK41" s="296" t="n">
        <v>12</v>
      </c>
      <c r="AL41" s="296" t="n">
        <v>17</v>
      </c>
      <c r="AM41" s="296" t="n">
        <v>5</v>
      </c>
      <c r="AN41" s="296" t="n">
        <v>12</v>
      </c>
      <c r="AO41" s="296" t="n">
        <v>19</v>
      </c>
      <c r="AP41" s="296" t="n">
        <v>21</v>
      </c>
      <c r="AQ41" s="296" t="n">
        <v>1</v>
      </c>
      <c r="AR41" s="296" t="n">
        <v>19</v>
      </c>
    </row>
    <row r="42" ht="14.25" customHeight="1" s="133">
      <c r="A42" s="291" t="inlineStr">
        <is>
          <t>PK-1040</t>
        </is>
      </c>
      <c r="B42" s="291" t="inlineStr">
        <is>
          <t>Wheat Flour Atta 5kg</t>
        </is>
      </c>
      <c r="C42" s="291" t="inlineStr">
        <is>
          <t>Grocery &amp; Food Items</t>
        </is>
      </c>
      <c r="D42" s="291" t="inlineStr">
        <is>
          <t>Staple Foods</t>
        </is>
      </c>
      <c r="E42" s="291" t="inlineStr">
        <is>
          <t>ATTA5</t>
        </is>
      </c>
      <c r="F42" s="291" t="inlineStr">
        <is>
          <t>Unit</t>
        </is>
      </c>
      <c r="G42" s="292" t="n">
        <v>129</v>
      </c>
      <c r="H42" s="292" t="n">
        <v>25</v>
      </c>
      <c r="I42" s="292" t="n">
        <v>100</v>
      </c>
      <c r="J42" s="292" t="n">
        <v>74820</v>
      </c>
      <c r="K42" s="293" t="n">
        <v>580</v>
      </c>
      <c r="L42" s="292" t="inlineStr">
        <is>
          <t>750.00</t>
        </is>
      </c>
      <c r="M42" s="294">
        <f>IF(L42=0,0,(L42-K42)/L42)</f>
        <v/>
      </c>
      <c r="N42" s="292" t="inlineStr">
        <is>
          <t>In Stock</t>
        </is>
      </c>
      <c r="O42" s="292" t="n">
        <v>15</v>
      </c>
      <c r="P42" s="292" t="n">
        <v>15</v>
      </c>
      <c r="Q42" s="292" t="n">
        <v>10</v>
      </c>
      <c r="R42" s="292" t="n">
        <v>9</v>
      </c>
      <c r="S42" s="292" t="n">
        <v>19</v>
      </c>
      <c r="T42" s="292" t="n">
        <v>3</v>
      </c>
      <c r="U42" s="292" t="n">
        <v>4</v>
      </c>
      <c r="V42" s="292" t="n">
        <v>7</v>
      </c>
      <c r="W42" s="292" t="n">
        <v>11</v>
      </c>
      <c r="X42" s="292" t="n">
        <v>13</v>
      </c>
      <c r="Y42" s="292" t="n">
        <v>12</v>
      </c>
      <c r="Z42" s="292" t="n">
        <v>25</v>
      </c>
      <c r="AA42" s="292" t="n">
        <v>18</v>
      </c>
      <c r="AB42" s="292" t="n">
        <v>10</v>
      </c>
      <c r="AC42" s="292" t="n">
        <v>19</v>
      </c>
      <c r="AD42" s="292" t="n">
        <v>30</v>
      </c>
      <c r="AE42" s="292" t="n">
        <v>13</v>
      </c>
      <c r="AF42" s="292" t="n">
        <v>21</v>
      </c>
      <c r="AG42" s="292" t="n">
        <v>19</v>
      </c>
      <c r="AH42" s="292" t="n">
        <v>17</v>
      </c>
      <c r="AI42" s="292" t="n">
        <v>15</v>
      </c>
      <c r="AJ42" s="292" t="n">
        <v>20</v>
      </c>
      <c r="AK42" s="292" t="n">
        <v>17</v>
      </c>
      <c r="AL42" s="292" t="n">
        <v>9</v>
      </c>
      <c r="AM42" s="292" t="n">
        <v>9</v>
      </c>
      <c r="AN42" s="292" t="n">
        <v>22</v>
      </c>
      <c r="AO42" s="292" t="n">
        <v>17</v>
      </c>
      <c r="AP42" s="292" t="n">
        <v>17</v>
      </c>
      <c r="AQ42" s="292" t="n">
        <v>14</v>
      </c>
      <c r="AR42" s="292" t="n">
        <v>12</v>
      </c>
    </row>
    <row r="43" ht="14.25" customHeight="1" s="133">
      <c r="A43" s="295" t="inlineStr">
        <is>
          <t>PK-1041</t>
        </is>
      </c>
      <c r="B43" s="295" t="inlineStr">
        <is>
          <t>Sugar 5kg</t>
        </is>
      </c>
      <c r="C43" s="295" t="inlineStr">
        <is>
          <t>Grocery &amp; Food Items</t>
        </is>
      </c>
      <c r="D43" s="295" t="inlineStr">
        <is>
          <t>Staple Foods</t>
        </is>
      </c>
      <c r="E43" s="295" t="inlineStr">
        <is>
          <t>SUGR5</t>
        </is>
      </c>
      <c r="F43" s="295" t="inlineStr">
        <is>
          <t>Unit</t>
        </is>
      </c>
      <c r="G43" s="296" t="n">
        <v>20</v>
      </c>
      <c r="H43" s="296" t="n">
        <v>20</v>
      </c>
      <c r="I43" s="296" t="n">
        <v>100</v>
      </c>
      <c r="J43" s="296" t="n">
        <v>12000</v>
      </c>
      <c r="K43" s="297" t="n">
        <v>600</v>
      </c>
      <c r="L43" s="296" t="inlineStr">
        <is>
          <t>780.00</t>
        </is>
      </c>
      <c r="M43" s="298">
        <f>IF(L43=0,0,(L43-K43)/L43)</f>
        <v/>
      </c>
      <c r="N43" s="296" t="inlineStr">
        <is>
          <t>In Stock</t>
        </is>
      </c>
      <c r="O43" s="296" t="n">
        <v>8</v>
      </c>
      <c r="P43" s="296" t="n">
        <v>13</v>
      </c>
      <c r="Q43" s="296" t="n">
        <v>11</v>
      </c>
      <c r="R43" s="296" t="n">
        <v>15</v>
      </c>
      <c r="S43" s="296" t="n">
        <v>4</v>
      </c>
      <c r="T43" s="296" t="n">
        <v>6</v>
      </c>
      <c r="U43" s="296" t="n">
        <v>18</v>
      </c>
      <c r="V43" s="296" t="n">
        <v>15</v>
      </c>
      <c r="W43" s="296" t="n">
        <v>40</v>
      </c>
      <c r="X43" s="296" t="n">
        <v>14</v>
      </c>
      <c r="Y43" s="296" t="n">
        <v>17</v>
      </c>
      <c r="Z43" s="296" t="n">
        <v>24</v>
      </c>
      <c r="AA43" s="296" t="n">
        <v>13</v>
      </c>
      <c r="AB43" s="296" t="n">
        <v>10</v>
      </c>
      <c r="AC43" s="296" t="n">
        <v>11</v>
      </c>
      <c r="AD43" s="296" t="n">
        <v>19</v>
      </c>
      <c r="AE43" s="296" t="n">
        <v>16</v>
      </c>
      <c r="AF43" s="296" t="n">
        <v>9</v>
      </c>
      <c r="AG43" s="296" t="n">
        <v>24</v>
      </c>
      <c r="AH43" s="296" t="n">
        <v>25</v>
      </c>
      <c r="AI43" s="296" t="n">
        <v>16</v>
      </c>
      <c r="AJ43" s="296" t="n">
        <v>7</v>
      </c>
      <c r="AK43" s="296" t="n">
        <v>9</v>
      </c>
      <c r="AL43" s="296" t="n">
        <v>12</v>
      </c>
      <c r="AM43" s="296" t="n">
        <v>15</v>
      </c>
      <c r="AN43" s="296" t="n">
        <v>11</v>
      </c>
      <c r="AO43" s="296" t="n">
        <v>20</v>
      </c>
      <c r="AP43" s="296" t="n">
        <v>19</v>
      </c>
      <c r="AQ43" s="296" t="n">
        <v>18</v>
      </c>
      <c r="AR43" s="296" t="n">
        <v>12</v>
      </c>
    </row>
    <row r="44" ht="14.25" customHeight="1" s="133">
      <c r="A44" s="291" t="inlineStr">
        <is>
          <t>PK-1042</t>
        </is>
      </c>
      <c r="B44" s="291" t="inlineStr">
        <is>
          <t>Sugar 1kg</t>
        </is>
      </c>
      <c r="C44" s="291" t="inlineStr">
        <is>
          <t>Grocery &amp; Food Items</t>
        </is>
      </c>
      <c r="D44" s="291" t="inlineStr">
        <is>
          <t>Staple Foods</t>
        </is>
      </c>
      <c r="E44" s="291" t="inlineStr">
        <is>
          <t>SUGR1</t>
        </is>
      </c>
      <c r="F44" s="291" t="inlineStr">
        <is>
          <t>Unit</t>
        </is>
      </c>
      <c r="G44" s="292" t="n">
        <v>35</v>
      </c>
      <c r="H44" s="292" t="n">
        <v>30</v>
      </c>
      <c r="I44" s="292" t="n">
        <v>150</v>
      </c>
      <c r="J44" s="292" t="n">
        <v>4375</v>
      </c>
      <c r="K44" s="293" t="n">
        <v>125</v>
      </c>
      <c r="L44" s="292" t="inlineStr">
        <is>
          <t>165.00</t>
        </is>
      </c>
      <c r="M44" s="294">
        <f>IF(L44=0,0,(L44-K44)/L44)</f>
        <v/>
      </c>
      <c r="N44" s="292" t="inlineStr">
        <is>
          <t>In Stock</t>
        </is>
      </c>
      <c r="O44" s="292" t="n">
        <v>9</v>
      </c>
      <c r="P44" s="292" t="n">
        <v>7</v>
      </c>
      <c r="Q44" s="292" t="n">
        <v>22</v>
      </c>
      <c r="R44" s="292" t="n">
        <v>16</v>
      </c>
      <c r="S44" s="292" t="n">
        <v>27</v>
      </c>
      <c r="T44" s="292" t="n">
        <v>19</v>
      </c>
      <c r="U44" s="292" t="n">
        <v>28</v>
      </c>
      <c r="V44" s="292" t="n">
        <v>10</v>
      </c>
      <c r="W44" s="292" t="n">
        <v>29</v>
      </c>
      <c r="X44" s="292" t="n">
        <v>14</v>
      </c>
      <c r="Y44" s="292" t="n">
        <v>23</v>
      </c>
      <c r="Z44" s="292" t="n">
        <v>20</v>
      </c>
      <c r="AA44" s="292" t="n">
        <v>43</v>
      </c>
      <c r="AB44" s="292" t="n">
        <v>11</v>
      </c>
      <c r="AC44" s="292" t="n">
        <v>12</v>
      </c>
      <c r="AD44" s="292" t="n">
        <v>5</v>
      </c>
      <c r="AE44" s="292" t="n">
        <v>20</v>
      </c>
      <c r="AF44" s="292" t="n">
        <v>18</v>
      </c>
      <c r="AG44" s="292" t="n">
        <v>27</v>
      </c>
      <c r="AH44" s="292" t="n">
        <v>24</v>
      </c>
      <c r="AI44" s="292" t="n">
        <v>20</v>
      </c>
      <c r="AJ44" s="292" t="n">
        <v>19</v>
      </c>
      <c r="AK44" s="292" t="n">
        <v>24</v>
      </c>
      <c r="AL44" s="292" t="n">
        <v>7</v>
      </c>
      <c r="AM44" s="292" t="n">
        <v>24</v>
      </c>
      <c r="AN44" s="292" t="n">
        <v>26</v>
      </c>
      <c r="AO44" s="292" t="n">
        <v>13</v>
      </c>
      <c r="AP44" s="292" t="n">
        <v>12</v>
      </c>
      <c r="AQ44" s="292" t="n">
        <v>15</v>
      </c>
      <c r="AR44" s="292" t="n">
        <v>9</v>
      </c>
    </row>
    <row r="45" ht="14.25" customHeight="1" s="133">
      <c r="A45" s="295" t="inlineStr">
        <is>
          <t>PK-1043</t>
        </is>
      </c>
      <c r="B45" s="295" t="inlineStr">
        <is>
          <t>Dalda Cooking Oil 5L</t>
        </is>
      </c>
      <c r="C45" s="295" t="inlineStr">
        <is>
          <t>Grocery &amp; Food Items</t>
        </is>
      </c>
      <c r="D45" s="295" t="inlineStr">
        <is>
          <t>Staple Foods</t>
        </is>
      </c>
      <c r="E45" s="295" t="inlineStr">
        <is>
          <t>DLDO5</t>
        </is>
      </c>
      <c r="F45" s="295" t="inlineStr">
        <is>
          <t>Unit</t>
        </is>
      </c>
      <c r="G45" s="296" t="n">
        <v>62</v>
      </c>
      <c r="H45" s="296" t="n">
        <v>15</v>
      </c>
      <c r="I45" s="296" t="n">
        <v>60</v>
      </c>
      <c r="J45" s="296" t="n">
        <v>124000</v>
      </c>
      <c r="K45" s="297" t="n">
        <v>2000</v>
      </c>
      <c r="L45" s="296" t="inlineStr">
        <is>
          <t>2,550.00</t>
        </is>
      </c>
      <c r="M45" s="298">
        <f>IF(L45=0,0,(L45-K45)/L45)</f>
        <v/>
      </c>
      <c r="N45" s="296" t="inlineStr">
        <is>
          <t>In Stock</t>
        </is>
      </c>
      <c r="O45" s="296" t="n">
        <v>12</v>
      </c>
      <c r="P45" s="296" t="n">
        <v>6</v>
      </c>
      <c r="Q45" s="296" t="n">
        <v>19</v>
      </c>
      <c r="R45" s="296" t="n">
        <v>15</v>
      </c>
      <c r="S45" s="296" t="n">
        <v>21</v>
      </c>
      <c r="T45" s="296" t="n">
        <v>30</v>
      </c>
      <c r="U45" s="296" t="n">
        <v>22</v>
      </c>
      <c r="V45" s="296" t="n">
        <v>19</v>
      </c>
      <c r="W45" s="296" t="n">
        <v>11</v>
      </c>
      <c r="X45" s="296" t="n">
        <v>6</v>
      </c>
      <c r="Y45" s="296" t="n">
        <v>22</v>
      </c>
      <c r="Z45" s="296" t="n">
        <v>31</v>
      </c>
      <c r="AA45" s="296" t="n">
        <v>16</v>
      </c>
      <c r="AB45" s="296" t="n">
        <v>30</v>
      </c>
      <c r="AC45" s="296" t="n">
        <v>12</v>
      </c>
      <c r="AD45" s="296" t="n">
        <v>12</v>
      </c>
      <c r="AE45" s="296" t="n">
        <v>19</v>
      </c>
      <c r="AF45" s="296" t="n">
        <v>8</v>
      </c>
      <c r="AG45" s="296" t="n">
        <v>22</v>
      </c>
      <c r="AH45" s="296" t="n">
        <v>8</v>
      </c>
      <c r="AI45" s="296" t="n">
        <v>20</v>
      </c>
      <c r="AJ45" s="296" t="n">
        <v>27</v>
      </c>
      <c r="AK45" s="296" t="n">
        <v>18</v>
      </c>
      <c r="AL45" s="296" t="n">
        <v>19</v>
      </c>
      <c r="AM45" s="296" t="n">
        <v>20</v>
      </c>
      <c r="AN45" s="296" t="n">
        <v>11</v>
      </c>
      <c r="AO45" s="296" t="n">
        <v>12</v>
      </c>
      <c r="AP45" s="296" t="n">
        <v>30</v>
      </c>
      <c r="AQ45" s="296" t="n">
        <v>17</v>
      </c>
      <c r="AR45" s="296" t="n">
        <v>10</v>
      </c>
    </row>
    <row r="46" ht="14.25" customHeight="1" s="133">
      <c r="A46" s="291" t="inlineStr">
        <is>
          <t>PK-1044</t>
        </is>
      </c>
      <c r="B46" s="291" t="inlineStr">
        <is>
          <t>Dalda Cooking Oil 1L</t>
        </is>
      </c>
      <c r="C46" s="291" t="inlineStr">
        <is>
          <t>Grocery &amp; Food Items</t>
        </is>
      </c>
      <c r="D46" s="291" t="inlineStr">
        <is>
          <t>Staple Foods</t>
        </is>
      </c>
      <c r="E46" s="291" t="inlineStr">
        <is>
          <t>DLDO1</t>
        </is>
      </c>
      <c r="F46" s="291" t="inlineStr">
        <is>
          <t>Unit</t>
        </is>
      </c>
      <c r="G46" s="292" t="n">
        <v>80</v>
      </c>
      <c r="H46" s="292" t="n">
        <v>30</v>
      </c>
      <c r="I46" s="292" t="n">
        <v>120</v>
      </c>
      <c r="J46" s="292" t="n">
        <v>34400</v>
      </c>
      <c r="K46" s="293" t="n">
        <v>430</v>
      </c>
      <c r="L46" s="292" t="inlineStr">
        <is>
          <t>560.00</t>
        </is>
      </c>
      <c r="M46" s="294">
        <f>IF(L46=0,0,(L46-K46)/L46)</f>
        <v/>
      </c>
      <c r="N46" s="292" t="inlineStr">
        <is>
          <t>In Stock</t>
        </is>
      </c>
      <c r="O46" s="292" t="n">
        <v>6</v>
      </c>
      <c r="P46" s="292" t="n">
        <v>21</v>
      </c>
      <c r="Q46" s="292" t="n">
        <v>5</v>
      </c>
      <c r="R46" s="292" t="n">
        <v>21</v>
      </c>
      <c r="S46" s="292" t="n">
        <v>14</v>
      </c>
      <c r="T46" s="292" t="n">
        <v>36</v>
      </c>
      <c r="U46" s="292" t="n">
        <v>17</v>
      </c>
      <c r="V46" s="292" t="n">
        <v>15</v>
      </c>
      <c r="W46" s="292" t="n">
        <v>27</v>
      </c>
      <c r="X46" s="292" t="n">
        <v>13</v>
      </c>
      <c r="Y46" s="292" t="n">
        <v>11</v>
      </c>
      <c r="Z46" s="292" t="n">
        <v>10</v>
      </c>
      <c r="AA46" s="292" t="n">
        <v>24</v>
      </c>
      <c r="AB46" s="292" t="n">
        <v>19</v>
      </c>
      <c r="AC46" s="292" t="n">
        <v>8</v>
      </c>
      <c r="AD46" s="292" t="n">
        <v>30</v>
      </c>
      <c r="AE46" s="292" t="n">
        <v>16</v>
      </c>
      <c r="AF46" s="292" t="n">
        <v>15</v>
      </c>
      <c r="AG46" s="292" t="n">
        <v>21</v>
      </c>
      <c r="AH46" s="292" t="n">
        <v>25</v>
      </c>
      <c r="AI46" s="292" t="n">
        <v>24</v>
      </c>
      <c r="AJ46" s="292" t="n">
        <v>2</v>
      </c>
      <c r="AK46" s="292" t="n">
        <v>8</v>
      </c>
      <c r="AL46" s="292" t="n">
        <v>12</v>
      </c>
      <c r="AM46" s="292" t="n">
        <v>19</v>
      </c>
      <c r="AN46" s="292" t="n">
        <v>29</v>
      </c>
      <c r="AO46" s="292" t="n">
        <v>20</v>
      </c>
      <c r="AP46" s="292" t="n">
        <v>7</v>
      </c>
      <c r="AQ46" s="292" t="n">
        <v>24</v>
      </c>
      <c r="AR46" s="292" t="n">
        <v>11</v>
      </c>
    </row>
    <row r="47" ht="14.25" customHeight="1" s="133">
      <c r="A47" s="295" t="inlineStr">
        <is>
          <t>PK-1045</t>
        </is>
      </c>
      <c r="B47" s="295" t="inlineStr">
        <is>
          <t>Sufi Cooking Oil 5L</t>
        </is>
      </c>
      <c r="C47" s="295" t="inlineStr">
        <is>
          <t>Grocery &amp; Food Items</t>
        </is>
      </c>
      <c r="D47" s="295" t="inlineStr">
        <is>
          <t>Staple Foods</t>
        </is>
      </c>
      <c r="E47" s="295" t="inlineStr">
        <is>
          <t>SUFO5</t>
        </is>
      </c>
      <c r="F47" s="295" t="inlineStr">
        <is>
          <t>Unit</t>
        </is>
      </c>
      <c r="G47" s="296" t="n">
        <v>30</v>
      </c>
      <c r="H47" s="296" t="n">
        <v>15</v>
      </c>
      <c r="I47" s="296" t="n">
        <v>60</v>
      </c>
      <c r="J47" s="296" t="n">
        <v>57000</v>
      </c>
      <c r="K47" s="297" t="n">
        <v>1900</v>
      </c>
      <c r="L47" s="296" t="inlineStr">
        <is>
          <t>2,450.00</t>
        </is>
      </c>
      <c r="M47" s="298">
        <f>IF(L47=0,0,(L47-K47)/L47)</f>
        <v/>
      </c>
      <c r="N47" s="296" t="inlineStr">
        <is>
          <t>In Stock</t>
        </is>
      </c>
      <c r="O47" s="296" t="n">
        <v>11</v>
      </c>
      <c r="P47" s="296" t="n">
        <v>6</v>
      </c>
      <c r="Q47" s="296" t="n">
        <v>14</v>
      </c>
      <c r="R47" s="296" t="n">
        <v>17</v>
      </c>
      <c r="S47" s="296" t="n">
        <v>13</v>
      </c>
      <c r="T47" s="296" t="n">
        <v>17</v>
      </c>
      <c r="U47" s="296" t="n">
        <v>11</v>
      </c>
      <c r="V47" s="296" t="n">
        <v>19</v>
      </c>
      <c r="W47" s="296" t="n">
        <v>10</v>
      </c>
      <c r="X47" s="296" t="n">
        <v>19</v>
      </c>
      <c r="Y47" s="296" t="n">
        <v>12</v>
      </c>
      <c r="Z47" s="296" t="n">
        <v>14</v>
      </c>
      <c r="AA47" s="296" t="n">
        <v>1</v>
      </c>
      <c r="AB47" s="296" t="n">
        <v>10</v>
      </c>
      <c r="AC47" s="296" t="n">
        <v>1</v>
      </c>
      <c r="AD47" s="296" t="n">
        <v>11</v>
      </c>
      <c r="AE47" s="296" t="n">
        <v>17</v>
      </c>
      <c r="AF47" s="296" t="n">
        <v>21</v>
      </c>
      <c r="AG47" s="296" t="n">
        <v>6</v>
      </c>
      <c r="AH47" s="296" t="n">
        <v>29</v>
      </c>
      <c r="AI47" s="296" t="n">
        <v>1</v>
      </c>
      <c r="AJ47" s="296" t="n">
        <v>35</v>
      </c>
      <c r="AK47" s="296" t="n">
        <v>2</v>
      </c>
      <c r="AL47" s="296" t="n">
        <v>15</v>
      </c>
      <c r="AM47" s="296" t="n">
        <v>28</v>
      </c>
      <c r="AN47" s="296" t="n">
        <v>14</v>
      </c>
      <c r="AO47" s="296" t="n">
        <v>18</v>
      </c>
      <c r="AP47" s="296" t="n">
        <v>15</v>
      </c>
      <c r="AQ47" s="296" t="n">
        <v>26</v>
      </c>
      <c r="AR47" s="296" t="n">
        <v>18</v>
      </c>
    </row>
    <row r="48" ht="14.25" customHeight="1" s="133">
      <c r="A48" s="291" t="inlineStr">
        <is>
          <t>PK-1046</t>
        </is>
      </c>
      <c r="B48" s="291" t="inlineStr">
        <is>
          <t>Canola Oil 3L</t>
        </is>
      </c>
      <c r="C48" s="291" t="inlineStr">
        <is>
          <t>Grocery &amp; Food Items</t>
        </is>
      </c>
      <c r="D48" s="291" t="inlineStr">
        <is>
          <t>Staple Foods</t>
        </is>
      </c>
      <c r="E48" s="291" t="inlineStr">
        <is>
          <t>CNLO3</t>
        </is>
      </c>
      <c r="F48" s="291" t="inlineStr">
        <is>
          <t>Unit</t>
        </is>
      </c>
      <c r="G48" s="292" t="n">
        <v>7</v>
      </c>
      <c r="H48" s="292" t="n">
        <v>20</v>
      </c>
      <c r="I48" s="292" t="n">
        <v>80</v>
      </c>
      <c r="J48" s="292" t="n">
        <v>7700</v>
      </c>
      <c r="K48" s="293" t="n">
        <v>1100</v>
      </c>
      <c r="L48" s="292" t="inlineStr">
        <is>
          <t>1,450.00</t>
        </is>
      </c>
      <c r="M48" s="294">
        <f>IF(L48=0,0,(L48-K48)/L48)</f>
        <v/>
      </c>
      <c r="N48" s="292" t="inlineStr">
        <is>
          <t>Low Stock</t>
        </is>
      </c>
      <c r="O48" s="292" t="n">
        <v>18</v>
      </c>
      <c r="P48" s="292" t="n">
        <v>16</v>
      </c>
      <c r="Q48" s="292" t="n">
        <v>21</v>
      </c>
      <c r="R48" s="292" t="n">
        <v>20</v>
      </c>
      <c r="S48" s="292" t="n">
        <v>23</v>
      </c>
      <c r="T48" s="292" t="n">
        <v>5</v>
      </c>
      <c r="U48" s="292" t="n">
        <v>18</v>
      </c>
      <c r="V48" s="292" t="n">
        <v>18</v>
      </c>
      <c r="W48" s="292" t="n">
        <v>24</v>
      </c>
      <c r="X48" s="292" t="n">
        <v>18</v>
      </c>
      <c r="Y48" s="292" t="n">
        <v>17</v>
      </c>
      <c r="Z48" s="292" t="n">
        <v>9</v>
      </c>
      <c r="AA48" s="292" t="n">
        <v>14</v>
      </c>
      <c r="AB48" s="292" t="n">
        <v>14</v>
      </c>
      <c r="AC48" s="292" t="n">
        <v>29</v>
      </c>
      <c r="AD48" s="292" t="n">
        <v>24</v>
      </c>
      <c r="AE48" s="292" t="n">
        <v>8</v>
      </c>
      <c r="AF48" s="292" t="n">
        <v>10</v>
      </c>
      <c r="AG48" s="292" t="n">
        <v>9</v>
      </c>
      <c r="AH48" s="292" t="n">
        <v>45</v>
      </c>
      <c r="AI48" s="292" t="n">
        <v>12</v>
      </c>
      <c r="AJ48" s="292" t="n">
        <v>11</v>
      </c>
      <c r="AK48" s="292" t="n">
        <v>27</v>
      </c>
      <c r="AL48" s="292" t="n">
        <v>16</v>
      </c>
      <c r="AM48" s="292" t="n">
        <v>14</v>
      </c>
      <c r="AN48" s="292" t="n">
        <v>19</v>
      </c>
      <c r="AO48" s="292" t="n">
        <v>7</v>
      </c>
      <c r="AP48" s="292" t="n">
        <v>25</v>
      </c>
      <c r="AQ48" s="292" t="n">
        <v>18</v>
      </c>
      <c r="AR48" s="292" t="n">
        <v>8</v>
      </c>
    </row>
    <row r="49" ht="14.25" customHeight="1" s="133">
      <c r="A49" s="295" t="inlineStr">
        <is>
          <t>PK-1047</t>
        </is>
      </c>
      <c r="B49" s="295" t="inlineStr">
        <is>
          <t>National Biryani Masala 50g</t>
        </is>
      </c>
      <c r="C49" s="295" t="inlineStr">
        <is>
          <t>Grocery &amp; Food Items</t>
        </is>
      </c>
      <c r="D49" s="295" t="inlineStr">
        <is>
          <t>Spices &amp; Condiments</t>
        </is>
      </c>
      <c r="E49" s="295" t="inlineStr">
        <is>
          <t>NBRM50</t>
        </is>
      </c>
      <c r="F49" s="295" t="inlineStr">
        <is>
          <t>Unit</t>
        </is>
      </c>
      <c r="G49" s="296" t="n">
        <v>104</v>
      </c>
      <c r="H49" s="296" t="n">
        <v>20</v>
      </c>
      <c r="I49" s="296" t="n">
        <v>80</v>
      </c>
      <c r="J49" s="296" t="n">
        <v>6760</v>
      </c>
      <c r="K49" s="297" t="n">
        <v>65</v>
      </c>
      <c r="L49" s="296" t="inlineStr">
        <is>
          <t>95.00</t>
        </is>
      </c>
      <c r="M49" s="298">
        <f>IF(L49=0,0,(L49-K49)/L49)</f>
        <v/>
      </c>
      <c r="N49" s="296" t="inlineStr">
        <is>
          <t>In Stock</t>
        </is>
      </c>
      <c r="O49" s="296" t="n">
        <v>9</v>
      </c>
      <c r="P49" s="296" t="n">
        <v>4</v>
      </c>
      <c r="Q49" s="296" t="n">
        <v>22</v>
      </c>
      <c r="R49" s="296" t="n">
        <v>10</v>
      </c>
      <c r="S49" s="296" t="n">
        <v>11</v>
      </c>
      <c r="T49" s="296" t="n">
        <v>10</v>
      </c>
      <c r="U49" s="296" t="n">
        <v>10</v>
      </c>
      <c r="V49" s="296" t="n">
        <v>8</v>
      </c>
      <c r="W49" s="296" t="n">
        <v>7</v>
      </c>
      <c r="X49" s="296" t="n">
        <v>7</v>
      </c>
      <c r="Y49" s="296" t="n">
        <v>8</v>
      </c>
      <c r="Z49" s="296" t="n">
        <v>1</v>
      </c>
      <c r="AA49" s="296" t="n">
        <v>6</v>
      </c>
      <c r="AB49" s="296" t="n">
        <v>9</v>
      </c>
      <c r="AC49" s="296" t="n">
        <v>10</v>
      </c>
      <c r="AD49" s="296" t="n">
        <v>11</v>
      </c>
      <c r="AE49" s="296" t="n">
        <v>10</v>
      </c>
      <c r="AF49" s="296" t="n">
        <v>11</v>
      </c>
      <c r="AG49" s="296" t="n">
        <v>12</v>
      </c>
      <c r="AH49" s="296" t="n">
        <v>6</v>
      </c>
      <c r="AI49" s="296" t="n">
        <v>7</v>
      </c>
      <c r="AJ49" s="296" t="n">
        <v>9</v>
      </c>
      <c r="AK49" s="296" t="n">
        <v>9</v>
      </c>
      <c r="AL49" s="296" t="n">
        <v>7</v>
      </c>
      <c r="AM49" s="296" t="n">
        <v>13</v>
      </c>
      <c r="AN49" s="296" t="n">
        <v>16</v>
      </c>
      <c r="AO49" s="296" t="n">
        <v>13</v>
      </c>
      <c r="AP49" s="296" t="n">
        <v>9</v>
      </c>
      <c r="AQ49" s="296" t="n">
        <v>21</v>
      </c>
      <c r="AR49" s="296" t="n">
        <v>10</v>
      </c>
    </row>
    <row r="50" ht="14.25" customHeight="1" s="133">
      <c r="A50" s="291" t="inlineStr">
        <is>
          <t>PK-1048</t>
        </is>
      </c>
      <c r="B50" s="291" t="inlineStr">
        <is>
          <t>Shan Biryani Mix 60g</t>
        </is>
      </c>
      <c r="C50" s="291" t="inlineStr">
        <is>
          <t>Grocery &amp; Food Items</t>
        </is>
      </c>
      <c r="D50" s="291" t="inlineStr">
        <is>
          <t>Spices &amp; Condiments</t>
        </is>
      </c>
      <c r="E50" s="291" t="inlineStr">
        <is>
          <t>SHBM60</t>
        </is>
      </c>
      <c r="F50" s="291" t="inlineStr">
        <is>
          <t>Unit</t>
        </is>
      </c>
      <c r="G50" s="292" t="n">
        <v>129</v>
      </c>
      <c r="H50" s="292" t="n">
        <v>20</v>
      </c>
      <c r="I50" s="292" t="n">
        <v>80</v>
      </c>
      <c r="J50" s="292" t="n">
        <v>9030</v>
      </c>
      <c r="K50" s="293" t="n">
        <v>70</v>
      </c>
      <c r="L50" s="292" t="inlineStr">
        <is>
          <t>100.00</t>
        </is>
      </c>
      <c r="M50" s="294">
        <f>IF(L50=0,0,(L50-K50)/L50)</f>
        <v/>
      </c>
      <c r="N50" s="292" t="inlineStr">
        <is>
          <t>In Stock</t>
        </is>
      </c>
      <c r="O50" s="292" t="n">
        <v>8</v>
      </c>
      <c r="P50" s="292" t="n">
        <v>10</v>
      </c>
      <c r="Q50" s="292" t="n">
        <v>9</v>
      </c>
      <c r="R50" s="292" t="n">
        <v>9</v>
      </c>
      <c r="S50" s="292" t="n">
        <v>10</v>
      </c>
      <c r="T50" s="292" t="n">
        <v>6</v>
      </c>
      <c r="U50" s="292" t="n">
        <v>7</v>
      </c>
      <c r="V50" s="292" t="n">
        <v>11</v>
      </c>
      <c r="W50" s="292" t="n">
        <v>9</v>
      </c>
      <c r="X50" s="292" t="n">
        <v>8</v>
      </c>
      <c r="Y50" s="292" t="n">
        <v>12</v>
      </c>
      <c r="Z50" s="292" t="n">
        <v>13</v>
      </c>
      <c r="AA50" s="292" t="n">
        <v>17</v>
      </c>
      <c r="AB50" s="292" t="n">
        <v>7</v>
      </c>
      <c r="AC50" s="292" t="n">
        <v>16</v>
      </c>
      <c r="AD50" s="292" t="n">
        <v>12</v>
      </c>
      <c r="AE50" s="292" t="n">
        <v>8</v>
      </c>
      <c r="AF50" s="292" t="n">
        <v>12</v>
      </c>
      <c r="AG50" s="292" t="n">
        <v>9</v>
      </c>
      <c r="AH50" s="292" t="n">
        <v>8</v>
      </c>
      <c r="AI50" s="292" t="n">
        <v>9</v>
      </c>
      <c r="AJ50" s="292" t="n">
        <v>12</v>
      </c>
      <c r="AK50" s="292" t="n">
        <v>10</v>
      </c>
      <c r="AL50" s="292" t="n">
        <v>8</v>
      </c>
      <c r="AM50" s="292" t="n">
        <v>8</v>
      </c>
      <c r="AN50" s="292" t="n">
        <v>20</v>
      </c>
      <c r="AO50" s="292" t="n">
        <v>12</v>
      </c>
      <c r="AP50" s="292" t="n">
        <v>8</v>
      </c>
      <c r="AQ50" s="292" t="n">
        <v>7</v>
      </c>
      <c r="AR50" s="292" t="n">
        <v>8</v>
      </c>
    </row>
    <row r="51" ht="14.25" customHeight="1" s="133">
      <c r="A51" s="295" t="inlineStr">
        <is>
          <t>PK-1049</t>
        </is>
      </c>
      <c r="B51" s="295" t="inlineStr">
        <is>
          <t>Shan Karahi Masala 100g</t>
        </is>
      </c>
      <c r="C51" s="295" t="inlineStr">
        <is>
          <t>Grocery &amp; Food Items</t>
        </is>
      </c>
      <c r="D51" s="295" t="inlineStr">
        <is>
          <t>Spices &amp; Condiments</t>
        </is>
      </c>
      <c r="E51" s="295" t="inlineStr">
        <is>
          <t>SHKR100</t>
        </is>
      </c>
      <c r="F51" s="295" t="inlineStr">
        <is>
          <t>Unit</t>
        </is>
      </c>
      <c r="G51" s="296" t="n">
        <v>77</v>
      </c>
      <c r="H51" s="296" t="n">
        <v>20</v>
      </c>
      <c r="I51" s="296" t="n">
        <v>80</v>
      </c>
      <c r="J51" s="296" t="n">
        <v>7315</v>
      </c>
      <c r="K51" s="297" t="n">
        <v>95</v>
      </c>
      <c r="L51" s="296" t="inlineStr">
        <is>
          <t>135.00</t>
        </is>
      </c>
      <c r="M51" s="298">
        <f>IF(L51=0,0,(L51-K51)/L51)</f>
        <v/>
      </c>
      <c r="N51" s="296" t="inlineStr">
        <is>
          <t>In Stock</t>
        </is>
      </c>
      <c r="O51" s="296" t="n">
        <v>8</v>
      </c>
      <c r="P51" s="296" t="n">
        <v>20</v>
      </c>
      <c r="Q51" s="296" t="n">
        <v>8</v>
      </c>
      <c r="R51" s="296" t="n">
        <v>15</v>
      </c>
      <c r="S51" s="296" t="n">
        <v>11</v>
      </c>
      <c r="T51" s="296" t="n">
        <v>10</v>
      </c>
      <c r="U51" s="296" t="n">
        <v>11</v>
      </c>
      <c r="V51" s="296" t="n">
        <v>7</v>
      </c>
      <c r="W51" s="296" t="n">
        <v>14</v>
      </c>
      <c r="X51" s="296" t="n">
        <v>10</v>
      </c>
      <c r="Y51" s="296" t="n">
        <v>14</v>
      </c>
      <c r="Z51" s="296" t="n">
        <v>9</v>
      </c>
      <c r="AA51" s="296" t="n">
        <v>18</v>
      </c>
      <c r="AB51" s="296" t="n">
        <v>11</v>
      </c>
      <c r="AC51" s="296" t="n">
        <v>12</v>
      </c>
      <c r="AD51" s="296" t="n">
        <v>12</v>
      </c>
      <c r="AE51" s="296" t="n">
        <v>6</v>
      </c>
      <c r="AF51" s="296" t="n">
        <v>8</v>
      </c>
      <c r="AG51" s="296" t="n">
        <v>15</v>
      </c>
      <c r="AH51" s="296" t="n">
        <v>9</v>
      </c>
      <c r="AI51" s="296" t="n">
        <v>8</v>
      </c>
      <c r="AJ51" s="296" t="n">
        <v>9</v>
      </c>
      <c r="AK51" s="296" t="n">
        <v>8</v>
      </c>
      <c r="AL51" s="296" t="n">
        <v>6</v>
      </c>
      <c r="AM51" s="296" t="n">
        <v>14</v>
      </c>
      <c r="AN51" s="296" t="n">
        <v>14</v>
      </c>
      <c r="AO51" s="296" t="n">
        <v>12</v>
      </c>
      <c r="AP51" s="296" t="n">
        <v>11</v>
      </c>
      <c r="AQ51" s="296" t="n">
        <v>7</v>
      </c>
      <c r="AR51" s="296" t="n">
        <v>7</v>
      </c>
    </row>
    <row r="52" ht="14.25" customHeight="1" s="133">
      <c r="A52" s="291" t="inlineStr">
        <is>
          <t>PK-1050</t>
        </is>
      </c>
      <c r="B52" s="291" t="inlineStr">
        <is>
          <t>Mehran Nihari Masala</t>
        </is>
      </c>
      <c r="C52" s="291" t="inlineStr">
        <is>
          <t>Grocery &amp; Food Items</t>
        </is>
      </c>
      <c r="D52" s="291" t="inlineStr">
        <is>
          <t>Spices &amp; Condiments</t>
        </is>
      </c>
      <c r="E52" s="291" t="inlineStr">
        <is>
          <t>MEHNM</t>
        </is>
      </c>
      <c r="F52" s="291" t="inlineStr">
        <is>
          <t>Unit</t>
        </is>
      </c>
      <c r="G52" s="292" t="n">
        <v>45</v>
      </c>
      <c r="H52" s="292" t="n">
        <v>20</v>
      </c>
      <c r="I52" s="292" t="n">
        <v>80</v>
      </c>
      <c r="J52" s="292" t="n">
        <v>3375</v>
      </c>
      <c r="K52" s="293" t="n">
        <v>75</v>
      </c>
      <c r="L52" s="292" t="inlineStr">
        <is>
          <t>110.00</t>
        </is>
      </c>
      <c r="M52" s="294">
        <f>IF(L52=0,0,(L52-K52)/L52)</f>
        <v/>
      </c>
      <c r="N52" s="292" t="inlineStr">
        <is>
          <t>In Stock</t>
        </is>
      </c>
      <c r="O52" s="292" t="n">
        <v>24</v>
      </c>
      <c r="P52" s="292" t="n">
        <v>8</v>
      </c>
      <c r="Q52" s="292" t="n">
        <v>8</v>
      </c>
      <c r="R52" s="292" t="n">
        <v>8</v>
      </c>
      <c r="S52" s="292" t="n">
        <v>5</v>
      </c>
      <c r="T52" s="292" t="n">
        <v>3</v>
      </c>
      <c r="U52" s="292" t="n">
        <v>14</v>
      </c>
      <c r="V52" s="292" t="n">
        <v>17</v>
      </c>
      <c r="W52" s="292" t="n">
        <v>29</v>
      </c>
      <c r="X52" s="292" t="n">
        <v>8</v>
      </c>
      <c r="Y52" s="292" t="n">
        <v>10</v>
      </c>
      <c r="Z52" s="292" t="n">
        <v>13</v>
      </c>
      <c r="AA52" s="292" t="n">
        <v>15</v>
      </c>
      <c r="AB52" s="292" t="n">
        <v>19</v>
      </c>
      <c r="AC52" s="292" t="n">
        <v>11</v>
      </c>
      <c r="AD52" s="292" t="n">
        <v>5</v>
      </c>
      <c r="AE52" s="292" t="n">
        <v>11</v>
      </c>
      <c r="AF52" s="292" t="n">
        <v>10</v>
      </c>
      <c r="AG52" s="292" t="n">
        <v>12</v>
      </c>
      <c r="AH52" s="292" t="n">
        <v>11</v>
      </c>
      <c r="AI52" s="292" t="n">
        <v>13</v>
      </c>
      <c r="AJ52" s="292" t="n">
        <v>14</v>
      </c>
      <c r="AK52" s="292" t="n">
        <v>10</v>
      </c>
      <c r="AL52" s="292" t="n">
        <v>11</v>
      </c>
      <c r="AM52" s="292" t="n">
        <v>16</v>
      </c>
      <c r="AN52" s="292" t="n">
        <v>13</v>
      </c>
      <c r="AO52" s="292" t="n">
        <v>3</v>
      </c>
      <c r="AP52" s="292" t="n">
        <v>14</v>
      </c>
      <c r="AQ52" s="292" t="n">
        <v>19</v>
      </c>
      <c r="AR52" s="292" t="n">
        <v>8</v>
      </c>
    </row>
    <row r="53" ht="14.25" customHeight="1" s="133">
      <c r="A53" s="295" t="inlineStr">
        <is>
          <t>PK-1051</t>
        </is>
      </c>
      <c r="B53" s="295" t="inlineStr">
        <is>
          <t>Turmeric Powder 200g</t>
        </is>
      </c>
      <c r="C53" s="295" t="inlineStr">
        <is>
          <t>Grocery &amp; Food Items</t>
        </is>
      </c>
      <c r="D53" s="295" t="inlineStr">
        <is>
          <t>Spices &amp; Condiments</t>
        </is>
      </c>
      <c r="E53" s="295" t="inlineStr">
        <is>
          <t>TURMRIC</t>
        </is>
      </c>
      <c r="F53" s="295" t="inlineStr">
        <is>
          <t>Unit</t>
        </is>
      </c>
      <c r="G53" s="296" t="n">
        <v>134</v>
      </c>
      <c r="H53" s="296" t="n">
        <v>25</v>
      </c>
      <c r="I53" s="296" t="n">
        <v>100</v>
      </c>
      <c r="J53" s="296" t="n">
        <v>7370</v>
      </c>
      <c r="K53" s="297" t="n">
        <v>55</v>
      </c>
      <c r="L53" s="296" t="inlineStr">
        <is>
          <t>80.00</t>
        </is>
      </c>
      <c r="M53" s="298">
        <f>IF(L53=0,0,(L53-K53)/L53)</f>
        <v/>
      </c>
      <c r="N53" s="296" t="inlineStr">
        <is>
          <t>In Stock</t>
        </is>
      </c>
      <c r="O53" s="296" t="n">
        <v>15</v>
      </c>
      <c r="P53" s="296" t="n">
        <v>4</v>
      </c>
      <c r="Q53" s="296" t="n">
        <v>5</v>
      </c>
      <c r="R53" s="296" t="n">
        <v>8</v>
      </c>
      <c r="S53" s="296" t="n">
        <v>9</v>
      </c>
      <c r="T53" s="296" t="n">
        <v>12</v>
      </c>
      <c r="U53" s="296" t="n">
        <v>3</v>
      </c>
      <c r="V53" s="296" t="n">
        <v>7</v>
      </c>
      <c r="W53" s="296" t="n">
        <v>12</v>
      </c>
      <c r="X53" s="296" t="n">
        <v>12</v>
      </c>
      <c r="Y53" s="296" t="n">
        <v>18</v>
      </c>
      <c r="Z53" s="296" t="n">
        <v>8</v>
      </c>
      <c r="AA53" s="296" t="n">
        <v>11</v>
      </c>
      <c r="AB53" s="296" t="n">
        <v>13</v>
      </c>
      <c r="AC53" s="296" t="n">
        <v>10</v>
      </c>
      <c r="AD53" s="296" t="n">
        <v>8</v>
      </c>
      <c r="AE53" s="296" t="n">
        <v>6</v>
      </c>
      <c r="AF53" s="296" t="n">
        <v>8</v>
      </c>
      <c r="AG53" s="296" t="n">
        <v>9</v>
      </c>
      <c r="AH53" s="296" t="n">
        <v>19</v>
      </c>
      <c r="AI53" s="296" t="n">
        <v>13</v>
      </c>
      <c r="AJ53" s="296" t="n">
        <v>8</v>
      </c>
      <c r="AK53" s="296" t="n">
        <v>11</v>
      </c>
      <c r="AL53" s="296" t="n">
        <v>16</v>
      </c>
      <c r="AM53" s="296" t="n">
        <v>10</v>
      </c>
      <c r="AN53" s="296" t="n">
        <v>10</v>
      </c>
      <c r="AO53" s="296" t="n">
        <v>18</v>
      </c>
      <c r="AP53" s="296" t="n">
        <v>10</v>
      </c>
      <c r="AQ53" s="296" t="n">
        <v>7</v>
      </c>
      <c r="AR53" s="296" t="n">
        <v>11</v>
      </c>
    </row>
    <row r="54" ht="14.25" customHeight="1" s="133">
      <c r="A54" s="291" t="inlineStr">
        <is>
          <t>PK-1052</t>
        </is>
      </c>
      <c r="B54" s="291" t="inlineStr">
        <is>
          <t>Red Chilli Powder 200g</t>
        </is>
      </c>
      <c r="C54" s="291" t="inlineStr">
        <is>
          <t>Grocery &amp; Food Items</t>
        </is>
      </c>
      <c r="D54" s="291" t="inlineStr">
        <is>
          <t>Spices &amp; Condiments</t>
        </is>
      </c>
      <c r="E54" s="291" t="inlineStr">
        <is>
          <t>RCHILLI</t>
        </is>
      </c>
      <c r="F54" s="291" t="inlineStr">
        <is>
          <t>Unit</t>
        </is>
      </c>
      <c r="G54" s="292" t="n">
        <v>47</v>
      </c>
      <c r="H54" s="292" t="n">
        <v>25</v>
      </c>
      <c r="I54" s="292" t="n">
        <v>100</v>
      </c>
      <c r="J54" s="292" t="n">
        <v>3055</v>
      </c>
      <c r="K54" s="293" t="n">
        <v>65</v>
      </c>
      <c r="L54" s="292" t="inlineStr">
        <is>
          <t>90.00</t>
        </is>
      </c>
      <c r="M54" s="294">
        <f>IF(L54=0,0,(L54-K54)/L54)</f>
        <v/>
      </c>
      <c r="N54" s="292" t="inlineStr">
        <is>
          <t>In Stock</t>
        </is>
      </c>
      <c r="O54" s="292" t="n">
        <v>4</v>
      </c>
      <c r="P54" s="292" t="n">
        <v>4</v>
      </c>
      <c r="Q54" s="292" t="n">
        <v>12</v>
      </c>
      <c r="R54" s="292" t="n">
        <v>13</v>
      </c>
      <c r="S54" s="292" t="n">
        <v>9</v>
      </c>
      <c r="T54" s="292" t="n">
        <v>16</v>
      </c>
      <c r="U54" s="292" t="n">
        <v>15</v>
      </c>
      <c r="V54" s="292" t="n">
        <v>12</v>
      </c>
      <c r="W54" s="292" t="n">
        <v>13</v>
      </c>
      <c r="X54" s="292" t="n">
        <v>5</v>
      </c>
      <c r="Y54" s="292" t="n">
        <v>12</v>
      </c>
      <c r="Z54" s="292" t="n">
        <v>6</v>
      </c>
      <c r="AA54" s="292" t="n">
        <v>11</v>
      </c>
      <c r="AB54" s="292" t="n">
        <v>5</v>
      </c>
      <c r="AC54" s="292" t="n">
        <v>15</v>
      </c>
      <c r="AD54" s="292" t="n">
        <v>13</v>
      </c>
      <c r="AE54" s="292" t="n">
        <v>9</v>
      </c>
      <c r="AF54" s="292" t="n">
        <v>8</v>
      </c>
      <c r="AG54" s="292" t="n">
        <v>15</v>
      </c>
      <c r="AH54" s="292" t="n">
        <v>12</v>
      </c>
      <c r="AI54" s="292" t="n">
        <v>14</v>
      </c>
      <c r="AJ54" s="292" t="n">
        <v>9</v>
      </c>
      <c r="AK54" s="292" t="n">
        <v>10</v>
      </c>
      <c r="AL54" s="292" t="n">
        <v>10</v>
      </c>
      <c r="AM54" s="292" t="n">
        <v>12</v>
      </c>
      <c r="AN54" s="292" t="n">
        <v>1</v>
      </c>
      <c r="AO54" s="292" t="n">
        <v>12</v>
      </c>
      <c r="AP54" s="292" t="n">
        <v>7</v>
      </c>
      <c r="AQ54" s="292" t="n">
        <v>5</v>
      </c>
      <c r="AR54" s="292" t="n">
        <v>8</v>
      </c>
    </row>
    <row r="55" ht="14.25" customHeight="1" s="133">
      <c r="A55" s="295" t="inlineStr">
        <is>
          <t>PK-1053</t>
        </is>
      </c>
      <c r="B55" s="295" t="inlineStr">
        <is>
          <t>Garam Masala 100g</t>
        </is>
      </c>
      <c r="C55" s="295" t="inlineStr">
        <is>
          <t>Grocery &amp; Food Items</t>
        </is>
      </c>
      <c r="D55" s="295" t="inlineStr">
        <is>
          <t>Spices &amp; Condiments</t>
        </is>
      </c>
      <c r="E55" s="295" t="inlineStr">
        <is>
          <t>GRAMM</t>
        </is>
      </c>
      <c r="F55" s="295" t="inlineStr">
        <is>
          <t>Unit</t>
        </is>
      </c>
      <c r="G55" s="296" t="n">
        <v>120</v>
      </c>
      <c r="H55" s="296" t="n">
        <v>25</v>
      </c>
      <c r="I55" s="296" t="n">
        <v>100</v>
      </c>
      <c r="J55" s="296" t="n">
        <v>9000</v>
      </c>
      <c r="K55" s="297" t="n">
        <v>75</v>
      </c>
      <c r="L55" s="296" t="inlineStr">
        <is>
          <t>105.00</t>
        </is>
      </c>
      <c r="M55" s="298">
        <f>IF(L55=0,0,(L55-K55)/L55)</f>
        <v/>
      </c>
      <c r="N55" s="296" t="inlineStr">
        <is>
          <t>In Stock</t>
        </is>
      </c>
      <c r="O55" s="296" t="n">
        <v>19</v>
      </c>
      <c r="P55" s="296" t="n">
        <v>6</v>
      </c>
      <c r="Q55" s="296" t="n">
        <v>11</v>
      </c>
      <c r="R55" s="296" t="n">
        <v>8</v>
      </c>
      <c r="S55" s="296" t="n">
        <v>15</v>
      </c>
      <c r="T55" s="296" t="n">
        <v>14</v>
      </c>
      <c r="U55" s="296" t="n">
        <v>11</v>
      </c>
      <c r="V55" s="296" t="n">
        <v>7</v>
      </c>
      <c r="W55" s="296" t="n">
        <v>2</v>
      </c>
      <c r="X55" s="296" t="n">
        <v>10</v>
      </c>
      <c r="Y55" s="296" t="n">
        <v>6</v>
      </c>
      <c r="Z55" s="296" t="n">
        <v>13</v>
      </c>
      <c r="AA55" s="296" t="n">
        <v>10</v>
      </c>
      <c r="AB55" s="296" t="n">
        <v>8</v>
      </c>
      <c r="AC55" s="296" t="n">
        <v>11</v>
      </c>
      <c r="AD55" s="296" t="n">
        <v>8</v>
      </c>
      <c r="AE55" s="296" t="n">
        <v>11</v>
      </c>
      <c r="AF55" s="296" t="n">
        <v>7</v>
      </c>
      <c r="AG55" s="296" t="n">
        <v>8</v>
      </c>
      <c r="AH55" s="296" t="n">
        <v>8</v>
      </c>
      <c r="AI55" s="296" t="n">
        <v>11</v>
      </c>
      <c r="AJ55" s="296" t="n">
        <v>8</v>
      </c>
      <c r="AK55" s="296" t="n">
        <v>8</v>
      </c>
      <c r="AL55" s="296" t="n">
        <v>11</v>
      </c>
      <c r="AM55" s="296" t="n">
        <v>8</v>
      </c>
      <c r="AN55" s="296" t="n">
        <v>9</v>
      </c>
      <c r="AO55" s="296" t="n">
        <v>30</v>
      </c>
      <c r="AP55" s="296" t="n">
        <v>9</v>
      </c>
      <c r="AQ55" s="296" t="n">
        <v>7</v>
      </c>
      <c r="AR55" s="296" t="n">
        <v>9</v>
      </c>
    </row>
    <row r="56" ht="14.25" customHeight="1" s="133">
      <c r="A56" s="291" t="inlineStr">
        <is>
          <t>PK-1054</t>
        </is>
      </c>
      <c r="B56" s="291" t="inlineStr">
        <is>
          <t>Cumin Seeds 100g</t>
        </is>
      </c>
      <c r="C56" s="291" t="inlineStr">
        <is>
          <t>Grocery &amp; Food Items</t>
        </is>
      </c>
      <c r="D56" s="291" t="inlineStr">
        <is>
          <t>Spices &amp; Condiments</t>
        </is>
      </c>
      <c r="E56" s="291" t="inlineStr">
        <is>
          <t>CUMN100</t>
        </is>
      </c>
      <c r="F56" s="291" t="inlineStr">
        <is>
          <t>Unit</t>
        </is>
      </c>
      <c r="G56" s="292" t="n">
        <v>84</v>
      </c>
      <c r="H56" s="292" t="n">
        <v>30</v>
      </c>
      <c r="I56" s="292" t="n">
        <v>100</v>
      </c>
      <c r="J56" s="292" t="n">
        <v>4200</v>
      </c>
      <c r="K56" s="293" t="n">
        <v>50</v>
      </c>
      <c r="L56" s="292" t="inlineStr">
        <is>
          <t>72.00</t>
        </is>
      </c>
      <c r="M56" s="294">
        <f>IF(L56=0,0,(L56-K56)/L56)</f>
        <v/>
      </c>
      <c r="N56" s="292" t="inlineStr">
        <is>
          <t>In Stock</t>
        </is>
      </c>
      <c r="O56" s="292" t="n">
        <v>9</v>
      </c>
      <c r="P56" s="292" t="n">
        <v>2</v>
      </c>
      <c r="Q56" s="292" t="n">
        <v>4</v>
      </c>
      <c r="R56" s="292" t="n">
        <v>8</v>
      </c>
      <c r="S56" s="292" t="n">
        <v>8</v>
      </c>
      <c r="T56" s="292" t="n">
        <v>15</v>
      </c>
      <c r="U56" s="292" t="n">
        <v>7</v>
      </c>
      <c r="V56" s="292" t="n">
        <v>17</v>
      </c>
      <c r="W56" s="292" t="n">
        <v>9</v>
      </c>
      <c r="X56" s="292" t="n">
        <v>3</v>
      </c>
      <c r="Y56" s="292" t="n">
        <v>8</v>
      </c>
      <c r="Z56" s="292" t="n">
        <v>5</v>
      </c>
      <c r="AA56" s="292" t="n">
        <v>12</v>
      </c>
      <c r="AB56" s="292" t="n">
        <v>20</v>
      </c>
      <c r="AC56" s="292" t="n">
        <v>6</v>
      </c>
      <c r="AD56" s="292" t="n">
        <v>10</v>
      </c>
      <c r="AE56" s="292" t="n">
        <v>11</v>
      </c>
      <c r="AF56" s="292" t="n">
        <v>7</v>
      </c>
      <c r="AG56" s="292" t="n">
        <v>8</v>
      </c>
      <c r="AH56" s="292" t="n">
        <v>8</v>
      </c>
      <c r="AI56" s="292" t="n">
        <v>15</v>
      </c>
      <c r="AJ56" s="292" t="n">
        <v>8</v>
      </c>
      <c r="AK56" s="292" t="n">
        <v>7</v>
      </c>
      <c r="AL56" s="292" t="n">
        <v>13</v>
      </c>
      <c r="AM56" s="292" t="n">
        <v>10</v>
      </c>
      <c r="AN56" s="292" t="n">
        <v>6</v>
      </c>
      <c r="AO56" s="292" t="n">
        <v>20</v>
      </c>
      <c r="AP56" s="292" t="n">
        <v>12</v>
      </c>
      <c r="AQ56" s="292" t="n">
        <v>11</v>
      </c>
      <c r="AR56" s="292" t="n">
        <v>7</v>
      </c>
    </row>
    <row r="57" ht="14.25" customHeight="1" s="133">
      <c r="A57" s="295" t="inlineStr">
        <is>
          <t>PK-1055</t>
        </is>
      </c>
      <c r="B57" s="295" t="inlineStr">
        <is>
          <t>Black Pepper 50g</t>
        </is>
      </c>
      <c r="C57" s="295" t="inlineStr">
        <is>
          <t>Grocery &amp; Food Items</t>
        </is>
      </c>
      <c r="D57" s="295" t="inlineStr">
        <is>
          <t>Spices &amp; Condiments</t>
        </is>
      </c>
      <c r="E57" s="295" t="inlineStr">
        <is>
          <t>BLKP50</t>
        </is>
      </c>
      <c r="F57" s="295" t="inlineStr">
        <is>
          <t>Unit</t>
        </is>
      </c>
      <c r="G57" s="296" t="n">
        <v>131</v>
      </c>
      <c r="H57" s="296" t="n">
        <v>30</v>
      </c>
      <c r="I57" s="296" t="n">
        <v>100</v>
      </c>
      <c r="J57" s="296" t="n">
        <v>9170</v>
      </c>
      <c r="K57" s="297" t="n">
        <v>70</v>
      </c>
      <c r="L57" s="296" t="inlineStr">
        <is>
          <t>100.00</t>
        </is>
      </c>
      <c r="M57" s="298">
        <f>IF(L57=0,0,(L57-K57)/L57)</f>
        <v/>
      </c>
      <c r="N57" s="296" t="inlineStr">
        <is>
          <t>In Stock</t>
        </is>
      </c>
      <c r="O57" s="296" t="n">
        <v>4</v>
      </c>
      <c r="P57" s="296" t="n">
        <v>9</v>
      </c>
      <c r="Q57" s="296" t="n">
        <v>11</v>
      </c>
      <c r="R57" s="296" t="n">
        <v>10</v>
      </c>
      <c r="S57" s="296" t="n">
        <v>10</v>
      </c>
      <c r="T57" s="296" t="n">
        <v>14</v>
      </c>
      <c r="U57" s="296" t="n">
        <v>13</v>
      </c>
      <c r="V57" s="296" t="n">
        <v>17</v>
      </c>
      <c r="W57" s="296" t="n">
        <v>5</v>
      </c>
      <c r="X57" s="296" t="n">
        <v>9</v>
      </c>
      <c r="Y57" s="296" t="n">
        <v>7</v>
      </c>
      <c r="Z57" s="296" t="n">
        <v>11</v>
      </c>
      <c r="AA57" s="296" t="n">
        <v>8</v>
      </c>
      <c r="AB57" s="296" t="n">
        <v>12</v>
      </c>
      <c r="AC57" s="296" t="n">
        <v>11</v>
      </c>
      <c r="AD57" s="296" t="n">
        <v>9</v>
      </c>
      <c r="AE57" s="296" t="n">
        <v>6</v>
      </c>
      <c r="AF57" s="296" t="n">
        <v>11</v>
      </c>
      <c r="AG57" s="296" t="n">
        <v>12</v>
      </c>
      <c r="AH57" s="296" t="n">
        <v>13</v>
      </c>
      <c r="AI57" s="296" t="n">
        <v>6</v>
      </c>
      <c r="AJ57" s="296" t="n">
        <v>12</v>
      </c>
      <c r="AK57" s="296" t="n">
        <v>13</v>
      </c>
      <c r="AL57" s="296" t="n">
        <v>10</v>
      </c>
      <c r="AM57" s="296" t="n">
        <v>7</v>
      </c>
      <c r="AN57" s="296" t="n">
        <v>7</v>
      </c>
      <c r="AO57" s="296" t="n">
        <v>12</v>
      </c>
      <c r="AP57" s="296" t="n">
        <v>4</v>
      </c>
      <c r="AQ57" s="296" t="n">
        <v>2</v>
      </c>
      <c r="AR57" s="296" t="n">
        <v>9</v>
      </c>
    </row>
    <row r="58" ht="14.25" customHeight="1" s="133">
      <c r="A58" s="291" t="inlineStr">
        <is>
          <t>PK-1056</t>
        </is>
      </c>
      <c r="B58" s="291" t="inlineStr">
        <is>
          <t>Coriander Powder 200g</t>
        </is>
      </c>
      <c r="C58" s="291" t="inlineStr">
        <is>
          <t>Grocery &amp; Food Items</t>
        </is>
      </c>
      <c r="D58" s="291" t="inlineStr">
        <is>
          <t>Spices &amp; Condiments</t>
        </is>
      </c>
      <c r="E58" s="291" t="inlineStr">
        <is>
          <t>CORP200</t>
        </is>
      </c>
      <c r="F58" s="291" t="inlineStr">
        <is>
          <t>Unit</t>
        </is>
      </c>
      <c r="G58" s="292" t="n">
        <v>115</v>
      </c>
      <c r="H58" s="292" t="n">
        <v>25</v>
      </c>
      <c r="I58" s="292" t="n">
        <v>100</v>
      </c>
      <c r="J58" s="292" t="n">
        <v>6670</v>
      </c>
      <c r="K58" s="293" t="n">
        <v>58</v>
      </c>
      <c r="L58" s="292" t="inlineStr">
        <is>
          <t>84.00</t>
        </is>
      </c>
      <c r="M58" s="294">
        <f>IF(L58=0,0,(L58-K58)/L58)</f>
        <v/>
      </c>
      <c r="N58" s="292" t="inlineStr">
        <is>
          <t>In Stock</t>
        </is>
      </c>
      <c r="O58" s="292" t="n">
        <v>7</v>
      </c>
      <c r="P58" s="292" t="n">
        <v>9</v>
      </c>
      <c r="Q58" s="292" t="n">
        <v>11</v>
      </c>
      <c r="R58" s="292" t="n">
        <v>7</v>
      </c>
      <c r="S58" s="292" t="n">
        <v>12</v>
      </c>
      <c r="T58" s="292" t="n">
        <v>5</v>
      </c>
      <c r="U58" s="292" t="n">
        <v>3</v>
      </c>
      <c r="V58" s="292" t="n">
        <v>11</v>
      </c>
      <c r="W58" s="292" t="n">
        <v>10</v>
      </c>
      <c r="X58" s="292" t="n">
        <v>9</v>
      </c>
      <c r="Y58" s="292" t="n">
        <v>13</v>
      </c>
      <c r="Z58" s="292" t="n">
        <v>8</v>
      </c>
      <c r="AA58" s="292" t="n">
        <v>15</v>
      </c>
      <c r="AB58" s="292" t="n">
        <v>7</v>
      </c>
      <c r="AC58" s="292" t="n">
        <v>11</v>
      </c>
      <c r="AD58" s="292" t="n">
        <v>13</v>
      </c>
      <c r="AE58" s="292" t="n">
        <v>7</v>
      </c>
      <c r="AF58" s="292" t="n">
        <v>8</v>
      </c>
      <c r="AG58" s="292" t="n">
        <v>10</v>
      </c>
      <c r="AH58" s="292" t="n">
        <v>16</v>
      </c>
      <c r="AI58" s="292" t="n">
        <v>9</v>
      </c>
      <c r="AJ58" s="292" t="n">
        <v>12</v>
      </c>
      <c r="AK58" s="292" t="n">
        <v>16</v>
      </c>
      <c r="AL58" s="292" t="n">
        <v>5</v>
      </c>
      <c r="AM58" s="292" t="n">
        <v>3</v>
      </c>
      <c r="AN58" s="292" t="n">
        <v>5</v>
      </c>
      <c r="AO58" s="292" t="n">
        <v>15</v>
      </c>
      <c r="AP58" s="292" t="n">
        <v>10</v>
      </c>
      <c r="AQ58" s="292" t="n">
        <v>9</v>
      </c>
      <c r="AR58" s="292" t="n">
        <v>12</v>
      </c>
    </row>
    <row r="59" ht="14.25" customHeight="1" s="133">
      <c r="A59" s="295" t="inlineStr">
        <is>
          <t>PK-1057</t>
        </is>
      </c>
      <c r="B59" s="295" t="inlineStr">
        <is>
          <t>Nescafé Classic 200g</t>
        </is>
      </c>
      <c r="C59" s="295" t="inlineStr">
        <is>
          <t>Grocery &amp; Food Items</t>
        </is>
      </c>
      <c r="D59" s="295" t="inlineStr">
        <is>
          <t>Beverages</t>
        </is>
      </c>
      <c r="E59" s="295" t="inlineStr">
        <is>
          <t>NESCF200</t>
        </is>
      </c>
      <c r="F59" s="295" t="inlineStr">
        <is>
          <t>Unit</t>
        </is>
      </c>
      <c r="G59" s="296" t="n">
        <v>85</v>
      </c>
      <c r="H59" s="296" t="n">
        <v>10</v>
      </c>
      <c r="I59" s="296" t="n">
        <v>40</v>
      </c>
      <c r="J59" s="296" t="n">
        <v>114750</v>
      </c>
      <c r="K59" s="297" t="n">
        <v>1350</v>
      </c>
      <c r="L59" s="296" t="inlineStr">
        <is>
          <t>1,750.00</t>
        </is>
      </c>
      <c r="M59" s="298">
        <f>IF(L59=0,0,(L59-K59)/L59)</f>
        <v/>
      </c>
      <c r="N59" s="296" t="inlineStr">
        <is>
          <t>In Stock</t>
        </is>
      </c>
      <c r="O59" s="296" t="n">
        <v>22</v>
      </c>
      <c r="P59" s="296" t="n">
        <v>12</v>
      </c>
      <c r="Q59" s="296" t="n">
        <v>11</v>
      </c>
      <c r="R59" s="296" t="n">
        <v>9</v>
      </c>
      <c r="S59" s="296" t="n">
        <v>11</v>
      </c>
      <c r="T59" s="296" t="n">
        <v>15</v>
      </c>
      <c r="U59" s="296" t="n">
        <v>10</v>
      </c>
      <c r="V59" s="296" t="n">
        <v>15</v>
      </c>
      <c r="W59" s="296" t="n">
        <v>5</v>
      </c>
      <c r="X59" s="296" t="n">
        <v>12</v>
      </c>
      <c r="Y59" s="296" t="n">
        <v>14</v>
      </c>
      <c r="Z59" s="296" t="n">
        <v>12</v>
      </c>
      <c r="AA59" s="296" t="n">
        <v>14</v>
      </c>
      <c r="AB59" s="296" t="n">
        <v>13</v>
      </c>
      <c r="AC59" s="296" t="n">
        <v>16</v>
      </c>
      <c r="AD59" s="296" t="n">
        <v>7</v>
      </c>
      <c r="AE59" s="296" t="n">
        <v>12</v>
      </c>
      <c r="AF59" s="296" t="n">
        <v>21</v>
      </c>
      <c r="AG59" s="296" t="n">
        <v>22</v>
      </c>
      <c r="AH59" s="296" t="n">
        <v>11</v>
      </c>
      <c r="AI59" s="296" t="n">
        <v>9</v>
      </c>
      <c r="AJ59" s="296" t="n">
        <v>5</v>
      </c>
      <c r="AK59" s="296" t="n">
        <v>10</v>
      </c>
      <c r="AL59" s="296" t="n">
        <v>11</v>
      </c>
      <c r="AM59" s="296" t="n">
        <v>11</v>
      </c>
      <c r="AN59" s="296" t="n">
        <v>15</v>
      </c>
      <c r="AO59" s="296" t="n">
        <v>11</v>
      </c>
      <c r="AP59" s="296" t="n">
        <v>14</v>
      </c>
      <c r="AQ59" s="296" t="n">
        <v>14</v>
      </c>
      <c r="AR59" s="296" t="n">
        <v>29</v>
      </c>
    </row>
    <row r="60" ht="14.25" customHeight="1" s="133">
      <c r="A60" s="291" t="inlineStr">
        <is>
          <t>PK-1058</t>
        </is>
      </c>
      <c r="B60" s="291" t="inlineStr">
        <is>
          <t>Tapal Danedar 500g</t>
        </is>
      </c>
      <c r="C60" s="291" t="inlineStr">
        <is>
          <t>Grocery &amp; Food Items</t>
        </is>
      </c>
      <c r="D60" s="291" t="inlineStr">
        <is>
          <t>Beverages</t>
        </is>
      </c>
      <c r="E60" s="291" t="inlineStr">
        <is>
          <t>TAPDN500</t>
        </is>
      </c>
      <c r="F60" s="291" t="inlineStr">
        <is>
          <t>Unit</t>
        </is>
      </c>
      <c r="G60" s="292" t="n">
        <v>133</v>
      </c>
      <c r="H60" s="292" t="n">
        <v>15</v>
      </c>
      <c r="I60" s="292" t="n">
        <v>60</v>
      </c>
      <c r="J60" s="292" t="n">
        <v>77140</v>
      </c>
      <c r="K60" s="293" t="n">
        <v>580</v>
      </c>
      <c r="L60" s="292" t="inlineStr">
        <is>
          <t>780.00</t>
        </is>
      </c>
      <c r="M60" s="294">
        <f>IF(L60=0,0,(L60-K60)/L60)</f>
        <v/>
      </c>
      <c r="N60" s="292" t="inlineStr">
        <is>
          <t>In Stock</t>
        </is>
      </c>
      <c r="O60" s="292" t="n">
        <v>13</v>
      </c>
      <c r="P60" s="292" t="n">
        <v>22</v>
      </c>
      <c r="Q60" s="292" t="n">
        <v>11</v>
      </c>
      <c r="R60" s="292" t="n">
        <v>8</v>
      </c>
      <c r="S60" s="292" t="n">
        <v>15</v>
      </c>
      <c r="T60" s="292" t="n">
        <v>5</v>
      </c>
      <c r="U60" s="292" t="n">
        <v>9</v>
      </c>
      <c r="V60" s="292" t="n">
        <v>3</v>
      </c>
      <c r="W60" s="292" t="n">
        <v>6</v>
      </c>
      <c r="X60" s="292" t="n">
        <v>16</v>
      </c>
      <c r="Y60" s="292" t="n">
        <v>13</v>
      </c>
      <c r="Z60" s="292" t="n">
        <v>7</v>
      </c>
      <c r="AA60" s="292" t="n">
        <v>7</v>
      </c>
      <c r="AB60" s="292" t="n">
        <v>7</v>
      </c>
      <c r="AC60" s="292" t="n">
        <v>20</v>
      </c>
      <c r="AD60" s="292" t="n">
        <v>14</v>
      </c>
      <c r="AE60" s="292" t="n">
        <v>9</v>
      </c>
      <c r="AF60" s="292" t="n">
        <v>9</v>
      </c>
      <c r="AG60" s="292" t="n">
        <v>1</v>
      </c>
      <c r="AH60" s="292" t="n">
        <v>23</v>
      </c>
      <c r="AI60" s="292" t="n">
        <v>20</v>
      </c>
      <c r="AJ60" s="292" t="n">
        <v>11</v>
      </c>
      <c r="AK60" s="292" t="n">
        <v>5</v>
      </c>
      <c r="AL60" s="292" t="n">
        <v>11</v>
      </c>
      <c r="AM60" s="292" t="n">
        <v>22</v>
      </c>
      <c r="AN60" s="292" t="n">
        <v>22</v>
      </c>
      <c r="AO60" s="292" t="n">
        <v>12</v>
      </c>
      <c r="AP60" s="292" t="n">
        <v>10</v>
      </c>
      <c r="AQ60" s="292" t="n">
        <v>16</v>
      </c>
      <c r="AR60" s="292" t="n">
        <v>9</v>
      </c>
    </row>
    <row r="61" ht="14.25" customHeight="1" s="133">
      <c r="A61" s="295" t="inlineStr">
        <is>
          <t>PK-1059</t>
        </is>
      </c>
      <c r="B61" s="295" t="inlineStr">
        <is>
          <t>Lipton Yellow Label 200g</t>
        </is>
      </c>
      <c r="C61" s="295" t="inlineStr">
        <is>
          <t>Grocery &amp; Food Items</t>
        </is>
      </c>
      <c r="D61" s="295" t="inlineStr">
        <is>
          <t>Beverages</t>
        </is>
      </c>
      <c r="E61" s="295" t="inlineStr">
        <is>
          <t>LIPYL200</t>
        </is>
      </c>
      <c r="F61" s="295" t="inlineStr">
        <is>
          <t>Unit</t>
        </is>
      </c>
      <c r="G61" s="296" t="n">
        <v>86</v>
      </c>
      <c r="H61" s="296" t="n">
        <v>15</v>
      </c>
      <c r="I61" s="296" t="n">
        <v>60</v>
      </c>
      <c r="J61" s="296" t="n">
        <v>55900</v>
      </c>
      <c r="K61" s="297" t="n">
        <v>650</v>
      </c>
      <c r="L61" s="296" t="inlineStr">
        <is>
          <t>870.00</t>
        </is>
      </c>
      <c r="M61" s="298">
        <f>IF(L61=0,0,(L61-K61)/L61)</f>
        <v/>
      </c>
      <c r="N61" s="296" t="inlineStr">
        <is>
          <t>In Stock</t>
        </is>
      </c>
      <c r="O61" s="296" t="n">
        <v>18</v>
      </c>
      <c r="P61" s="296" t="n">
        <v>8</v>
      </c>
      <c r="Q61" s="296" t="n">
        <v>14</v>
      </c>
      <c r="R61" s="296" t="n">
        <v>6</v>
      </c>
      <c r="S61" s="296" t="n">
        <v>12</v>
      </c>
      <c r="T61" s="296" t="n">
        <v>14</v>
      </c>
      <c r="U61" s="296" t="n">
        <v>4</v>
      </c>
      <c r="V61" s="296" t="n">
        <v>18</v>
      </c>
      <c r="W61" s="296" t="n">
        <v>12</v>
      </c>
      <c r="X61" s="296" t="n">
        <v>11</v>
      </c>
      <c r="Y61" s="296" t="n">
        <v>9</v>
      </c>
      <c r="Z61" s="296" t="n">
        <v>20</v>
      </c>
      <c r="AA61" s="296" t="n">
        <v>15</v>
      </c>
      <c r="AB61" s="296" t="n">
        <v>12</v>
      </c>
      <c r="AC61" s="296" t="n">
        <v>13</v>
      </c>
      <c r="AD61" s="296" t="n">
        <v>6</v>
      </c>
      <c r="AE61" s="296" t="n">
        <v>13</v>
      </c>
      <c r="AF61" s="296" t="n">
        <v>9</v>
      </c>
      <c r="AG61" s="296" t="n">
        <v>14</v>
      </c>
      <c r="AH61" s="296" t="n">
        <v>4</v>
      </c>
      <c r="AI61" s="296" t="n">
        <v>14</v>
      </c>
      <c r="AJ61" s="296" t="n">
        <v>8</v>
      </c>
      <c r="AK61" s="296" t="n">
        <v>14</v>
      </c>
      <c r="AL61" s="296" t="n">
        <v>15</v>
      </c>
      <c r="AM61" s="296" t="n">
        <v>4</v>
      </c>
      <c r="AN61" s="296" t="n">
        <v>10</v>
      </c>
      <c r="AO61" s="296" t="n">
        <v>16</v>
      </c>
      <c r="AP61" s="296" t="n">
        <v>10</v>
      </c>
      <c r="AQ61" s="296" t="n">
        <v>11</v>
      </c>
      <c r="AR61" s="296" t="n">
        <v>12</v>
      </c>
    </row>
    <row r="62" ht="14.25" customHeight="1" s="133">
      <c r="A62" s="291" t="inlineStr">
        <is>
          <t>PK-1060</t>
        </is>
      </c>
      <c r="B62" s="291" t="inlineStr">
        <is>
          <t>Tang Mango 500g</t>
        </is>
      </c>
      <c r="C62" s="291" t="inlineStr">
        <is>
          <t>Grocery &amp; Food Items</t>
        </is>
      </c>
      <c r="D62" s="291" t="inlineStr">
        <is>
          <t>Beverages</t>
        </is>
      </c>
      <c r="E62" s="291" t="inlineStr">
        <is>
          <t>TNGMNG</t>
        </is>
      </c>
      <c r="F62" s="291" t="inlineStr">
        <is>
          <t>Unit</t>
        </is>
      </c>
      <c r="G62" s="292" t="n">
        <v>17</v>
      </c>
      <c r="H62" s="292" t="n">
        <v>15</v>
      </c>
      <c r="I62" s="292" t="n">
        <v>60</v>
      </c>
      <c r="J62" s="292" t="n">
        <v>5950</v>
      </c>
      <c r="K62" s="293" t="n">
        <v>350</v>
      </c>
      <c r="L62" s="292" t="inlineStr">
        <is>
          <t>480.00</t>
        </is>
      </c>
      <c r="M62" s="294">
        <f>IF(L62=0,0,(L62-K62)/L62)</f>
        <v/>
      </c>
      <c r="N62" s="292" t="inlineStr">
        <is>
          <t>In Stock</t>
        </is>
      </c>
      <c r="O62" s="292" t="n">
        <v>14</v>
      </c>
      <c r="P62" s="292" t="n">
        <v>10</v>
      </c>
      <c r="Q62" s="292" t="n">
        <v>29</v>
      </c>
      <c r="R62" s="292" t="n">
        <v>7</v>
      </c>
      <c r="S62" s="292" t="n">
        <v>16</v>
      </c>
      <c r="T62" s="292" t="n">
        <v>8</v>
      </c>
      <c r="U62" s="292" t="n">
        <v>22</v>
      </c>
      <c r="V62" s="292" t="n">
        <v>14</v>
      </c>
      <c r="W62" s="292" t="n">
        <v>15</v>
      </c>
      <c r="X62" s="292" t="n">
        <v>19</v>
      </c>
      <c r="Y62" s="292" t="n">
        <v>10</v>
      </c>
      <c r="Z62" s="292" t="n">
        <v>12</v>
      </c>
      <c r="AA62" s="292" t="n">
        <v>12</v>
      </c>
      <c r="AB62" s="292" t="n">
        <v>10</v>
      </c>
      <c r="AC62" s="292" t="n">
        <v>6</v>
      </c>
      <c r="AD62" s="292" t="n">
        <v>7</v>
      </c>
      <c r="AE62" s="292" t="n">
        <v>25</v>
      </c>
      <c r="AF62" s="292" t="n">
        <v>7</v>
      </c>
      <c r="AG62" s="292" t="n">
        <v>11</v>
      </c>
      <c r="AH62" s="292" t="n">
        <v>24</v>
      </c>
      <c r="AI62" s="292" t="n">
        <v>16</v>
      </c>
      <c r="AJ62" s="292" t="n">
        <v>18</v>
      </c>
      <c r="AK62" s="292" t="n">
        <v>5</v>
      </c>
      <c r="AL62" s="292" t="n">
        <v>9</v>
      </c>
      <c r="AM62" s="292" t="n">
        <v>12</v>
      </c>
      <c r="AN62" s="292" t="n">
        <v>21</v>
      </c>
      <c r="AO62" s="292" t="n">
        <v>16</v>
      </c>
      <c r="AP62" s="292" t="n">
        <v>7</v>
      </c>
      <c r="AQ62" s="292" t="n">
        <v>10</v>
      </c>
      <c r="AR62" s="292" t="n">
        <v>15</v>
      </c>
    </row>
    <row r="63" ht="14.25" customHeight="1" s="133">
      <c r="A63" s="295" t="inlineStr">
        <is>
          <t>PK-1061</t>
        </is>
      </c>
      <c r="B63" s="295" t="inlineStr">
        <is>
          <t>Rooh Afza 800ml</t>
        </is>
      </c>
      <c r="C63" s="295" t="inlineStr">
        <is>
          <t>Grocery &amp; Food Items</t>
        </is>
      </c>
      <c r="D63" s="295" t="inlineStr">
        <is>
          <t>Beverages</t>
        </is>
      </c>
      <c r="E63" s="295" t="inlineStr">
        <is>
          <t>RFAHZA</t>
        </is>
      </c>
      <c r="F63" s="295" t="inlineStr">
        <is>
          <t>Unit</t>
        </is>
      </c>
      <c r="G63" s="296" t="n">
        <v>5</v>
      </c>
      <c r="H63" s="296" t="n">
        <v>10</v>
      </c>
      <c r="I63" s="296" t="n">
        <v>40</v>
      </c>
      <c r="J63" s="296" t="n">
        <v>2400</v>
      </c>
      <c r="K63" s="297" t="n">
        <v>480</v>
      </c>
      <c r="L63" s="296" t="inlineStr">
        <is>
          <t>630.00</t>
        </is>
      </c>
      <c r="M63" s="298">
        <f>IF(L63=0,0,(L63-K63)/L63)</f>
        <v/>
      </c>
      <c r="N63" s="296" t="inlineStr">
        <is>
          <t>Low Stock</t>
        </is>
      </c>
      <c r="O63" s="296" t="n">
        <v>12</v>
      </c>
      <c r="P63" s="296" t="n">
        <v>5</v>
      </c>
      <c r="Q63" s="296" t="n">
        <v>24</v>
      </c>
      <c r="R63" s="296" t="n">
        <v>10</v>
      </c>
      <c r="S63" s="296" t="n">
        <v>8</v>
      </c>
      <c r="T63" s="296" t="n">
        <v>26</v>
      </c>
      <c r="U63" s="296" t="n">
        <v>10</v>
      </c>
      <c r="V63" s="296" t="n">
        <v>10</v>
      </c>
      <c r="W63" s="296" t="n">
        <v>8</v>
      </c>
      <c r="X63" s="296" t="n">
        <v>8</v>
      </c>
      <c r="Y63" s="296" t="n">
        <v>13</v>
      </c>
      <c r="Z63" s="296" t="n">
        <v>14</v>
      </c>
      <c r="AA63" s="296" t="n">
        <v>35</v>
      </c>
      <c r="AB63" s="296" t="n">
        <v>17</v>
      </c>
      <c r="AC63" s="296" t="n">
        <v>12</v>
      </c>
      <c r="AD63" s="296" t="n">
        <v>8</v>
      </c>
      <c r="AE63" s="296" t="n">
        <v>11</v>
      </c>
      <c r="AF63" s="296" t="n">
        <v>16</v>
      </c>
      <c r="AG63" s="296" t="n">
        <v>6</v>
      </c>
      <c r="AH63" s="296" t="n">
        <v>8</v>
      </c>
      <c r="AI63" s="296" t="n">
        <v>11</v>
      </c>
      <c r="AJ63" s="296" t="n">
        <v>13</v>
      </c>
      <c r="AK63" s="296" t="n">
        <v>12</v>
      </c>
      <c r="AL63" s="296" t="n">
        <v>13</v>
      </c>
      <c r="AM63" s="296" t="n">
        <v>6</v>
      </c>
      <c r="AN63" s="296" t="n">
        <v>15</v>
      </c>
      <c r="AO63" s="296" t="n">
        <v>16</v>
      </c>
      <c r="AP63" s="296" t="n">
        <v>14</v>
      </c>
      <c r="AQ63" s="296" t="n">
        <v>8</v>
      </c>
      <c r="AR63" s="296" t="n">
        <v>18</v>
      </c>
    </row>
    <row r="64" ht="14.25" customHeight="1" s="133">
      <c r="A64" s="291" t="inlineStr">
        <is>
          <t>PK-1062</t>
        </is>
      </c>
      <c r="B64" s="291" t="inlineStr">
        <is>
          <t>Pepsi 1.5L</t>
        </is>
      </c>
      <c r="C64" s="291" t="inlineStr">
        <is>
          <t>Grocery &amp; Food Items</t>
        </is>
      </c>
      <c r="D64" s="291" t="inlineStr">
        <is>
          <t>Beverages</t>
        </is>
      </c>
      <c r="E64" s="291" t="inlineStr">
        <is>
          <t>PEPSI15</t>
        </is>
      </c>
      <c r="F64" s="291" t="inlineStr">
        <is>
          <t>Unit</t>
        </is>
      </c>
      <c r="G64" s="292" t="n">
        <v>26</v>
      </c>
      <c r="H64" s="292" t="n">
        <v>30</v>
      </c>
      <c r="I64" s="292" t="n">
        <v>120</v>
      </c>
      <c r="J64" s="292" t="n">
        <v>3120</v>
      </c>
      <c r="K64" s="293" t="n">
        <v>120</v>
      </c>
      <c r="L64" s="292" t="inlineStr">
        <is>
          <t>165.00</t>
        </is>
      </c>
      <c r="M64" s="294">
        <f>IF(L64=0,0,(L64-K64)/L64)</f>
        <v/>
      </c>
      <c r="N64" s="292" t="inlineStr">
        <is>
          <t>Low Stock</t>
        </is>
      </c>
      <c r="O64" s="292" t="n">
        <v>15</v>
      </c>
      <c r="P64" s="292" t="n">
        <v>16</v>
      </c>
      <c r="Q64" s="292" t="n">
        <v>20</v>
      </c>
      <c r="R64" s="292" t="n">
        <v>7</v>
      </c>
      <c r="S64" s="292" t="n">
        <v>5</v>
      </c>
      <c r="T64" s="292" t="n">
        <v>12</v>
      </c>
      <c r="U64" s="292" t="n">
        <v>11</v>
      </c>
      <c r="V64" s="292" t="n">
        <v>18</v>
      </c>
      <c r="W64" s="292" t="n">
        <v>6</v>
      </c>
      <c r="X64" s="292" t="n">
        <v>10</v>
      </c>
      <c r="Y64" s="292" t="n">
        <v>21</v>
      </c>
      <c r="Z64" s="292" t="n">
        <v>23</v>
      </c>
      <c r="AA64" s="292" t="n">
        <v>16</v>
      </c>
      <c r="AB64" s="292" t="n">
        <v>34</v>
      </c>
      <c r="AC64" s="292" t="n">
        <v>13</v>
      </c>
      <c r="AD64" s="292" t="n">
        <v>13</v>
      </c>
      <c r="AE64" s="292" t="n">
        <v>12</v>
      </c>
      <c r="AF64" s="292" t="n">
        <v>10</v>
      </c>
      <c r="AG64" s="292" t="n">
        <v>7</v>
      </c>
      <c r="AH64" s="292" t="n">
        <v>34</v>
      </c>
      <c r="AI64" s="292" t="n">
        <v>2</v>
      </c>
      <c r="AJ64" s="292" t="n">
        <v>15</v>
      </c>
      <c r="AK64" s="292" t="n">
        <v>10</v>
      </c>
      <c r="AL64" s="292" t="n">
        <v>6</v>
      </c>
      <c r="AM64" s="292" t="n">
        <v>18</v>
      </c>
      <c r="AN64" s="292" t="n">
        <v>1</v>
      </c>
      <c r="AO64" s="292" t="n">
        <v>10</v>
      </c>
      <c r="AP64" s="292" t="n">
        <v>7</v>
      </c>
      <c r="AQ64" s="292" t="n">
        <v>30</v>
      </c>
      <c r="AR64" s="292" t="n">
        <v>14</v>
      </c>
    </row>
    <row r="65" ht="14.25" customHeight="1" s="133">
      <c r="A65" s="295" t="inlineStr">
        <is>
          <t>PK-1063</t>
        </is>
      </c>
      <c r="B65" s="295" t="inlineStr">
        <is>
          <t>Coca-Cola 1.5L</t>
        </is>
      </c>
      <c r="C65" s="295" t="inlineStr">
        <is>
          <t>Grocery &amp; Food Items</t>
        </is>
      </c>
      <c r="D65" s="295" t="inlineStr">
        <is>
          <t>Beverages</t>
        </is>
      </c>
      <c r="E65" s="295" t="inlineStr">
        <is>
          <t>COKE15</t>
        </is>
      </c>
      <c r="F65" s="295" t="inlineStr">
        <is>
          <t>Unit</t>
        </is>
      </c>
      <c r="G65" s="296" t="n">
        <v>121</v>
      </c>
      <c r="H65" s="296" t="n">
        <v>30</v>
      </c>
      <c r="I65" s="296" t="n">
        <v>120</v>
      </c>
      <c r="J65" s="296" t="n">
        <v>14520</v>
      </c>
      <c r="K65" s="297" t="n">
        <v>120</v>
      </c>
      <c r="L65" s="296" t="inlineStr">
        <is>
          <t>165.00</t>
        </is>
      </c>
      <c r="M65" s="298">
        <f>IF(L65=0,0,(L65-K65)/L65)</f>
        <v/>
      </c>
      <c r="N65" s="296" t="inlineStr">
        <is>
          <t>In Stock</t>
        </is>
      </c>
      <c r="O65" s="296" t="n">
        <v>9</v>
      </c>
      <c r="P65" s="296" t="n">
        <v>18</v>
      </c>
      <c r="Q65" s="296" t="n">
        <v>6</v>
      </c>
      <c r="R65" s="296" t="n">
        <v>15</v>
      </c>
      <c r="S65" s="296" t="n">
        <v>16</v>
      </c>
      <c r="T65" s="296" t="n">
        <v>18</v>
      </c>
      <c r="U65" s="296" t="n">
        <v>10</v>
      </c>
      <c r="V65" s="296" t="n">
        <v>17</v>
      </c>
      <c r="W65" s="296" t="n">
        <v>13</v>
      </c>
      <c r="X65" s="296" t="n">
        <v>14</v>
      </c>
      <c r="Y65" s="296" t="n">
        <v>8</v>
      </c>
      <c r="Z65" s="296" t="n">
        <v>15</v>
      </c>
      <c r="AA65" s="296" t="n">
        <v>16</v>
      </c>
      <c r="AB65" s="296" t="n">
        <v>9</v>
      </c>
      <c r="AC65" s="296" t="n">
        <v>10</v>
      </c>
      <c r="AD65" s="296" t="n">
        <v>4</v>
      </c>
      <c r="AE65" s="296" t="n">
        <v>6</v>
      </c>
      <c r="AF65" s="296" t="n">
        <v>18</v>
      </c>
      <c r="AG65" s="296" t="n">
        <v>22</v>
      </c>
      <c r="AH65" s="296" t="n">
        <v>35</v>
      </c>
      <c r="AI65" s="296" t="n">
        <v>13</v>
      </c>
      <c r="AJ65" s="296" t="n">
        <v>12</v>
      </c>
      <c r="AK65" s="296" t="n">
        <v>9</v>
      </c>
      <c r="AL65" s="296" t="n">
        <v>7</v>
      </c>
      <c r="AM65" s="296" t="n">
        <v>13</v>
      </c>
      <c r="AN65" s="296" t="n">
        <v>10</v>
      </c>
      <c r="AO65" s="296" t="n">
        <v>27</v>
      </c>
      <c r="AP65" s="296" t="n">
        <v>11</v>
      </c>
      <c r="AQ65" s="296" t="n">
        <v>9</v>
      </c>
      <c r="AR65" s="296" t="n">
        <v>17</v>
      </c>
    </row>
    <row r="66" ht="14.25" customHeight="1" s="133">
      <c r="A66" s="291" t="inlineStr">
        <is>
          <t>PK-1064</t>
        </is>
      </c>
      <c r="B66" s="291" t="inlineStr">
        <is>
          <t>Minute Maid 1L</t>
        </is>
      </c>
      <c r="C66" s="291" t="inlineStr">
        <is>
          <t>Grocery &amp; Food Items</t>
        </is>
      </c>
      <c r="D66" s="291" t="inlineStr">
        <is>
          <t>Beverages</t>
        </is>
      </c>
      <c r="E66" s="291" t="inlineStr">
        <is>
          <t>MNJCE1L</t>
        </is>
      </c>
      <c r="F66" s="291" t="inlineStr">
        <is>
          <t>Unit</t>
        </is>
      </c>
      <c r="G66" s="292" t="n">
        <v>124</v>
      </c>
      <c r="H66" s="292" t="n">
        <v>20</v>
      </c>
      <c r="I66" s="292" t="n">
        <v>80</v>
      </c>
      <c r="J66" s="292" t="n">
        <v>18600</v>
      </c>
      <c r="K66" s="293" t="n">
        <v>150</v>
      </c>
      <c r="L66" s="292" t="inlineStr">
        <is>
          <t>210.00</t>
        </is>
      </c>
      <c r="M66" s="294">
        <f>IF(L66=0,0,(L66-K66)/L66)</f>
        <v/>
      </c>
      <c r="N66" s="292" t="inlineStr">
        <is>
          <t>In Stock</t>
        </is>
      </c>
      <c r="O66" s="292" t="n">
        <v>11</v>
      </c>
      <c r="P66" s="292" t="n">
        <v>20</v>
      </c>
      <c r="Q66" s="292" t="n">
        <v>19</v>
      </c>
      <c r="R66" s="292" t="n">
        <v>10</v>
      </c>
      <c r="S66" s="292" t="n">
        <v>21</v>
      </c>
      <c r="T66" s="292" t="n">
        <v>20</v>
      </c>
      <c r="U66" s="292" t="n">
        <v>14</v>
      </c>
      <c r="V66" s="292" t="n">
        <v>18</v>
      </c>
      <c r="W66" s="292" t="n">
        <v>17</v>
      </c>
      <c r="X66" s="292" t="n">
        <v>15</v>
      </c>
      <c r="Y66" s="292" t="n">
        <v>19</v>
      </c>
      <c r="Z66" s="292" t="n">
        <v>24</v>
      </c>
      <c r="AA66" s="292" t="n">
        <v>20</v>
      </c>
      <c r="AB66" s="292" t="n">
        <v>25</v>
      </c>
      <c r="AC66" s="292" t="n">
        <v>18</v>
      </c>
      <c r="AD66" s="292" t="n">
        <v>18</v>
      </c>
      <c r="AE66" s="292" t="n">
        <v>11</v>
      </c>
      <c r="AF66" s="292" t="n">
        <v>5</v>
      </c>
      <c r="AG66" s="292" t="n">
        <v>19</v>
      </c>
      <c r="AH66" s="292" t="n">
        <v>7</v>
      </c>
      <c r="AI66" s="292" t="n">
        <v>11</v>
      </c>
      <c r="AJ66" s="292" t="n">
        <v>14</v>
      </c>
      <c r="AK66" s="292" t="n">
        <v>9</v>
      </c>
      <c r="AL66" s="292" t="n">
        <v>9</v>
      </c>
      <c r="AM66" s="292" t="n">
        <v>9</v>
      </c>
      <c r="AN66" s="292" t="n">
        <v>9</v>
      </c>
      <c r="AO66" s="292" t="n">
        <v>12</v>
      </c>
      <c r="AP66" s="292" t="n">
        <v>10</v>
      </c>
      <c r="AQ66" s="292" t="n">
        <v>6</v>
      </c>
      <c r="AR66" s="292" t="n">
        <v>11</v>
      </c>
    </row>
    <row r="67" ht="14.25" customHeight="1" s="133">
      <c r="A67" s="295" t="inlineStr">
        <is>
          <t>PK-1065</t>
        </is>
      </c>
      <c r="B67" s="295" t="inlineStr">
        <is>
          <t>Olper Milk 1L</t>
        </is>
      </c>
      <c r="C67" s="295" t="inlineStr">
        <is>
          <t>Grocery &amp; Food Items</t>
        </is>
      </c>
      <c r="D67" s="295" t="inlineStr">
        <is>
          <t>Beverages</t>
        </is>
      </c>
      <c r="E67" s="295" t="inlineStr">
        <is>
          <t>OLPRMK</t>
        </is>
      </c>
      <c r="F67" s="295" t="inlineStr">
        <is>
          <t>Unit</t>
        </is>
      </c>
      <c r="G67" s="296" t="n">
        <v>66</v>
      </c>
      <c r="H67" s="296" t="n">
        <v>40</v>
      </c>
      <c r="I67" s="296" t="n">
        <v>200</v>
      </c>
      <c r="J67" s="296" t="n">
        <v>11880</v>
      </c>
      <c r="K67" s="297" t="n">
        <v>180</v>
      </c>
      <c r="L67" s="296" t="inlineStr">
        <is>
          <t>240.00</t>
        </is>
      </c>
      <c r="M67" s="298">
        <f>IF(L67=0,0,(L67-K67)/L67)</f>
        <v/>
      </c>
      <c r="N67" s="296" t="inlineStr">
        <is>
          <t>In Stock</t>
        </is>
      </c>
      <c r="O67" s="296" t="n">
        <v>11</v>
      </c>
      <c r="P67" s="296" t="n">
        <v>11</v>
      </c>
      <c r="Q67" s="296" t="n">
        <v>28</v>
      </c>
      <c r="R67" s="296" t="n">
        <v>12</v>
      </c>
      <c r="S67" s="296" t="n">
        <v>12</v>
      </c>
      <c r="T67" s="296" t="n">
        <v>19</v>
      </c>
      <c r="U67" s="296" t="n">
        <v>14</v>
      </c>
      <c r="V67" s="296" t="n">
        <v>11</v>
      </c>
      <c r="W67" s="296" t="n">
        <v>16</v>
      </c>
      <c r="X67" s="296" t="n">
        <v>11</v>
      </c>
      <c r="Y67" s="296" t="n">
        <v>13</v>
      </c>
      <c r="Z67" s="296" t="n">
        <v>12</v>
      </c>
      <c r="AA67" s="296" t="n">
        <v>13</v>
      </c>
      <c r="AB67" s="296" t="n">
        <v>14</v>
      </c>
      <c r="AC67" s="296" t="n">
        <v>19</v>
      </c>
      <c r="AD67" s="296" t="n">
        <v>10</v>
      </c>
      <c r="AE67" s="296" t="n">
        <v>11</v>
      </c>
      <c r="AF67" s="296" t="n">
        <v>10</v>
      </c>
      <c r="AG67" s="296" t="n">
        <v>21</v>
      </c>
      <c r="AH67" s="296" t="n">
        <v>23</v>
      </c>
      <c r="AI67" s="296" t="n">
        <v>18</v>
      </c>
      <c r="AJ67" s="296" t="n">
        <v>10</v>
      </c>
      <c r="AK67" s="296" t="n">
        <v>7</v>
      </c>
      <c r="AL67" s="296" t="n">
        <v>10</v>
      </c>
      <c r="AM67" s="296" t="n">
        <v>12</v>
      </c>
      <c r="AN67" s="296" t="n">
        <v>17</v>
      </c>
      <c r="AO67" s="296" t="n">
        <v>22</v>
      </c>
      <c r="AP67" s="296" t="n">
        <v>8</v>
      </c>
      <c r="AQ67" s="296" t="n">
        <v>27</v>
      </c>
      <c r="AR67" s="296" t="n">
        <v>3</v>
      </c>
    </row>
    <row r="68" ht="14.25" customHeight="1" s="133">
      <c r="A68" s="291" t="inlineStr">
        <is>
          <t>PK-1066</t>
        </is>
      </c>
      <c r="B68" s="291" t="inlineStr">
        <is>
          <t>Nurpur Butter 200g</t>
        </is>
      </c>
      <c r="C68" s="291" t="inlineStr">
        <is>
          <t>Grocery &amp; Food Items</t>
        </is>
      </c>
      <c r="D68" s="291" t="inlineStr">
        <is>
          <t>Beverages</t>
        </is>
      </c>
      <c r="E68" s="291" t="inlineStr">
        <is>
          <t>NURBT200</t>
        </is>
      </c>
      <c r="F68" s="291" t="inlineStr">
        <is>
          <t>Unit</t>
        </is>
      </c>
      <c r="G68" s="292" t="n">
        <v>122</v>
      </c>
      <c r="H68" s="292" t="n">
        <v>20</v>
      </c>
      <c r="I68" s="292" t="n">
        <v>80</v>
      </c>
      <c r="J68" s="292" t="n">
        <v>30500</v>
      </c>
      <c r="K68" s="293" t="n">
        <v>250</v>
      </c>
      <c r="L68" s="292" t="inlineStr">
        <is>
          <t>340.00</t>
        </is>
      </c>
      <c r="M68" s="294">
        <f>IF(L68=0,0,(L68-K68)/L68)</f>
        <v/>
      </c>
      <c r="N68" s="292" t="inlineStr">
        <is>
          <t>In Stock</t>
        </is>
      </c>
      <c r="O68" s="292" t="n">
        <v>16</v>
      </c>
      <c r="P68" s="292" t="n">
        <v>17</v>
      </c>
      <c r="Q68" s="292" t="n">
        <v>12</v>
      </c>
      <c r="R68" s="292" t="n">
        <v>12</v>
      </c>
      <c r="S68" s="292" t="n">
        <v>16</v>
      </c>
      <c r="T68" s="292" t="n">
        <v>29</v>
      </c>
      <c r="U68" s="292" t="n">
        <v>12</v>
      </c>
      <c r="V68" s="292" t="n">
        <v>26</v>
      </c>
      <c r="W68" s="292" t="n">
        <v>25</v>
      </c>
      <c r="X68" s="292" t="n">
        <v>11</v>
      </c>
      <c r="Y68" s="292" t="n">
        <v>12</v>
      </c>
      <c r="Z68" s="292" t="n">
        <v>4</v>
      </c>
      <c r="AA68" s="292" t="n">
        <v>18</v>
      </c>
      <c r="AB68" s="292" t="n">
        <v>14</v>
      </c>
      <c r="AC68" s="292" t="n">
        <v>17</v>
      </c>
      <c r="AD68" s="292" t="n">
        <v>8</v>
      </c>
      <c r="AE68" s="292" t="n">
        <v>15</v>
      </c>
      <c r="AF68" s="292" t="n">
        <v>16</v>
      </c>
      <c r="AG68" s="292" t="n">
        <v>14</v>
      </c>
      <c r="AH68" s="292" t="n">
        <v>24</v>
      </c>
      <c r="AI68" s="292" t="n">
        <v>10</v>
      </c>
      <c r="AJ68" s="292" t="n">
        <v>20</v>
      </c>
      <c r="AK68" s="292" t="n">
        <v>4</v>
      </c>
      <c r="AL68" s="292" t="n">
        <v>17</v>
      </c>
      <c r="AM68" s="292" t="n">
        <v>7</v>
      </c>
      <c r="AN68" s="292" t="n">
        <v>11</v>
      </c>
      <c r="AO68" s="292" t="n">
        <v>8</v>
      </c>
      <c r="AP68" s="292" t="n">
        <v>19</v>
      </c>
      <c r="AQ68" s="292" t="n">
        <v>17</v>
      </c>
      <c r="AR68" s="292" t="n">
        <v>12</v>
      </c>
    </row>
    <row r="69" ht="14.25" customHeight="1" s="133">
      <c r="A69" s="295" t="inlineStr">
        <is>
          <t>PK-1067</t>
        </is>
      </c>
      <c r="B69" s="295" t="inlineStr">
        <is>
          <t>Olpers Full Cream Milk 1L</t>
        </is>
      </c>
      <c r="C69" s="295" t="inlineStr">
        <is>
          <t>Grocery &amp; Food Items</t>
        </is>
      </c>
      <c r="D69" s="295" t="inlineStr">
        <is>
          <t>Dairy &amp; Frozen</t>
        </is>
      </c>
      <c r="E69" s="295" t="inlineStr">
        <is>
          <t>OLFCM</t>
        </is>
      </c>
      <c r="F69" s="295" t="inlineStr">
        <is>
          <t>Unit</t>
        </is>
      </c>
      <c r="G69" s="296" t="n">
        <v>64</v>
      </c>
      <c r="H69" s="296" t="n">
        <v>40</v>
      </c>
      <c r="I69" s="296" t="n">
        <v>200</v>
      </c>
      <c r="J69" s="296" t="n">
        <v>11840</v>
      </c>
      <c r="K69" s="297" t="n">
        <v>185</v>
      </c>
      <c r="L69" s="296" t="inlineStr">
        <is>
          <t>245.00</t>
        </is>
      </c>
      <c r="M69" s="298">
        <f>IF(L69=0,0,(L69-K69)/L69)</f>
        <v/>
      </c>
      <c r="N69" s="296" t="inlineStr">
        <is>
          <t>In Stock</t>
        </is>
      </c>
      <c r="O69" s="296" t="n">
        <v>8</v>
      </c>
      <c r="P69" s="296" t="n">
        <v>10</v>
      </c>
      <c r="Q69" s="296" t="n">
        <v>12</v>
      </c>
      <c r="R69" s="296" t="n">
        <v>12</v>
      </c>
      <c r="S69" s="296" t="n">
        <v>13</v>
      </c>
      <c r="T69" s="296" t="n">
        <v>14</v>
      </c>
      <c r="U69" s="296" t="n">
        <v>7</v>
      </c>
      <c r="V69" s="296" t="n">
        <v>9</v>
      </c>
      <c r="W69" s="296" t="n">
        <v>1</v>
      </c>
      <c r="X69" s="296" t="n">
        <v>13</v>
      </c>
      <c r="Y69" s="296" t="n">
        <v>6</v>
      </c>
      <c r="Z69" s="296" t="n">
        <v>15</v>
      </c>
      <c r="AA69" s="296" t="n">
        <v>19</v>
      </c>
      <c r="AB69" s="296" t="n">
        <v>12</v>
      </c>
      <c r="AC69" s="296" t="n">
        <v>16</v>
      </c>
      <c r="AD69" s="296" t="n">
        <v>13</v>
      </c>
      <c r="AE69" s="296" t="n">
        <v>13</v>
      </c>
      <c r="AF69" s="296" t="n">
        <v>13</v>
      </c>
      <c r="AG69" s="296" t="n">
        <v>14</v>
      </c>
      <c r="AH69" s="296" t="n">
        <v>20</v>
      </c>
      <c r="AI69" s="296" t="n">
        <v>13</v>
      </c>
      <c r="AJ69" s="296" t="n">
        <v>15</v>
      </c>
      <c r="AK69" s="296" t="n">
        <v>12</v>
      </c>
      <c r="AL69" s="296" t="n">
        <v>15</v>
      </c>
      <c r="AM69" s="296" t="n">
        <v>13</v>
      </c>
      <c r="AN69" s="296" t="n">
        <v>17</v>
      </c>
      <c r="AO69" s="296" t="n">
        <v>19</v>
      </c>
      <c r="AP69" s="296" t="n">
        <v>13</v>
      </c>
      <c r="AQ69" s="296" t="n">
        <v>13</v>
      </c>
      <c r="AR69" s="296" t="n">
        <v>19</v>
      </c>
    </row>
    <row r="70" ht="14.25" customHeight="1" s="133">
      <c r="A70" s="291" t="inlineStr">
        <is>
          <t>PK-1068</t>
        </is>
      </c>
      <c r="B70" s="291" t="inlineStr">
        <is>
          <t>Nestle Everyday Milk Powder 1kg</t>
        </is>
      </c>
      <c r="C70" s="291" t="inlineStr">
        <is>
          <t>Grocery &amp; Food Items</t>
        </is>
      </c>
      <c r="D70" s="291" t="inlineStr">
        <is>
          <t>Dairy &amp; Frozen</t>
        </is>
      </c>
      <c r="E70" s="291" t="inlineStr">
        <is>
          <t>NESEDAY</t>
        </is>
      </c>
      <c r="F70" s="291" t="inlineStr">
        <is>
          <t>Unit</t>
        </is>
      </c>
      <c r="G70" s="292" t="n">
        <v>148</v>
      </c>
      <c r="H70" s="292" t="n">
        <v>10</v>
      </c>
      <c r="I70" s="292" t="n">
        <v>40</v>
      </c>
      <c r="J70" s="292" t="n">
        <v>177600</v>
      </c>
      <c r="K70" s="293" t="n">
        <v>1200</v>
      </c>
      <c r="L70" s="292" t="inlineStr">
        <is>
          <t>1,550.00</t>
        </is>
      </c>
      <c r="M70" s="294">
        <f>IF(L70=0,0,(L70-K70)/L70)</f>
        <v/>
      </c>
      <c r="N70" s="292" t="inlineStr">
        <is>
          <t>In Stock</t>
        </is>
      </c>
      <c r="O70" s="292" t="n">
        <v>11</v>
      </c>
      <c r="P70" s="292" t="n">
        <v>20</v>
      </c>
      <c r="Q70" s="292" t="n">
        <v>17</v>
      </c>
      <c r="R70" s="292" t="n">
        <v>17</v>
      </c>
      <c r="S70" s="292" t="n">
        <v>8</v>
      </c>
      <c r="T70" s="292" t="n">
        <v>19</v>
      </c>
      <c r="U70" s="292" t="n">
        <v>11</v>
      </c>
      <c r="V70" s="292" t="n">
        <v>13</v>
      </c>
      <c r="W70" s="292" t="n">
        <v>8</v>
      </c>
      <c r="X70" s="292" t="n">
        <v>18</v>
      </c>
      <c r="Y70" s="292" t="n">
        <v>7</v>
      </c>
      <c r="Z70" s="292" t="n">
        <v>3</v>
      </c>
      <c r="AA70" s="292" t="n">
        <v>15</v>
      </c>
      <c r="AB70" s="292" t="n">
        <v>14</v>
      </c>
      <c r="AC70" s="292" t="n">
        <v>5</v>
      </c>
      <c r="AD70" s="292" t="n">
        <v>11</v>
      </c>
      <c r="AE70" s="292" t="n">
        <v>3</v>
      </c>
      <c r="AF70" s="292" t="n">
        <v>12</v>
      </c>
      <c r="AG70" s="292" t="n">
        <v>21</v>
      </c>
      <c r="AH70" s="292" t="n">
        <v>11</v>
      </c>
      <c r="AI70" s="292" t="n">
        <v>9</v>
      </c>
      <c r="AJ70" s="292" t="n">
        <v>12</v>
      </c>
      <c r="AK70" s="292" t="n">
        <v>9</v>
      </c>
      <c r="AL70" s="292" t="n">
        <v>4</v>
      </c>
      <c r="AM70" s="292" t="n">
        <v>11</v>
      </c>
      <c r="AN70" s="292" t="n">
        <v>8</v>
      </c>
      <c r="AO70" s="292" t="n">
        <v>13</v>
      </c>
      <c r="AP70" s="292" t="n">
        <v>8</v>
      </c>
      <c r="AQ70" s="292" t="n">
        <v>14</v>
      </c>
      <c r="AR70" s="292" t="n">
        <v>15</v>
      </c>
    </row>
    <row r="71" ht="14.25" customHeight="1" s="133">
      <c r="A71" s="295" t="inlineStr">
        <is>
          <t>PK-1069</t>
        </is>
      </c>
      <c r="B71" s="295" t="inlineStr">
        <is>
          <t>Haleeb Milk 1L</t>
        </is>
      </c>
      <c r="C71" s="295" t="inlineStr">
        <is>
          <t>Grocery &amp; Food Items</t>
        </is>
      </c>
      <c r="D71" s="295" t="inlineStr">
        <is>
          <t>Dairy &amp; Frozen</t>
        </is>
      </c>
      <c r="E71" s="295" t="inlineStr">
        <is>
          <t>HLBMK</t>
        </is>
      </c>
      <c r="F71" s="295" t="inlineStr">
        <is>
          <t>Unit</t>
        </is>
      </c>
      <c r="G71" s="296" t="n">
        <v>65</v>
      </c>
      <c r="H71" s="296" t="n">
        <v>40</v>
      </c>
      <c r="I71" s="296" t="n">
        <v>200</v>
      </c>
      <c r="J71" s="296" t="n">
        <v>11700</v>
      </c>
      <c r="K71" s="297" t="n">
        <v>180</v>
      </c>
      <c r="L71" s="296" t="inlineStr">
        <is>
          <t>240.00</t>
        </is>
      </c>
      <c r="M71" s="298">
        <f>IF(L71=0,0,(L71-K71)/L71)</f>
        <v/>
      </c>
      <c r="N71" s="296" t="inlineStr">
        <is>
          <t>In Stock</t>
        </is>
      </c>
      <c r="O71" s="296" t="n">
        <v>14</v>
      </c>
      <c r="P71" s="296" t="n">
        <v>12</v>
      </c>
      <c r="Q71" s="296" t="n">
        <v>2</v>
      </c>
      <c r="R71" s="296" t="n">
        <v>17</v>
      </c>
      <c r="S71" s="296" t="n">
        <v>7</v>
      </c>
      <c r="T71" s="296" t="n">
        <v>18</v>
      </c>
      <c r="U71" s="296" t="n">
        <v>6</v>
      </c>
      <c r="V71" s="296" t="n">
        <v>10</v>
      </c>
      <c r="W71" s="296" t="n">
        <v>9</v>
      </c>
      <c r="X71" s="296" t="n">
        <v>10</v>
      </c>
      <c r="Y71" s="296" t="n">
        <v>14</v>
      </c>
      <c r="Z71" s="296" t="n">
        <v>17</v>
      </c>
      <c r="AA71" s="296" t="n">
        <v>20</v>
      </c>
      <c r="AB71" s="296" t="n">
        <v>12</v>
      </c>
      <c r="AC71" s="296" t="n">
        <v>12</v>
      </c>
      <c r="AD71" s="296" t="n">
        <v>6</v>
      </c>
      <c r="AE71" s="296" t="n">
        <v>5</v>
      </c>
      <c r="AF71" s="296" t="n">
        <v>6</v>
      </c>
      <c r="AG71" s="296" t="n">
        <v>6</v>
      </c>
      <c r="AH71" s="296" t="n">
        <v>35</v>
      </c>
      <c r="AI71" s="296" t="n">
        <v>10</v>
      </c>
      <c r="AJ71" s="296" t="n">
        <v>6</v>
      </c>
      <c r="AK71" s="296" t="n">
        <v>8</v>
      </c>
      <c r="AL71" s="296" t="n">
        <v>11</v>
      </c>
      <c r="AM71" s="296" t="n">
        <v>18</v>
      </c>
      <c r="AN71" s="296" t="n">
        <v>8</v>
      </c>
      <c r="AO71" s="296" t="n">
        <v>10</v>
      </c>
      <c r="AP71" s="296" t="n">
        <v>11</v>
      </c>
      <c r="AQ71" s="296" t="n">
        <v>10</v>
      </c>
      <c r="AR71" s="296" t="n">
        <v>13</v>
      </c>
    </row>
    <row r="72" ht="14.25" customHeight="1" s="133">
      <c r="A72" s="291" t="inlineStr">
        <is>
          <t>PK-1070</t>
        </is>
      </c>
      <c r="B72" s="291" t="inlineStr">
        <is>
          <t>Sapphire Yogurt 1kg</t>
        </is>
      </c>
      <c r="C72" s="291" t="inlineStr">
        <is>
          <t>Grocery &amp; Food Items</t>
        </is>
      </c>
      <c r="D72" s="291" t="inlineStr">
        <is>
          <t>Dairy &amp; Frozen</t>
        </is>
      </c>
      <c r="E72" s="291" t="inlineStr">
        <is>
          <t>SAPPYG</t>
        </is>
      </c>
      <c r="F72" s="291" t="inlineStr">
        <is>
          <t>Unit</t>
        </is>
      </c>
      <c r="G72" s="292" t="n">
        <v>43</v>
      </c>
      <c r="H72" s="292" t="n">
        <v>20</v>
      </c>
      <c r="I72" s="292" t="n">
        <v>80</v>
      </c>
      <c r="J72" s="292" t="n">
        <v>12040</v>
      </c>
      <c r="K72" s="293" t="n">
        <v>280</v>
      </c>
      <c r="L72" s="292" t="inlineStr">
        <is>
          <t>380.00</t>
        </is>
      </c>
      <c r="M72" s="294">
        <f>IF(L72=0,0,(L72-K72)/L72)</f>
        <v/>
      </c>
      <c r="N72" s="292" t="inlineStr">
        <is>
          <t>In Stock</t>
        </is>
      </c>
      <c r="O72" s="292" t="n">
        <v>13</v>
      </c>
      <c r="P72" s="292" t="n">
        <v>10</v>
      </c>
      <c r="Q72" s="292" t="n">
        <v>18</v>
      </c>
      <c r="R72" s="292" t="n">
        <v>6</v>
      </c>
      <c r="S72" s="292" t="n">
        <v>10</v>
      </c>
      <c r="T72" s="292" t="n">
        <v>12</v>
      </c>
      <c r="U72" s="292" t="n">
        <v>6</v>
      </c>
      <c r="V72" s="292" t="n">
        <v>16</v>
      </c>
      <c r="W72" s="292" t="n">
        <v>9</v>
      </c>
      <c r="X72" s="292" t="n">
        <v>11</v>
      </c>
      <c r="Y72" s="292" t="n">
        <v>7</v>
      </c>
      <c r="Z72" s="292" t="n">
        <v>15</v>
      </c>
      <c r="AA72" s="292" t="n">
        <v>19</v>
      </c>
      <c r="AB72" s="292" t="n">
        <v>11</v>
      </c>
      <c r="AC72" s="292" t="n">
        <v>9</v>
      </c>
      <c r="AD72" s="292" t="n">
        <v>9</v>
      </c>
      <c r="AE72" s="292" t="n">
        <v>11</v>
      </c>
      <c r="AF72" s="292" t="n">
        <v>14</v>
      </c>
      <c r="AG72" s="292" t="n">
        <v>13</v>
      </c>
      <c r="AH72" s="292" t="n">
        <v>14</v>
      </c>
      <c r="AI72" s="292" t="n">
        <v>17</v>
      </c>
      <c r="AJ72" s="292" t="n">
        <v>31</v>
      </c>
      <c r="AK72" s="292" t="n">
        <v>13</v>
      </c>
      <c r="AL72" s="292" t="n">
        <v>9</v>
      </c>
      <c r="AM72" s="292" t="n">
        <v>13</v>
      </c>
      <c r="AN72" s="292" t="n">
        <v>15</v>
      </c>
      <c r="AO72" s="292" t="n">
        <v>21</v>
      </c>
      <c r="AP72" s="292" t="n">
        <v>17</v>
      </c>
      <c r="AQ72" s="292" t="n">
        <v>4</v>
      </c>
      <c r="AR72" s="292" t="n">
        <v>9</v>
      </c>
    </row>
    <row r="73" ht="14.25" customHeight="1" s="133">
      <c r="A73" s="295" t="inlineStr">
        <is>
          <t>PK-1071</t>
        </is>
      </c>
      <c r="B73" s="295" t="inlineStr">
        <is>
          <t>Yummy Cheddar Slice 200g</t>
        </is>
      </c>
      <c r="C73" s="295" t="inlineStr">
        <is>
          <t>Grocery &amp; Food Items</t>
        </is>
      </c>
      <c r="D73" s="295" t="inlineStr">
        <is>
          <t>Dairy &amp; Frozen</t>
        </is>
      </c>
      <c r="E73" s="295" t="inlineStr">
        <is>
          <t>YUMCHD</t>
        </is>
      </c>
      <c r="F73" s="295" t="inlineStr">
        <is>
          <t>Unit</t>
        </is>
      </c>
      <c r="G73" s="296" t="n">
        <v>47</v>
      </c>
      <c r="H73" s="296" t="n">
        <v>15</v>
      </c>
      <c r="I73" s="296" t="n">
        <v>60</v>
      </c>
      <c r="J73" s="296" t="n">
        <v>16450</v>
      </c>
      <c r="K73" s="297" t="n">
        <v>350</v>
      </c>
      <c r="L73" s="296" t="inlineStr">
        <is>
          <t>480.00</t>
        </is>
      </c>
      <c r="M73" s="298">
        <f>IF(L73=0,0,(L73-K73)/L73)</f>
        <v/>
      </c>
      <c r="N73" s="296" t="inlineStr">
        <is>
          <t>In Stock</t>
        </is>
      </c>
      <c r="O73" s="296" t="n">
        <v>13</v>
      </c>
      <c r="P73" s="296" t="n">
        <v>14</v>
      </c>
      <c r="Q73" s="296" t="n">
        <v>13</v>
      </c>
      <c r="R73" s="296" t="n">
        <v>11</v>
      </c>
      <c r="S73" s="296" t="n">
        <v>14</v>
      </c>
      <c r="T73" s="296" t="n">
        <v>9</v>
      </c>
      <c r="U73" s="296" t="n">
        <v>6</v>
      </c>
      <c r="V73" s="296" t="n">
        <v>15</v>
      </c>
      <c r="W73" s="296" t="n">
        <v>13</v>
      </c>
      <c r="X73" s="296" t="n">
        <v>7</v>
      </c>
      <c r="Y73" s="296" t="n">
        <v>13</v>
      </c>
      <c r="Z73" s="296" t="n">
        <v>20</v>
      </c>
      <c r="AA73" s="296" t="n">
        <v>15</v>
      </c>
      <c r="AB73" s="296" t="n">
        <v>10</v>
      </c>
      <c r="AC73" s="296" t="n">
        <v>13</v>
      </c>
      <c r="AD73" s="296" t="n">
        <v>25</v>
      </c>
      <c r="AE73" s="296" t="n">
        <v>1</v>
      </c>
      <c r="AF73" s="296" t="n">
        <v>34</v>
      </c>
      <c r="AG73" s="296" t="n">
        <v>7</v>
      </c>
      <c r="AH73" s="296" t="n">
        <v>20</v>
      </c>
      <c r="AI73" s="296" t="n">
        <v>9</v>
      </c>
      <c r="AJ73" s="296" t="n">
        <v>18</v>
      </c>
      <c r="AK73" s="296" t="n">
        <v>8</v>
      </c>
      <c r="AL73" s="296" t="n">
        <v>6</v>
      </c>
      <c r="AM73" s="296" t="n">
        <v>13</v>
      </c>
      <c r="AN73" s="296" t="n">
        <v>12</v>
      </c>
      <c r="AO73" s="296" t="n">
        <v>15</v>
      </c>
      <c r="AP73" s="296" t="n">
        <v>14</v>
      </c>
      <c r="AQ73" s="296" t="n">
        <v>9</v>
      </c>
      <c r="AR73" s="296" t="n">
        <v>8</v>
      </c>
    </row>
    <row r="74" ht="14.25" customHeight="1" s="133">
      <c r="A74" s="291" t="inlineStr">
        <is>
          <t>PK-1072</t>
        </is>
      </c>
      <c r="B74" s="291" t="inlineStr">
        <is>
          <t>K&amp;N's Chicken Nuggets 500g</t>
        </is>
      </c>
      <c r="C74" s="291" t="inlineStr">
        <is>
          <t>Grocery &amp; Food Items</t>
        </is>
      </c>
      <c r="D74" s="291" t="inlineStr">
        <is>
          <t>Dairy &amp; Frozen</t>
        </is>
      </c>
      <c r="E74" s="291" t="inlineStr">
        <is>
          <t>KNCNG500</t>
        </is>
      </c>
      <c r="F74" s="291" t="inlineStr">
        <is>
          <t>Unit</t>
        </is>
      </c>
      <c r="G74" s="292" t="n">
        <v>47</v>
      </c>
      <c r="H74" s="292" t="n">
        <v>15</v>
      </c>
      <c r="I74" s="292" t="n">
        <v>60</v>
      </c>
      <c r="J74" s="292" t="n">
        <v>31960</v>
      </c>
      <c r="K74" s="293" t="n">
        <v>680</v>
      </c>
      <c r="L74" s="292" t="inlineStr">
        <is>
          <t>900.00</t>
        </is>
      </c>
      <c r="M74" s="294">
        <f>IF(L74=0,0,(L74-K74)/L74)</f>
        <v/>
      </c>
      <c r="N74" s="292" t="inlineStr">
        <is>
          <t>In Stock</t>
        </is>
      </c>
      <c r="O74" s="292" t="n">
        <v>10</v>
      </c>
      <c r="P74" s="292" t="n">
        <v>12</v>
      </c>
      <c r="Q74" s="292" t="n">
        <v>14</v>
      </c>
      <c r="R74" s="292" t="n">
        <v>6</v>
      </c>
      <c r="S74" s="292" t="n">
        <v>12</v>
      </c>
      <c r="T74" s="292" t="n">
        <v>19</v>
      </c>
      <c r="U74" s="292" t="n">
        <v>15</v>
      </c>
      <c r="V74" s="292" t="n">
        <v>20</v>
      </c>
      <c r="W74" s="292" t="n">
        <v>20</v>
      </c>
      <c r="X74" s="292" t="n">
        <v>13</v>
      </c>
      <c r="Y74" s="292" t="n">
        <v>3</v>
      </c>
      <c r="Z74" s="292" t="n">
        <v>10</v>
      </c>
      <c r="AA74" s="292" t="n">
        <v>16</v>
      </c>
      <c r="AB74" s="292" t="n">
        <v>9</v>
      </c>
      <c r="AC74" s="292" t="n">
        <v>1</v>
      </c>
      <c r="AD74" s="292" t="n">
        <v>14</v>
      </c>
      <c r="AE74" s="292" t="n">
        <v>8</v>
      </c>
      <c r="AF74" s="292" t="n">
        <v>13</v>
      </c>
      <c r="AG74" s="292" t="n">
        <v>6</v>
      </c>
      <c r="AH74" s="292" t="n">
        <v>15</v>
      </c>
      <c r="AI74" s="292" t="n">
        <v>6</v>
      </c>
      <c r="AJ74" s="292" t="n">
        <v>13</v>
      </c>
      <c r="AK74" s="292" t="n">
        <v>12</v>
      </c>
      <c r="AL74" s="292" t="n">
        <v>9</v>
      </c>
      <c r="AM74" s="292" t="n">
        <v>9</v>
      </c>
      <c r="AN74" s="292" t="n">
        <v>16</v>
      </c>
      <c r="AO74" s="292" t="n">
        <v>9</v>
      </c>
      <c r="AP74" s="292" t="n">
        <v>14</v>
      </c>
      <c r="AQ74" s="292" t="n">
        <v>4</v>
      </c>
      <c r="AR74" s="292" t="n">
        <v>12</v>
      </c>
    </row>
    <row r="75" ht="14.25" customHeight="1" s="133">
      <c r="A75" s="295" t="inlineStr">
        <is>
          <t>PK-1073</t>
        </is>
      </c>
      <c r="B75" s="295" t="inlineStr">
        <is>
          <t>K&amp;N's Chicken Strips 400g</t>
        </is>
      </c>
      <c r="C75" s="295" t="inlineStr">
        <is>
          <t>Grocery &amp; Food Items</t>
        </is>
      </c>
      <c r="D75" s="295" t="inlineStr">
        <is>
          <t>Dairy &amp; Frozen</t>
        </is>
      </c>
      <c r="E75" s="295" t="inlineStr">
        <is>
          <t>KNCST400</t>
        </is>
      </c>
      <c r="F75" s="295" t="inlineStr">
        <is>
          <t>Unit</t>
        </is>
      </c>
      <c r="G75" s="296" t="n">
        <v>131</v>
      </c>
      <c r="H75" s="296" t="n">
        <v>15</v>
      </c>
      <c r="I75" s="296" t="n">
        <v>60</v>
      </c>
      <c r="J75" s="296" t="n">
        <v>98250</v>
      </c>
      <c r="K75" s="297" t="n">
        <v>750</v>
      </c>
      <c r="L75" s="296" t="inlineStr">
        <is>
          <t>980.00</t>
        </is>
      </c>
      <c r="M75" s="298">
        <f>IF(L75=0,0,(L75-K75)/L75)</f>
        <v/>
      </c>
      <c r="N75" s="296" t="inlineStr">
        <is>
          <t>In Stock</t>
        </is>
      </c>
      <c r="O75" s="296" t="n">
        <v>9</v>
      </c>
      <c r="P75" s="296" t="n">
        <v>9</v>
      </c>
      <c r="Q75" s="296" t="n">
        <v>15</v>
      </c>
      <c r="R75" s="296" t="n">
        <v>13</v>
      </c>
      <c r="S75" s="296" t="n">
        <v>3</v>
      </c>
      <c r="T75" s="296" t="n">
        <v>17</v>
      </c>
      <c r="U75" s="296" t="n">
        <v>10</v>
      </c>
      <c r="V75" s="296" t="n">
        <v>19</v>
      </c>
      <c r="W75" s="296" t="n">
        <v>12</v>
      </c>
      <c r="X75" s="296" t="n">
        <v>13</v>
      </c>
      <c r="Y75" s="296" t="n">
        <v>8</v>
      </c>
      <c r="Z75" s="296" t="n">
        <v>14</v>
      </c>
      <c r="AA75" s="296" t="n">
        <v>17</v>
      </c>
      <c r="AB75" s="296" t="n">
        <v>16</v>
      </c>
      <c r="AC75" s="296" t="n">
        <v>5</v>
      </c>
      <c r="AD75" s="296" t="n">
        <v>10</v>
      </c>
      <c r="AE75" s="296" t="n">
        <v>7</v>
      </c>
      <c r="AF75" s="296" t="n">
        <v>9</v>
      </c>
      <c r="AG75" s="296" t="n">
        <v>18</v>
      </c>
      <c r="AH75" s="296" t="n">
        <v>19</v>
      </c>
      <c r="AI75" s="296" t="n">
        <v>8</v>
      </c>
      <c r="AJ75" s="296" t="n">
        <v>14</v>
      </c>
      <c r="AK75" s="296" t="n">
        <v>9</v>
      </c>
      <c r="AL75" s="296" t="n">
        <v>15</v>
      </c>
      <c r="AM75" s="296" t="n">
        <v>5</v>
      </c>
      <c r="AN75" s="296" t="n">
        <v>19</v>
      </c>
      <c r="AO75" s="296" t="n">
        <v>27</v>
      </c>
      <c r="AP75" s="296" t="n">
        <v>15</v>
      </c>
      <c r="AQ75" s="296" t="n">
        <v>5</v>
      </c>
      <c r="AR75" s="296" t="n">
        <v>10</v>
      </c>
    </row>
    <row r="76" ht="14.25" customHeight="1" s="133">
      <c r="A76" s="291" t="inlineStr">
        <is>
          <t>PK-1074</t>
        </is>
      </c>
      <c r="B76" s="291" t="inlineStr">
        <is>
          <t>Dawn Croissant 6pcs</t>
        </is>
      </c>
      <c r="C76" s="291" t="inlineStr">
        <is>
          <t>Grocery &amp; Food Items</t>
        </is>
      </c>
      <c r="D76" s="291" t="inlineStr">
        <is>
          <t>Dairy &amp; Frozen</t>
        </is>
      </c>
      <c r="E76" s="291" t="inlineStr">
        <is>
          <t>DWNCRS</t>
        </is>
      </c>
      <c r="F76" s="291" t="inlineStr">
        <is>
          <t>Unit</t>
        </is>
      </c>
      <c r="G76" s="292" t="n">
        <v>72</v>
      </c>
      <c r="H76" s="292" t="n">
        <v>20</v>
      </c>
      <c r="I76" s="292" t="n">
        <v>80</v>
      </c>
      <c r="J76" s="292" t="n">
        <v>20160</v>
      </c>
      <c r="K76" s="293" t="n">
        <v>280</v>
      </c>
      <c r="L76" s="292" t="inlineStr">
        <is>
          <t>380.00</t>
        </is>
      </c>
      <c r="M76" s="294">
        <f>IF(L76=0,0,(L76-K76)/L76)</f>
        <v/>
      </c>
      <c r="N76" s="292" t="inlineStr">
        <is>
          <t>In Stock</t>
        </is>
      </c>
      <c r="O76" s="292" t="n">
        <v>7</v>
      </c>
      <c r="P76" s="292" t="n">
        <v>16</v>
      </c>
      <c r="Q76" s="292" t="n">
        <v>9</v>
      </c>
      <c r="R76" s="292" t="n">
        <v>9</v>
      </c>
      <c r="S76" s="292" t="n">
        <v>16</v>
      </c>
      <c r="T76" s="292" t="n">
        <v>21</v>
      </c>
      <c r="U76" s="292" t="n">
        <v>16</v>
      </c>
      <c r="V76" s="292" t="n">
        <v>17</v>
      </c>
      <c r="W76" s="292" t="n">
        <v>19</v>
      </c>
      <c r="X76" s="292" t="n">
        <v>11</v>
      </c>
      <c r="Y76" s="292" t="n">
        <v>13</v>
      </c>
      <c r="Z76" s="292" t="n">
        <v>13</v>
      </c>
      <c r="AA76" s="292" t="n">
        <v>12</v>
      </c>
      <c r="AB76" s="292" t="n">
        <v>12</v>
      </c>
      <c r="AC76" s="292" t="n">
        <v>15</v>
      </c>
      <c r="AD76" s="292" t="n">
        <v>15</v>
      </c>
      <c r="AE76" s="292" t="n">
        <v>12</v>
      </c>
      <c r="AF76" s="292" t="n">
        <v>13</v>
      </c>
      <c r="AG76" s="292" t="n">
        <v>12</v>
      </c>
      <c r="AH76" s="292" t="n">
        <v>13</v>
      </c>
      <c r="AI76" s="292" t="n">
        <v>5</v>
      </c>
      <c r="AJ76" s="292" t="n">
        <v>13</v>
      </c>
      <c r="AK76" s="292" t="n">
        <v>18</v>
      </c>
      <c r="AL76" s="292" t="n">
        <v>13</v>
      </c>
      <c r="AM76" s="292" t="n">
        <v>18</v>
      </c>
      <c r="AN76" s="292" t="n">
        <v>15</v>
      </c>
      <c r="AO76" s="292" t="n">
        <v>14</v>
      </c>
      <c r="AP76" s="292" t="n">
        <v>18</v>
      </c>
      <c r="AQ76" s="292" t="n">
        <v>16</v>
      </c>
      <c r="AR76" s="292" t="n">
        <v>15</v>
      </c>
    </row>
    <row r="77" ht="14.25" customHeight="1" s="133">
      <c r="A77" s="299" t="inlineStr">
        <is>
          <t>PK-1075</t>
        </is>
      </c>
      <c r="B77" s="299" t="inlineStr">
        <is>
          <t>Gul Ahmed Lawn Suit 3pc</t>
        </is>
      </c>
      <c r="C77" s="299" t="inlineStr">
        <is>
          <t>Clothing &amp; Textiles</t>
        </is>
      </c>
      <c r="D77" s="299" t="inlineStr">
        <is>
          <t>Men's Wear</t>
        </is>
      </c>
      <c r="E77" s="299" t="inlineStr">
        <is>
          <t>GALWN3</t>
        </is>
      </c>
      <c r="F77" s="299" t="inlineStr">
        <is>
          <t>Unit</t>
        </is>
      </c>
      <c r="G77" s="300" t="n">
        <v>107</v>
      </c>
      <c r="H77" s="300" t="n">
        <v>10</v>
      </c>
      <c r="I77" s="300" t="n">
        <v>30</v>
      </c>
      <c r="J77" s="300" t="n">
        <v>128400</v>
      </c>
      <c r="K77" s="301" t="n">
        <v>1200</v>
      </c>
      <c r="L77" s="300" t="inlineStr">
        <is>
          <t>1,800.00</t>
        </is>
      </c>
      <c r="M77" s="302">
        <f>IF(L77=0,0,(L77-K77)/L77)</f>
        <v/>
      </c>
      <c r="N77" s="300" t="inlineStr">
        <is>
          <t>In Stock</t>
        </is>
      </c>
      <c r="O77" s="300" t="n">
        <v>3</v>
      </c>
      <c r="P77" s="300" t="n">
        <v>2</v>
      </c>
      <c r="Q77" s="300" t="n">
        <v>7</v>
      </c>
      <c r="R77" s="300" t="n">
        <v>3</v>
      </c>
      <c r="S77" s="300" t="n">
        <v>1</v>
      </c>
      <c r="T77" s="300" t="n">
        <v>10</v>
      </c>
      <c r="U77" s="300" t="n">
        <v>2</v>
      </c>
      <c r="V77" s="300" t="n">
        <v>4</v>
      </c>
      <c r="W77" s="300" t="n">
        <v>5</v>
      </c>
      <c r="X77" s="300" t="n">
        <v>1</v>
      </c>
      <c r="Y77" s="300" t="n">
        <v>1</v>
      </c>
      <c r="Z77" s="300" t="n">
        <v>6</v>
      </c>
      <c r="AA77" s="300" t="n">
        <v>3</v>
      </c>
      <c r="AB77" s="300" t="n">
        <v>4</v>
      </c>
      <c r="AC77" s="300" t="n">
        <v>3</v>
      </c>
      <c r="AD77" s="300" t="n">
        <v>3</v>
      </c>
      <c r="AE77" s="300" t="n">
        <v>2</v>
      </c>
      <c r="AF77" s="300" t="n">
        <v>3</v>
      </c>
      <c r="AG77" s="300" t="n">
        <v>3</v>
      </c>
      <c r="AH77" s="300" t="n">
        <v>6</v>
      </c>
      <c r="AI77" s="300" t="n">
        <v>5</v>
      </c>
      <c r="AJ77" s="300" t="n">
        <v>2</v>
      </c>
      <c r="AK77" s="300" t="n">
        <v>12</v>
      </c>
      <c r="AL77" s="300" t="n">
        <v>5</v>
      </c>
      <c r="AM77" s="300" t="n">
        <v>5</v>
      </c>
      <c r="AN77" s="300" t="n">
        <v>5</v>
      </c>
      <c r="AO77" s="300" t="n">
        <v>6</v>
      </c>
      <c r="AP77" s="300" t="n">
        <v>1</v>
      </c>
      <c r="AQ77" s="300" t="n">
        <v>4</v>
      </c>
      <c r="AR77" s="300" t="n">
        <v>4</v>
      </c>
    </row>
    <row r="78" ht="14.25" customHeight="1" s="133">
      <c r="A78" s="291" t="inlineStr">
        <is>
          <t>PK-1076</t>
        </is>
      </c>
      <c r="B78" s="291" t="inlineStr">
        <is>
          <t>Almirah Men Kurta</t>
        </is>
      </c>
      <c r="C78" s="291" t="inlineStr">
        <is>
          <t>Clothing &amp; Textiles</t>
        </is>
      </c>
      <c r="D78" s="291" t="inlineStr">
        <is>
          <t>Men's Wear</t>
        </is>
      </c>
      <c r="E78" s="291" t="inlineStr">
        <is>
          <t>ALMKRT</t>
        </is>
      </c>
      <c r="F78" s="291" t="inlineStr">
        <is>
          <t>Unit</t>
        </is>
      </c>
      <c r="G78" s="292" t="n">
        <v>57</v>
      </c>
      <c r="H78" s="292" t="n">
        <v>10</v>
      </c>
      <c r="I78" s="292" t="n">
        <v>30</v>
      </c>
      <c r="J78" s="292" t="n">
        <v>85500</v>
      </c>
      <c r="K78" s="293" t="n">
        <v>1500</v>
      </c>
      <c r="L78" s="292" t="inlineStr">
        <is>
          <t>2,200.00</t>
        </is>
      </c>
      <c r="M78" s="294">
        <f>IF(L78=0,0,(L78-K78)/L78)</f>
        <v/>
      </c>
      <c r="N78" s="292" t="inlineStr">
        <is>
          <t>In Stock</t>
        </is>
      </c>
      <c r="O78" s="292" t="n">
        <v>3</v>
      </c>
      <c r="P78" s="292" t="n">
        <v>4</v>
      </c>
      <c r="Q78" s="292" t="n">
        <v>4</v>
      </c>
      <c r="R78" s="292" t="n">
        <v>3</v>
      </c>
      <c r="S78" s="292" t="n">
        <v>7</v>
      </c>
      <c r="T78" s="292" t="n">
        <v>4</v>
      </c>
      <c r="U78" s="292" t="n">
        <v>5</v>
      </c>
      <c r="V78" s="292" t="n">
        <v>2</v>
      </c>
      <c r="W78" s="292" t="n">
        <v>2</v>
      </c>
      <c r="X78" s="292" t="n">
        <v>4</v>
      </c>
      <c r="Y78" s="292" t="n">
        <v>2</v>
      </c>
      <c r="Z78" s="292" t="n">
        <v>5</v>
      </c>
      <c r="AA78" s="292" t="n">
        <v>12</v>
      </c>
      <c r="AB78" s="292" t="n">
        <v>3</v>
      </c>
      <c r="AC78" s="292" t="n">
        <v>8</v>
      </c>
      <c r="AD78" s="292" t="n">
        <v>3</v>
      </c>
      <c r="AE78" s="292" t="n">
        <v>5</v>
      </c>
      <c r="AF78" s="292" t="n">
        <v>7</v>
      </c>
      <c r="AG78" s="292" t="n">
        <v>4</v>
      </c>
      <c r="AH78" s="292" t="n">
        <v>5</v>
      </c>
      <c r="AI78" s="292" t="n">
        <v>4</v>
      </c>
      <c r="AJ78" s="292" t="n">
        <v>6</v>
      </c>
      <c r="AK78" s="292" t="n">
        <v>3</v>
      </c>
      <c r="AL78" s="292" t="n">
        <v>1</v>
      </c>
      <c r="AM78" s="292" t="n">
        <v>2</v>
      </c>
      <c r="AN78" s="292" t="n">
        <v>2</v>
      </c>
      <c r="AO78" s="292" t="n">
        <v>4</v>
      </c>
      <c r="AP78" s="292" t="n">
        <v>4</v>
      </c>
      <c r="AQ78" s="292" t="n">
        <v>3</v>
      </c>
      <c r="AR78" s="292" t="n">
        <v>4</v>
      </c>
    </row>
    <row r="79" ht="14.25" customHeight="1" s="133">
      <c r="A79" s="299" t="inlineStr">
        <is>
          <t>PK-1077</t>
        </is>
      </c>
      <c r="B79" s="299" t="inlineStr">
        <is>
          <t>Khaadi Men Shalwar Kameez</t>
        </is>
      </c>
      <c r="C79" s="299" t="inlineStr">
        <is>
          <t>Clothing &amp; Textiles</t>
        </is>
      </c>
      <c r="D79" s="299" t="inlineStr">
        <is>
          <t>Men's Wear</t>
        </is>
      </c>
      <c r="E79" s="299" t="inlineStr">
        <is>
          <t>KHDSK</t>
        </is>
      </c>
      <c r="F79" s="299" t="inlineStr">
        <is>
          <t>Unit</t>
        </is>
      </c>
      <c r="G79" s="300" t="n">
        <v>54</v>
      </c>
      <c r="H79" s="300" t="n">
        <v>10</v>
      </c>
      <c r="I79" s="300" t="n">
        <v>30</v>
      </c>
      <c r="J79" s="300" t="n">
        <v>135000</v>
      </c>
      <c r="K79" s="301" t="n">
        <v>2500</v>
      </c>
      <c r="L79" s="300" t="inlineStr">
        <is>
          <t>3,800.00</t>
        </is>
      </c>
      <c r="M79" s="302">
        <f>IF(L79=0,0,(L79-K79)/L79)</f>
        <v/>
      </c>
      <c r="N79" s="300" t="inlineStr">
        <is>
          <t>In Stock</t>
        </is>
      </c>
      <c r="O79" s="300" t="n">
        <v>2</v>
      </c>
      <c r="P79" s="300" t="n">
        <v>5</v>
      </c>
      <c r="Q79" s="300" t="n">
        <v>5</v>
      </c>
      <c r="R79" s="300" t="n">
        <v>6</v>
      </c>
      <c r="S79" s="300" t="n">
        <v>7</v>
      </c>
      <c r="T79" s="300" t="n">
        <v>8</v>
      </c>
      <c r="U79" s="300" t="n">
        <v>4</v>
      </c>
      <c r="V79" s="300" t="n">
        <v>5</v>
      </c>
      <c r="W79" s="300" t="n">
        <v>5</v>
      </c>
      <c r="X79" s="300" t="n">
        <v>4</v>
      </c>
      <c r="Y79" s="300" t="n">
        <v>5</v>
      </c>
      <c r="Z79" s="300" t="n">
        <v>4</v>
      </c>
      <c r="AA79" s="300" t="n">
        <v>4</v>
      </c>
      <c r="AB79" s="300" t="n">
        <v>3</v>
      </c>
      <c r="AC79" s="300" t="n">
        <v>4</v>
      </c>
      <c r="AD79" s="300" t="n">
        <v>5</v>
      </c>
      <c r="AE79" s="300" t="n">
        <v>3</v>
      </c>
      <c r="AF79" s="300" t="n">
        <v>4</v>
      </c>
      <c r="AG79" s="300" t="n">
        <v>6</v>
      </c>
      <c r="AH79" s="300" t="n">
        <v>5</v>
      </c>
      <c r="AI79" s="300" t="n">
        <v>7</v>
      </c>
      <c r="AJ79" s="300" t="n">
        <v>5</v>
      </c>
      <c r="AK79" s="300" t="n">
        <v>5</v>
      </c>
      <c r="AL79" s="300" t="n">
        <v>4</v>
      </c>
      <c r="AM79" s="300" t="n">
        <v>5</v>
      </c>
      <c r="AN79" s="300" t="n">
        <v>7</v>
      </c>
      <c r="AO79" s="300" t="n">
        <v>8</v>
      </c>
      <c r="AP79" s="300" t="n">
        <v>5</v>
      </c>
      <c r="AQ79" s="300" t="n">
        <v>5</v>
      </c>
      <c r="AR79" s="300" t="n">
        <v>3</v>
      </c>
    </row>
    <row r="80" ht="14.25" customHeight="1" s="133">
      <c r="A80" s="291" t="inlineStr">
        <is>
          <t>PK-1078</t>
        </is>
      </c>
      <c r="B80" s="291" t="inlineStr">
        <is>
          <t>J. Men Shirt</t>
        </is>
      </c>
      <c r="C80" s="291" t="inlineStr">
        <is>
          <t>Clothing &amp; Textiles</t>
        </is>
      </c>
      <c r="D80" s="291" t="inlineStr">
        <is>
          <t>Men's Wear</t>
        </is>
      </c>
      <c r="E80" s="291" t="inlineStr">
        <is>
          <t>JMSHRT</t>
        </is>
      </c>
      <c r="F80" s="291" t="inlineStr">
        <is>
          <t>Unit</t>
        </is>
      </c>
      <c r="G80" s="292" t="n">
        <v>122</v>
      </c>
      <c r="H80" s="292" t="n">
        <v>10</v>
      </c>
      <c r="I80" s="292" t="n">
        <v>30</v>
      </c>
      <c r="J80" s="292" t="n">
        <v>219600</v>
      </c>
      <c r="K80" s="293" t="n">
        <v>1800</v>
      </c>
      <c r="L80" s="292" t="inlineStr">
        <is>
          <t>2,700.00</t>
        </is>
      </c>
      <c r="M80" s="294">
        <f>IF(L80=0,0,(L80-K80)/L80)</f>
        <v/>
      </c>
      <c r="N80" s="292" t="inlineStr">
        <is>
          <t>In Stock</t>
        </is>
      </c>
      <c r="O80" s="292" t="n">
        <v>3</v>
      </c>
      <c r="P80" s="292" t="n">
        <v>5</v>
      </c>
      <c r="Q80" s="292" t="n">
        <v>4</v>
      </c>
      <c r="R80" s="292" t="n">
        <v>2</v>
      </c>
      <c r="S80" s="292" t="n">
        <v>1</v>
      </c>
      <c r="T80" s="292" t="n">
        <v>6</v>
      </c>
      <c r="U80" s="292" t="n">
        <v>1</v>
      </c>
      <c r="V80" s="292" t="n">
        <v>4</v>
      </c>
      <c r="W80" s="292" t="n">
        <v>1</v>
      </c>
      <c r="X80" s="292" t="n">
        <v>3</v>
      </c>
      <c r="Y80" s="292" t="n">
        <v>5</v>
      </c>
      <c r="Z80" s="292" t="n">
        <v>12</v>
      </c>
      <c r="AA80" s="292" t="n">
        <v>1</v>
      </c>
      <c r="AB80" s="292" t="n">
        <v>3</v>
      </c>
      <c r="AC80" s="292" t="n">
        <v>5</v>
      </c>
      <c r="AD80" s="292" t="n">
        <v>3</v>
      </c>
      <c r="AE80" s="292" t="n">
        <v>5</v>
      </c>
      <c r="AF80" s="292" t="n">
        <v>3</v>
      </c>
      <c r="AG80" s="292" t="n">
        <v>3</v>
      </c>
      <c r="AH80" s="292" t="n">
        <v>7</v>
      </c>
      <c r="AI80" s="292" t="n">
        <v>3</v>
      </c>
      <c r="AJ80" s="292" t="n">
        <v>2</v>
      </c>
      <c r="AK80" s="292" t="n">
        <v>1</v>
      </c>
      <c r="AL80" s="292" t="n">
        <v>2</v>
      </c>
      <c r="AM80" s="292" t="n">
        <v>4</v>
      </c>
      <c r="AN80" s="292" t="n">
        <v>4</v>
      </c>
      <c r="AO80" s="292" t="n">
        <v>1</v>
      </c>
      <c r="AP80" s="292" t="n">
        <v>4</v>
      </c>
      <c r="AQ80" s="292" t="n">
        <v>4</v>
      </c>
      <c r="AR80" s="292" t="n">
        <v>4</v>
      </c>
    </row>
    <row r="81" ht="14.25" customHeight="1" s="133">
      <c r="A81" s="299" t="inlineStr">
        <is>
          <t>PK-1079</t>
        </is>
      </c>
      <c r="B81" s="299" t="inlineStr">
        <is>
          <t>Bonanza Men Sweater</t>
        </is>
      </c>
      <c r="C81" s="299" t="inlineStr">
        <is>
          <t>Clothing &amp; Textiles</t>
        </is>
      </c>
      <c r="D81" s="299" t="inlineStr">
        <is>
          <t>Men's Wear</t>
        </is>
      </c>
      <c r="E81" s="299" t="inlineStr">
        <is>
          <t>BNSSWT</t>
        </is>
      </c>
      <c r="F81" s="299" t="inlineStr">
        <is>
          <t>Unit</t>
        </is>
      </c>
      <c r="G81" s="300" t="n">
        <v>94</v>
      </c>
      <c r="H81" s="300" t="n">
        <v>5</v>
      </c>
      <c r="I81" s="300" t="n">
        <v>20</v>
      </c>
      <c r="J81" s="300" t="n">
        <v>206800</v>
      </c>
      <c r="K81" s="301" t="n">
        <v>2200</v>
      </c>
      <c r="L81" s="300" t="inlineStr">
        <is>
          <t>3,200.00</t>
        </is>
      </c>
      <c r="M81" s="302">
        <f>IF(L81=0,0,(L81-K81)/L81)</f>
        <v/>
      </c>
      <c r="N81" s="300" t="inlineStr">
        <is>
          <t>In Stock</t>
        </is>
      </c>
      <c r="O81" s="300" t="n">
        <v>5</v>
      </c>
      <c r="P81" s="300" t="n">
        <v>3</v>
      </c>
      <c r="Q81" s="300" t="n">
        <v>2</v>
      </c>
      <c r="R81" s="300" t="n">
        <v>4</v>
      </c>
      <c r="S81" s="300" t="n">
        <v>4</v>
      </c>
      <c r="T81" s="300" t="n">
        <v>9</v>
      </c>
      <c r="U81" s="300" t="n">
        <v>2</v>
      </c>
      <c r="V81" s="300" t="n">
        <v>2</v>
      </c>
      <c r="W81" s="300" t="n">
        <v>4</v>
      </c>
      <c r="X81" s="300" t="n">
        <v>4</v>
      </c>
      <c r="Y81" s="300" t="n">
        <v>5</v>
      </c>
      <c r="Z81" s="300" t="n">
        <v>5</v>
      </c>
      <c r="AA81" s="300" t="n">
        <v>4</v>
      </c>
      <c r="AB81" s="300" t="n">
        <v>6</v>
      </c>
      <c r="AC81" s="300" t="n">
        <v>2</v>
      </c>
      <c r="AD81" s="300" t="n">
        <v>3</v>
      </c>
      <c r="AE81" s="300" t="n">
        <v>5</v>
      </c>
      <c r="AF81" s="300" t="n">
        <v>4</v>
      </c>
      <c r="AG81" s="300" t="n">
        <v>5</v>
      </c>
      <c r="AH81" s="300" t="n">
        <v>8</v>
      </c>
      <c r="AI81" s="300" t="n">
        <v>4</v>
      </c>
      <c r="AJ81" s="300" t="n">
        <v>2</v>
      </c>
      <c r="AK81" s="300" t="n">
        <v>1</v>
      </c>
      <c r="AL81" s="300" t="n">
        <v>3</v>
      </c>
      <c r="AM81" s="300" t="n">
        <v>4</v>
      </c>
      <c r="AN81" s="300" t="n">
        <v>4</v>
      </c>
      <c r="AO81" s="300" t="n">
        <v>8</v>
      </c>
      <c r="AP81" s="300" t="n">
        <v>1</v>
      </c>
      <c r="AQ81" s="300" t="n">
        <v>4</v>
      </c>
      <c r="AR81" s="300" t="n">
        <v>2</v>
      </c>
    </row>
    <row r="82" ht="14.25" customHeight="1" s="133">
      <c r="A82" s="291" t="inlineStr">
        <is>
          <t>PK-1080</t>
        </is>
      </c>
      <c r="B82" s="291" t="inlineStr">
        <is>
          <t>Men Denim Jeans 32</t>
        </is>
      </c>
      <c r="C82" s="291" t="inlineStr">
        <is>
          <t>Clothing &amp; Textiles</t>
        </is>
      </c>
      <c r="D82" s="291" t="inlineStr">
        <is>
          <t>Men's Wear</t>
        </is>
      </c>
      <c r="E82" s="291" t="inlineStr">
        <is>
          <t>MDNJNS32</t>
        </is>
      </c>
      <c r="F82" s="291" t="inlineStr">
        <is>
          <t>Unit</t>
        </is>
      </c>
      <c r="G82" s="292" t="n">
        <v>110</v>
      </c>
      <c r="H82" s="292" t="n">
        <v>10</v>
      </c>
      <c r="I82" s="292" t="n">
        <v>30</v>
      </c>
      <c r="J82" s="292" t="n">
        <v>154000</v>
      </c>
      <c r="K82" s="293" t="n">
        <v>1400</v>
      </c>
      <c r="L82" s="292" t="inlineStr">
        <is>
          <t>2,100.00</t>
        </is>
      </c>
      <c r="M82" s="294">
        <f>IF(L82=0,0,(L82-K82)/L82)</f>
        <v/>
      </c>
      <c r="N82" s="292" t="inlineStr">
        <is>
          <t>In Stock</t>
        </is>
      </c>
      <c r="O82" s="292" t="n">
        <v>5</v>
      </c>
      <c r="P82" s="292" t="n">
        <v>2</v>
      </c>
      <c r="Q82" s="292" t="n">
        <v>4</v>
      </c>
      <c r="R82" s="292" t="n">
        <v>2</v>
      </c>
      <c r="S82" s="292" t="n">
        <v>5</v>
      </c>
      <c r="T82" s="292" t="n">
        <v>4</v>
      </c>
      <c r="U82" s="292" t="n">
        <v>3</v>
      </c>
      <c r="V82" s="292" t="n">
        <v>4</v>
      </c>
      <c r="W82" s="292" t="n">
        <v>5</v>
      </c>
      <c r="X82" s="292" t="n">
        <v>4</v>
      </c>
      <c r="Y82" s="292" t="n">
        <v>3</v>
      </c>
      <c r="Z82" s="292" t="n">
        <v>5</v>
      </c>
      <c r="AA82" s="292" t="n">
        <v>3</v>
      </c>
      <c r="AB82" s="292" t="n">
        <v>3</v>
      </c>
      <c r="AC82" s="292" t="n">
        <v>3</v>
      </c>
      <c r="AD82" s="292" t="n">
        <v>4</v>
      </c>
      <c r="AE82" s="292" t="n">
        <v>3</v>
      </c>
      <c r="AF82" s="292" t="n">
        <v>4</v>
      </c>
      <c r="AG82" s="292" t="n">
        <v>4</v>
      </c>
      <c r="AH82" s="292" t="n">
        <v>6</v>
      </c>
      <c r="AI82" s="292" t="n">
        <v>7</v>
      </c>
      <c r="AJ82" s="292" t="n">
        <v>5</v>
      </c>
      <c r="AK82" s="292" t="n">
        <v>3</v>
      </c>
      <c r="AL82" s="292" t="n">
        <v>4</v>
      </c>
      <c r="AM82" s="292" t="n">
        <v>3</v>
      </c>
      <c r="AN82" s="292" t="n">
        <v>6</v>
      </c>
      <c r="AO82" s="292" t="n">
        <v>10</v>
      </c>
      <c r="AP82" s="292" t="n">
        <v>1</v>
      </c>
      <c r="AQ82" s="292" t="n">
        <v>5</v>
      </c>
      <c r="AR82" s="292" t="n">
        <v>2</v>
      </c>
    </row>
    <row r="83" ht="14.25" customHeight="1" s="133">
      <c r="A83" s="299" t="inlineStr">
        <is>
          <t>PK-1081</t>
        </is>
      </c>
      <c r="B83" s="299" t="inlineStr">
        <is>
          <t>Men Denim Jeans 34</t>
        </is>
      </c>
      <c r="C83" s="299" t="inlineStr">
        <is>
          <t>Clothing &amp; Textiles</t>
        </is>
      </c>
      <c r="D83" s="299" t="inlineStr">
        <is>
          <t>Men's Wear</t>
        </is>
      </c>
      <c r="E83" s="299" t="inlineStr">
        <is>
          <t>MDNJNS34</t>
        </is>
      </c>
      <c r="F83" s="299" t="inlineStr">
        <is>
          <t>Unit</t>
        </is>
      </c>
      <c r="G83" s="300" t="n">
        <v>76</v>
      </c>
      <c r="H83" s="300" t="n">
        <v>10</v>
      </c>
      <c r="I83" s="300" t="n">
        <v>30</v>
      </c>
      <c r="J83" s="300" t="n">
        <v>106400</v>
      </c>
      <c r="K83" s="301" t="n">
        <v>1400</v>
      </c>
      <c r="L83" s="300" t="inlineStr">
        <is>
          <t>2,100.00</t>
        </is>
      </c>
      <c r="M83" s="302">
        <f>IF(L83=0,0,(L83-K83)/L83)</f>
        <v/>
      </c>
      <c r="N83" s="300" t="inlineStr">
        <is>
          <t>In Stock</t>
        </is>
      </c>
      <c r="O83" s="300" t="n">
        <v>4</v>
      </c>
      <c r="P83" s="300" t="n">
        <v>5</v>
      </c>
      <c r="Q83" s="300" t="n">
        <v>3</v>
      </c>
      <c r="R83" s="300" t="n">
        <v>3</v>
      </c>
      <c r="S83" s="300" t="n">
        <v>6</v>
      </c>
      <c r="T83" s="300" t="n">
        <v>5</v>
      </c>
      <c r="U83" s="300" t="n">
        <v>4</v>
      </c>
      <c r="V83" s="300" t="n">
        <v>2</v>
      </c>
      <c r="W83" s="300" t="n">
        <v>6</v>
      </c>
      <c r="X83" s="300" t="n">
        <v>3</v>
      </c>
      <c r="Y83" s="300" t="n">
        <v>5</v>
      </c>
      <c r="Z83" s="300" t="n">
        <v>8</v>
      </c>
      <c r="AA83" s="300" t="n">
        <v>6</v>
      </c>
      <c r="AB83" s="300" t="n">
        <v>2</v>
      </c>
      <c r="AC83" s="300" t="n">
        <v>7</v>
      </c>
      <c r="AD83" s="300" t="n">
        <v>3</v>
      </c>
      <c r="AE83" s="300" t="n">
        <v>8</v>
      </c>
      <c r="AF83" s="300" t="n">
        <v>1</v>
      </c>
      <c r="AG83" s="300" t="n">
        <v>3</v>
      </c>
      <c r="AH83" s="300" t="n">
        <v>4</v>
      </c>
      <c r="AI83" s="300" t="n">
        <v>2</v>
      </c>
      <c r="AJ83" s="300" t="n">
        <v>3</v>
      </c>
      <c r="AK83" s="300" t="n">
        <v>2</v>
      </c>
      <c r="AL83" s="300" t="n">
        <v>3</v>
      </c>
      <c r="AM83" s="300" t="n">
        <v>2</v>
      </c>
      <c r="AN83" s="300" t="n">
        <v>3</v>
      </c>
      <c r="AO83" s="300" t="n">
        <v>6</v>
      </c>
      <c r="AP83" s="300" t="n">
        <v>4</v>
      </c>
      <c r="AQ83" s="300" t="n">
        <v>4</v>
      </c>
      <c r="AR83" s="300" t="n">
        <v>5</v>
      </c>
    </row>
    <row r="84" ht="14.25" customHeight="1" s="133">
      <c r="A84" s="291" t="inlineStr">
        <is>
          <t>PK-1082</t>
        </is>
      </c>
      <c r="B84" s="291" t="inlineStr">
        <is>
          <t>Men Formal Trouser</t>
        </is>
      </c>
      <c r="C84" s="291" t="inlineStr">
        <is>
          <t>Clothing &amp; Textiles</t>
        </is>
      </c>
      <c r="D84" s="291" t="inlineStr">
        <is>
          <t>Men's Wear</t>
        </is>
      </c>
      <c r="E84" s="291" t="inlineStr">
        <is>
          <t>MFRTRS</t>
        </is>
      </c>
      <c r="F84" s="291" t="inlineStr">
        <is>
          <t>Unit</t>
        </is>
      </c>
      <c r="G84" s="292" t="n">
        <v>130</v>
      </c>
      <c r="H84" s="292" t="n">
        <v>10</v>
      </c>
      <c r="I84" s="292" t="n">
        <v>30</v>
      </c>
      <c r="J84" s="292" t="n">
        <v>208000</v>
      </c>
      <c r="K84" s="293" t="n">
        <v>1600</v>
      </c>
      <c r="L84" s="292" t="inlineStr">
        <is>
          <t>2,400.00</t>
        </is>
      </c>
      <c r="M84" s="294">
        <f>IF(L84=0,0,(L84-K84)/L84)</f>
        <v/>
      </c>
      <c r="N84" s="292" t="inlineStr">
        <is>
          <t>In Stock</t>
        </is>
      </c>
      <c r="O84" s="292" t="n">
        <v>4</v>
      </c>
      <c r="P84" s="292" t="n">
        <v>3</v>
      </c>
      <c r="Q84" s="292" t="n">
        <v>7</v>
      </c>
      <c r="R84" s="292" t="n">
        <v>3</v>
      </c>
      <c r="S84" s="292" t="n">
        <v>4</v>
      </c>
      <c r="T84" s="292" t="n">
        <v>7</v>
      </c>
      <c r="U84" s="292" t="n">
        <v>2</v>
      </c>
      <c r="V84" s="292" t="n">
        <v>5</v>
      </c>
      <c r="W84" s="292" t="n">
        <v>7</v>
      </c>
      <c r="X84" s="292" t="n">
        <v>3</v>
      </c>
      <c r="Y84" s="292" t="n">
        <v>5</v>
      </c>
      <c r="Z84" s="292" t="n">
        <v>7</v>
      </c>
      <c r="AA84" s="292" t="n">
        <v>4</v>
      </c>
      <c r="AB84" s="292" t="n">
        <v>3</v>
      </c>
      <c r="AC84" s="292" t="n">
        <v>4</v>
      </c>
      <c r="AD84" s="292" t="n">
        <v>5</v>
      </c>
      <c r="AE84" s="292" t="n">
        <v>1</v>
      </c>
      <c r="AF84" s="292" t="n">
        <v>3</v>
      </c>
      <c r="AG84" s="292" t="n">
        <v>6</v>
      </c>
      <c r="AH84" s="292" t="n">
        <v>3</v>
      </c>
      <c r="AI84" s="292" t="n">
        <v>2</v>
      </c>
      <c r="AJ84" s="292" t="n">
        <v>5</v>
      </c>
      <c r="AK84" s="292" t="n">
        <v>4</v>
      </c>
      <c r="AL84" s="292" t="n">
        <v>4</v>
      </c>
      <c r="AM84" s="292" t="n">
        <v>1</v>
      </c>
      <c r="AN84" s="292" t="n">
        <v>6</v>
      </c>
      <c r="AO84" s="292" t="n">
        <v>6</v>
      </c>
      <c r="AP84" s="292" t="n">
        <v>7</v>
      </c>
      <c r="AQ84" s="292" t="n">
        <v>6</v>
      </c>
      <c r="AR84" s="292" t="n">
        <v>4</v>
      </c>
    </row>
    <row r="85" ht="14.25" customHeight="1" s="133">
      <c r="A85" s="299" t="inlineStr">
        <is>
          <t>PK-1083</t>
        </is>
      </c>
      <c r="B85" s="299" t="inlineStr">
        <is>
          <t>Men Polo T-Shirt</t>
        </is>
      </c>
      <c r="C85" s="299" t="inlineStr">
        <is>
          <t>Clothing &amp; Textiles</t>
        </is>
      </c>
      <c r="D85" s="299" t="inlineStr">
        <is>
          <t>Men's Wear</t>
        </is>
      </c>
      <c r="E85" s="299" t="inlineStr">
        <is>
          <t>MPTSHRT</t>
        </is>
      </c>
      <c r="F85" s="299" t="inlineStr">
        <is>
          <t>Unit</t>
        </is>
      </c>
      <c r="G85" s="300" t="n">
        <v>97</v>
      </c>
      <c r="H85" s="300" t="n">
        <v>15</v>
      </c>
      <c r="I85" s="300" t="n">
        <v>40</v>
      </c>
      <c r="J85" s="300" t="n">
        <v>63050</v>
      </c>
      <c r="K85" s="301" t="n">
        <v>650</v>
      </c>
      <c r="L85" s="300" t="inlineStr">
        <is>
          <t>1,000.00</t>
        </is>
      </c>
      <c r="M85" s="302">
        <f>IF(L85=0,0,(L85-K85)/L85)</f>
        <v/>
      </c>
      <c r="N85" s="300" t="inlineStr">
        <is>
          <t>In Stock</t>
        </is>
      </c>
      <c r="O85" s="300" t="n">
        <v>3</v>
      </c>
      <c r="P85" s="300" t="n">
        <v>4</v>
      </c>
      <c r="Q85" s="300" t="n">
        <v>4</v>
      </c>
      <c r="R85" s="300" t="n">
        <v>6</v>
      </c>
      <c r="S85" s="300" t="n">
        <v>6</v>
      </c>
      <c r="T85" s="300" t="n">
        <v>9</v>
      </c>
      <c r="U85" s="300" t="n">
        <v>7</v>
      </c>
      <c r="V85" s="300" t="n">
        <v>4</v>
      </c>
      <c r="W85" s="300" t="n">
        <v>1</v>
      </c>
      <c r="X85" s="300" t="n">
        <v>3</v>
      </c>
      <c r="Y85" s="300" t="n">
        <v>3</v>
      </c>
      <c r="Z85" s="300" t="n">
        <v>2</v>
      </c>
      <c r="AA85" s="300" t="n">
        <v>6</v>
      </c>
      <c r="AB85" s="300" t="n">
        <v>3</v>
      </c>
      <c r="AC85" s="300" t="n">
        <v>6</v>
      </c>
      <c r="AD85" s="300" t="n">
        <v>5</v>
      </c>
      <c r="AE85" s="300" t="n">
        <v>2</v>
      </c>
      <c r="AF85" s="300" t="n">
        <v>4</v>
      </c>
      <c r="AG85" s="300" t="n">
        <v>6</v>
      </c>
      <c r="AH85" s="300" t="n">
        <v>4</v>
      </c>
      <c r="AI85" s="300" t="n">
        <v>2</v>
      </c>
      <c r="AJ85" s="300" t="n">
        <v>7</v>
      </c>
      <c r="AK85" s="300" t="n">
        <v>4</v>
      </c>
      <c r="AL85" s="300" t="n">
        <v>6</v>
      </c>
      <c r="AM85" s="300" t="n">
        <v>5</v>
      </c>
      <c r="AN85" s="300" t="n">
        <v>7</v>
      </c>
      <c r="AO85" s="300" t="n">
        <v>5</v>
      </c>
      <c r="AP85" s="300" t="n">
        <v>12</v>
      </c>
      <c r="AQ85" s="300" t="n">
        <v>6</v>
      </c>
      <c r="AR85" s="300" t="n">
        <v>1</v>
      </c>
    </row>
    <row r="86" ht="14.25" customHeight="1" s="133">
      <c r="A86" s="291" t="inlineStr">
        <is>
          <t>PK-1084</t>
        </is>
      </c>
      <c r="B86" s="291" t="inlineStr">
        <is>
          <t>Men Sports Shorts</t>
        </is>
      </c>
      <c r="C86" s="291" t="inlineStr">
        <is>
          <t>Clothing &amp; Textiles</t>
        </is>
      </c>
      <c r="D86" s="291" t="inlineStr">
        <is>
          <t>Men's Wear</t>
        </is>
      </c>
      <c r="E86" s="291" t="inlineStr">
        <is>
          <t>MSPSHRT</t>
        </is>
      </c>
      <c r="F86" s="291" t="inlineStr">
        <is>
          <t>Unit</t>
        </is>
      </c>
      <c r="G86" s="292" t="n">
        <v>97</v>
      </c>
      <c r="H86" s="292" t="n">
        <v>15</v>
      </c>
      <c r="I86" s="292" t="n">
        <v>40</v>
      </c>
      <c r="J86" s="292" t="n">
        <v>67900</v>
      </c>
      <c r="K86" s="293" t="n">
        <v>700</v>
      </c>
      <c r="L86" s="292" t="inlineStr">
        <is>
          <t>1,100.00</t>
        </is>
      </c>
      <c r="M86" s="294">
        <f>IF(L86=0,0,(L86-K86)/L86)</f>
        <v/>
      </c>
      <c r="N86" s="292" t="inlineStr">
        <is>
          <t>In Stock</t>
        </is>
      </c>
      <c r="O86" s="292" t="n">
        <v>4</v>
      </c>
      <c r="P86" s="292" t="n">
        <v>6</v>
      </c>
      <c r="Q86" s="292" t="n">
        <v>6</v>
      </c>
      <c r="R86" s="292" t="n">
        <v>2</v>
      </c>
      <c r="S86" s="292" t="n">
        <v>5</v>
      </c>
      <c r="T86" s="292" t="n">
        <v>4</v>
      </c>
      <c r="U86" s="292" t="n">
        <v>5</v>
      </c>
      <c r="V86" s="292" t="n">
        <v>3</v>
      </c>
      <c r="W86" s="292" t="n">
        <v>4</v>
      </c>
      <c r="X86" s="292" t="n">
        <v>4</v>
      </c>
      <c r="Y86" s="292" t="n">
        <v>5</v>
      </c>
      <c r="Z86" s="292" t="n">
        <v>7</v>
      </c>
      <c r="AA86" s="292" t="n">
        <v>5</v>
      </c>
      <c r="AB86" s="292" t="n">
        <v>4</v>
      </c>
      <c r="AC86" s="292" t="n">
        <v>5</v>
      </c>
      <c r="AD86" s="292" t="n">
        <v>3</v>
      </c>
      <c r="AE86" s="292" t="n">
        <v>3</v>
      </c>
      <c r="AF86" s="292" t="n">
        <v>4</v>
      </c>
      <c r="AG86" s="292" t="n">
        <v>6</v>
      </c>
      <c r="AH86" s="292" t="n">
        <v>5</v>
      </c>
      <c r="AI86" s="292" t="n">
        <v>2</v>
      </c>
      <c r="AJ86" s="292" t="n">
        <v>2</v>
      </c>
      <c r="AK86" s="292" t="n">
        <v>3</v>
      </c>
      <c r="AL86" s="292" t="n">
        <v>4</v>
      </c>
      <c r="AM86" s="292" t="n">
        <v>5</v>
      </c>
      <c r="AN86" s="292" t="n">
        <v>3</v>
      </c>
      <c r="AO86" s="292" t="n">
        <v>8</v>
      </c>
      <c r="AP86" s="292" t="n">
        <v>4</v>
      </c>
      <c r="AQ86" s="292" t="n">
        <v>3</v>
      </c>
      <c r="AR86" s="292" t="n">
        <v>5</v>
      </c>
    </row>
    <row r="87" ht="14.25" customHeight="1" s="133">
      <c r="A87" s="299" t="inlineStr">
        <is>
          <t>PK-1085</t>
        </is>
      </c>
      <c r="B87" s="299" t="inlineStr">
        <is>
          <t>Gul Ahmed Summer Collection 3pc</t>
        </is>
      </c>
      <c r="C87" s="299" t="inlineStr">
        <is>
          <t>Clothing &amp; Textiles</t>
        </is>
      </c>
      <c r="D87" s="299" t="inlineStr">
        <is>
          <t>Women's Wear</t>
        </is>
      </c>
      <c r="E87" s="299" t="inlineStr">
        <is>
          <t>GALSC3</t>
        </is>
      </c>
      <c r="F87" s="299" t="inlineStr">
        <is>
          <t>Unit</t>
        </is>
      </c>
      <c r="G87" s="300" t="n">
        <v>77</v>
      </c>
      <c r="H87" s="300" t="n">
        <v>10</v>
      </c>
      <c r="I87" s="300" t="n">
        <v>25</v>
      </c>
      <c r="J87" s="300" t="n">
        <v>138600</v>
      </c>
      <c r="K87" s="301" t="n">
        <v>1800</v>
      </c>
      <c r="L87" s="300" t="inlineStr">
        <is>
          <t>2,800.00</t>
        </is>
      </c>
      <c r="M87" s="302">
        <f>IF(L87=0,0,(L87-K87)/L87)</f>
        <v/>
      </c>
      <c r="N87" s="300" t="inlineStr">
        <is>
          <t>In Stock</t>
        </is>
      </c>
      <c r="O87" s="300" t="n">
        <v>2</v>
      </c>
      <c r="P87" s="300" t="n">
        <v>4</v>
      </c>
      <c r="Q87" s="300" t="n">
        <v>5</v>
      </c>
      <c r="R87" s="300" t="n">
        <v>3</v>
      </c>
      <c r="S87" s="300" t="n">
        <v>6</v>
      </c>
      <c r="T87" s="300" t="n">
        <v>7</v>
      </c>
      <c r="U87" s="300" t="n">
        <v>3</v>
      </c>
      <c r="V87" s="300" t="n">
        <v>6</v>
      </c>
      <c r="W87" s="300" t="n">
        <v>6</v>
      </c>
      <c r="X87" s="300" t="n">
        <v>3</v>
      </c>
      <c r="Y87" s="300" t="n">
        <v>3</v>
      </c>
      <c r="Z87" s="300" t="n">
        <v>1</v>
      </c>
      <c r="AA87" s="300" t="n">
        <v>4</v>
      </c>
      <c r="AB87" s="300" t="n">
        <v>6</v>
      </c>
      <c r="AC87" s="300" t="n">
        <v>5</v>
      </c>
      <c r="AD87" s="300" t="n">
        <v>6</v>
      </c>
      <c r="AE87" s="300" t="n">
        <v>7</v>
      </c>
      <c r="AF87" s="300" t="n">
        <v>7</v>
      </c>
      <c r="AG87" s="300" t="n">
        <v>2</v>
      </c>
      <c r="AH87" s="300" t="n">
        <v>7</v>
      </c>
      <c r="AI87" s="300" t="n">
        <v>5</v>
      </c>
      <c r="AJ87" s="300" t="n">
        <v>8</v>
      </c>
      <c r="AK87" s="300" t="n">
        <v>3</v>
      </c>
      <c r="AL87" s="300" t="n">
        <v>5</v>
      </c>
      <c r="AM87" s="300" t="n">
        <v>4</v>
      </c>
      <c r="AN87" s="300" t="n">
        <v>6</v>
      </c>
      <c r="AO87" s="300" t="n">
        <v>8</v>
      </c>
      <c r="AP87" s="300" t="n">
        <v>10</v>
      </c>
      <c r="AQ87" s="300" t="n">
        <v>6</v>
      </c>
      <c r="AR87" s="300" t="n">
        <v>12</v>
      </c>
    </row>
    <row r="88" ht="14.25" customHeight="1" s="133">
      <c r="A88" s="291" t="inlineStr">
        <is>
          <t>PK-1086</t>
        </is>
      </c>
      <c r="B88" s="291" t="inlineStr">
        <is>
          <t>Sana Safinaz Ready-to-Wear</t>
        </is>
      </c>
      <c r="C88" s="291" t="inlineStr">
        <is>
          <t>Clothing &amp; Textiles</t>
        </is>
      </c>
      <c r="D88" s="291" t="inlineStr">
        <is>
          <t>Women's Wear</t>
        </is>
      </c>
      <c r="E88" s="291" t="inlineStr">
        <is>
          <t>SNSFRTW</t>
        </is>
      </c>
      <c r="F88" s="291" t="inlineStr">
        <is>
          <t>Unit</t>
        </is>
      </c>
      <c r="G88" s="292" t="n">
        <v>120</v>
      </c>
      <c r="H88" s="292" t="n">
        <v>5</v>
      </c>
      <c r="I88" s="292" t="n">
        <v>15</v>
      </c>
      <c r="J88" s="292" t="n">
        <v>540000</v>
      </c>
      <c r="K88" s="293" t="n">
        <v>4500</v>
      </c>
      <c r="L88" s="292" t="inlineStr">
        <is>
          <t>6,800.00</t>
        </is>
      </c>
      <c r="M88" s="294">
        <f>IF(L88=0,0,(L88-K88)/L88)</f>
        <v/>
      </c>
      <c r="N88" s="292" t="inlineStr">
        <is>
          <t>In Stock</t>
        </is>
      </c>
      <c r="O88" s="292" t="n">
        <v>4</v>
      </c>
      <c r="P88" s="292" t="n">
        <v>5</v>
      </c>
      <c r="Q88" s="292" t="n">
        <v>3</v>
      </c>
      <c r="R88" s="292" t="n">
        <v>6</v>
      </c>
      <c r="S88" s="292" t="n">
        <v>5</v>
      </c>
      <c r="T88" s="292" t="n">
        <v>6</v>
      </c>
      <c r="U88" s="292" t="n">
        <v>7</v>
      </c>
      <c r="V88" s="292" t="n">
        <v>6</v>
      </c>
      <c r="W88" s="292" t="n">
        <v>8</v>
      </c>
      <c r="X88" s="292" t="n">
        <v>3</v>
      </c>
      <c r="Y88" s="292" t="n">
        <v>6</v>
      </c>
      <c r="Z88" s="292" t="n">
        <v>5</v>
      </c>
      <c r="AA88" s="292" t="n">
        <v>6</v>
      </c>
      <c r="AB88" s="292" t="n">
        <v>5</v>
      </c>
      <c r="AC88" s="292" t="n">
        <v>4</v>
      </c>
      <c r="AD88" s="292" t="n">
        <v>7</v>
      </c>
      <c r="AE88" s="292" t="n">
        <v>7</v>
      </c>
      <c r="AF88" s="292" t="n">
        <v>6</v>
      </c>
      <c r="AG88" s="292" t="n">
        <v>8</v>
      </c>
      <c r="AH88" s="292" t="n">
        <v>9</v>
      </c>
      <c r="AI88" s="292" t="n">
        <v>7</v>
      </c>
      <c r="AJ88" s="292" t="n">
        <v>7</v>
      </c>
      <c r="AK88" s="292" t="n">
        <v>7</v>
      </c>
      <c r="AL88" s="292" t="n">
        <v>7</v>
      </c>
      <c r="AM88" s="292" t="n">
        <v>8</v>
      </c>
      <c r="AN88" s="292" t="n">
        <v>3</v>
      </c>
      <c r="AO88" s="292" t="n">
        <v>11</v>
      </c>
      <c r="AP88" s="292" t="n">
        <v>8</v>
      </c>
      <c r="AQ88" s="292" t="n">
        <v>4</v>
      </c>
      <c r="AR88" s="292" t="n">
        <v>2</v>
      </c>
    </row>
    <row r="89" ht="14.25" customHeight="1" s="133">
      <c r="A89" s="299" t="inlineStr">
        <is>
          <t>PK-1087</t>
        </is>
      </c>
      <c r="B89" s="299" t="inlineStr">
        <is>
          <t>Khaadi Pret Kurta</t>
        </is>
      </c>
      <c r="C89" s="299" t="inlineStr">
        <is>
          <t>Clothing &amp; Textiles</t>
        </is>
      </c>
      <c r="D89" s="299" t="inlineStr">
        <is>
          <t>Women's Wear</t>
        </is>
      </c>
      <c r="E89" s="299" t="inlineStr">
        <is>
          <t>KHDPRTKRT</t>
        </is>
      </c>
      <c r="F89" s="299" t="inlineStr">
        <is>
          <t>Unit</t>
        </is>
      </c>
      <c r="G89" s="300" t="n">
        <v>95</v>
      </c>
      <c r="H89" s="300" t="n">
        <v>8</v>
      </c>
      <c r="I89" s="300" t="n">
        <v>20</v>
      </c>
      <c r="J89" s="300" t="n">
        <v>209000</v>
      </c>
      <c r="K89" s="301" t="n">
        <v>2200</v>
      </c>
      <c r="L89" s="300" t="inlineStr">
        <is>
          <t>3,400.00</t>
        </is>
      </c>
      <c r="M89" s="302">
        <f>IF(L89=0,0,(L89-K89)/L89)</f>
        <v/>
      </c>
      <c r="N89" s="300" t="inlineStr">
        <is>
          <t>In Stock</t>
        </is>
      </c>
      <c r="O89" s="300" t="n">
        <v>6</v>
      </c>
      <c r="P89" s="300" t="n">
        <v>2</v>
      </c>
      <c r="Q89" s="300" t="n">
        <v>5</v>
      </c>
      <c r="R89" s="300" t="n">
        <v>6</v>
      </c>
      <c r="S89" s="300" t="n">
        <v>8</v>
      </c>
      <c r="T89" s="300" t="n">
        <v>6</v>
      </c>
      <c r="U89" s="300" t="n">
        <v>9</v>
      </c>
      <c r="V89" s="300" t="n">
        <v>7</v>
      </c>
      <c r="W89" s="300" t="n">
        <v>4</v>
      </c>
      <c r="X89" s="300" t="n">
        <v>7</v>
      </c>
      <c r="Y89" s="300" t="n">
        <v>1</v>
      </c>
      <c r="Z89" s="300" t="n">
        <v>5</v>
      </c>
      <c r="AA89" s="300" t="n">
        <v>4</v>
      </c>
      <c r="AB89" s="300" t="n">
        <v>4</v>
      </c>
      <c r="AC89" s="300" t="n">
        <v>4</v>
      </c>
      <c r="AD89" s="300" t="n">
        <v>6</v>
      </c>
      <c r="AE89" s="300" t="n">
        <v>2</v>
      </c>
      <c r="AF89" s="300" t="n">
        <v>4</v>
      </c>
      <c r="AG89" s="300" t="n">
        <v>2</v>
      </c>
      <c r="AH89" s="300" t="n">
        <v>10</v>
      </c>
      <c r="AI89" s="300" t="n">
        <v>1</v>
      </c>
      <c r="AJ89" s="300" t="n">
        <v>4</v>
      </c>
      <c r="AK89" s="300" t="n">
        <v>6</v>
      </c>
      <c r="AL89" s="300" t="n">
        <v>4</v>
      </c>
      <c r="AM89" s="300" t="n">
        <v>7</v>
      </c>
      <c r="AN89" s="300" t="n">
        <v>8</v>
      </c>
      <c r="AO89" s="300" t="n">
        <v>6</v>
      </c>
      <c r="AP89" s="300" t="n">
        <v>5</v>
      </c>
      <c r="AQ89" s="300" t="n">
        <v>3</v>
      </c>
      <c r="AR89" s="300" t="n">
        <v>4</v>
      </c>
    </row>
    <row r="90" ht="14.25" customHeight="1" s="133">
      <c r="A90" s="291" t="inlineStr">
        <is>
          <t>PK-1088</t>
        </is>
      </c>
      <c r="B90" s="291" t="inlineStr">
        <is>
          <t>Maria B Lawn 3pc</t>
        </is>
      </c>
      <c r="C90" s="291" t="inlineStr">
        <is>
          <t>Clothing &amp; Textiles</t>
        </is>
      </c>
      <c r="D90" s="291" t="inlineStr">
        <is>
          <t>Women's Wear</t>
        </is>
      </c>
      <c r="E90" s="291" t="inlineStr">
        <is>
          <t>MBLWN3</t>
        </is>
      </c>
      <c r="F90" s="291" t="inlineStr">
        <is>
          <t>Unit</t>
        </is>
      </c>
      <c r="G90" s="292" t="n">
        <v>79</v>
      </c>
      <c r="H90" s="292" t="n">
        <v>8</v>
      </c>
      <c r="I90" s="292" t="n">
        <v>20</v>
      </c>
      <c r="J90" s="292" t="n">
        <v>252800</v>
      </c>
      <c r="K90" s="293" t="n">
        <v>3200</v>
      </c>
      <c r="L90" s="292" t="inlineStr">
        <is>
          <t>5,000.00</t>
        </is>
      </c>
      <c r="M90" s="294">
        <f>IF(L90=0,0,(L90-K90)/L90)</f>
        <v/>
      </c>
      <c r="N90" s="292" t="inlineStr">
        <is>
          <t>In Stock</t>
        </is>
      </c>
      <c r="O90" s="292" t="n">
        <v>6</v>
      </c>
      <c r="P90" s="292" t="n">
        <v>5</v>
      </c>
      <c r="Q90" s="292" t="n">
        <v>2</v>
      </c>
      <c r="R90" s="292" t="n">
        <v>9</v>
      </c>
      <c r="S90" s="292" t="n">
        <v>10</v>
      </c>
      <c r="T90" s="292" t="n">
        <v>8</v>
      </c>
      <c r="U90" s="292" t="n">
        <v>4</v>
      </c>
      <c r="V90" s="292" t="n">
        <v>1</v>
      </c>
      <c r="W90" s="292" t="n">
        <v>5</v>
      </c>
      <c r="X90" s="292" t="n">
        <v>6</v>
      </c>
      <c r="Y90" s="292" t="n">
        <v>2</v>
      </c>
      <c r="Z90" s="292" t="n">
        <v>5</v>
      </c>
      <c r="AA90" s="292" t="n">
        <v>4</v>
      </c>
      <c r="AB90" s="292" t="n">
        <v>5</v>
      </c>
      <c r="AC90" s="292" t="n">
        <v>9</v>
      </c>
      <c r="AD90" s="292" t="n">
        <v>9</v>
      </c>
      <c r="AE90" s="292" t="n">
        <v>1</v>
      </c>
      <c r="AF90" s="292" t="n">
        <v>1</v>
      </c>
      <c r="AG90" s="292" t="n">
        <v>6</v>
      </c>
      <c r="AH90" s="292" t="n">
        <v>7</v>
      </c>
      <c r="AI90" s="292" t="n">
        <v>5</v>
      </c>
      <c r="AJ90" s="292" t="n">
        <v>3</v>
      </c>
      <c r="AK90" s="292" t="n">
        <v>6</v>
      </c>
      <c r="AL90" s="292" t="n">
        <v>6</v>
      </c>
      <c r="AM90" s="292" t="n">
        <v>9</v>
      </c>
      <c r="AN90" s="292" t="n">
        <v>6</v>
      </c>
      <c r="AO90" s="292" t="n">
        <v>16</v>
      </c>
      <c r="AP90" s="292" t="n">
        <v>7</v>
      </c>
      <c r="AQ90" s="292" t="n">
        <v>3</v>
      </c>
      <c r="AR90" s="292" t="n">
        <v>3</v>
      </c>
    </row>
    <row r="91" ht="14.25" customHeight="1" s="133">
      <c r="A91" s="299" t="inlineStr">
        <is>
          <t>PK-1089</t>
        </is>
      </c>
      <c r="B91" s="299" t="inlineStr">
        <is>
          <t>Nishat Linen Suit</t>
        </is>
      </c>
      <c r="C91" s="299" t="inlineStr">
        <is>
          <t>Clothing &amp; Textiles</t>
        </is>
      </c>
      <c r="D91" s="299" t="inlineStr">
        <is>
          <t>Women's Wear</t>
        </is>
      </c>
      <c r="E91" s="299" t="inlineStr">
        <is>
          <t>NSHLNN</t>
        </is>
      </c>
      <c r="F91" s="299" t="inlineStr">
        <is>
          <t>Unit</t>
        </is>
      </c>
      <c r="G91" s="300" t="n">
        <v>132</v>
      </c>
      <c r="H91" s="300" t="n">
        <v>8</v>
      </c>
      <c r="I91" s="300" t="n">
        <v>20</v>
      </c>
      <c r="J91" s="300" t="n">
        <v>369600</v>
      </c>
      <c r="K91" s="301" t="n">
        <v>2800</v>
      </c>
      <c r="L91" s="300" t="inlineStr">
        <is>
          <t>4,200.00</t>
        </is>
      </c>
      <c r="M91" s="302">
        <f>IF(L91=0,0,(L91-K91)/L91)</f>
        <v/>
      </c>
      <c r="N91" s="300" t="inlineStr">
        <is>
          <t>In Stock</t>
        </is>
      </c>
      <c r="O91" s="300" t="n">
        <v>6</v>
      </c>
      <c r="P91" s="300" t="n">
        <v>5</v>
      </c>
      <c r="Q91" s="300" t="n">
        <v>4</v>
      </c>
      <c r="R91" s="300" t="n">
        <v>6</v>
      </c>
      <c r="S91" s="300" t="n">
        <v>4</v>
      </c>
      <c r="T91" s="300" t="n">
        <v>3</v>
      </c>
      <c r="U91" s="300" t="n">
        <v>4</v>
      </c>
      <c r="V91" s="300" t="n">
        <v>5</v>
      </c>
      <c r="W91" s="300" t="n">
        <v>4</v>
      </c>
      <c r="X91" s="300" t="n">
        <v>4</v>
      </c>
      <c r="Y91" s="300" t="n">
        <v>4</v>
      </c>
      <c r="Z91" s="300" t="n">
        <v>8</v>
      </c>
      <c r="AA91" s="300" t="n">
        <v>1</v>
      </c>
      <c r="AB91" s="300" t="n">
        <v>6</v>
      </c>
      <c r="AC91" s="300" t="n">
        <v>7</v>
      </c>
      <c r="AD91" s="300" t="n">
        <v>4</v>
      </c>
      <c r="AE91" s="300" t="n">
        <v>5</v>
      </c>
      <c r="AF91" s="300" t="n">
        <v>5</v>
      </c>
      <c r="AG91" s="300" t="n">
        <v>4</v>
      </c>
      <c r="AH91" s="300" t="n">
        <v>6</v>
      </c>
      <c r="AI91" s="300" t="n">
        <v>3</v>
      </c>
      <c r="AJ91" s="300" t="n">
        <v>6</v>
      </c>
      <c r="AK91" s="300" t="n">
        <v>3</v>
      </c>
      <c r="AL91" s="300" t="n">
        <v>4</v>
      </c>
      <c r="AM91" s="300" t="n">
        <v>6</v>
      </c>
      <c r="AN91" s="300" t="n">
        <v>3</v>
      </c>
      <c r="AO91" s="300" t="n">
        <v>5</v>
      </c>
      <c r="AP91" s="300" t="n">
        <v>5</v>
      </c>
      <c r="AQ91" s="300" t="n">
        <v>8</v>
      </c>
      <c r="AR91" s="300" t="n">
        <v>2</v>
      </c>
    </row>
    <row r="92" ht="14.25" customHeight="1" s="133">
      <c r="A92" s="291" t="inlineStr">
        <is>
          <t>PK-1090</t>
        </is>
      </c>
      <c r="B92" s="291" t="inlineStr">
        <is>
          <t>Zellbury Kurta Set</t>
        </is>
      </c>
      <c r="C92" s="291" t="inlineStr">
        <is>
          <t>Clothing &amp; Textiles</t>
        </is>
      </c>
      <c r="D92" s="291" t="inlineStr">
        <is>
          <t>Women's Wear</t>
        </is>
      </c>
      <c r="E92" s="291" t="inlineStr">
        <is>
          <t>ZLBKRT</t>
        </is>
      </c>
      <c r="F92" s="291" t="inlineStr">
        <is>
          <t>Unit</t>
        </is>
      </c>
      <c r="G92" s="292" t="n">
        <v>35</v>
      </c>
      <c r="H92" s="292" t="n">
        <v>10</v>
      </c>
      <c r="I92" s="292" t="n">
        <v>25</v>
      </c>
      <c r="J92" s="292" t="n">
        <v>52500</v>
      </c>
      <c r="K92" s="293" t="n">
        <v>1500</v>
      </c>
      <c r="L92" s="292" t="inlineStr">
        <is>
          <t>2,300.00</t>
        </is>
      </c>
      <c r="M92" s="294">
        <f>IF(L92=0,0,(L92-K92)/L92)</f>
        <v/>
      </c>
      <c r="N92" s="292" t="inlineStr">
        <is>
          <t>In Stock</t>
        </is>
      </c>
      <c r="O92" s="292" t="n">
        <v>8</v>
      </c>
      <c r="P92" s="292" t="n">
        <v>4</v>
      </c>
      <c r="Q92" s="292" t="n">
        <v>4</v>
      </c>
      <c r="R92" s="292" t="n">
        <v>5</v>
      </c>
      <c r="S92" s="292" t="n">
        <v>10</v>
      </c>
      <c r="T92" s="292" t="n">
        <v>4</v>
      </c>
      <c r="U92" s="292" t="n">
        <v>5</v>
      </c>
      <c r="V92" s="292" t="n">
        <v>3</v>
      </c>
      <c r="W92" s="292" t="n">
        <v>2</v>
      </c>
      <c r="X92" s="292" t="n">
        <v>3</v>
      </c>
      <c r="Y92" s="292" t="n">
        <v>7</v>
      </c>
      <c r="Z92" s="292" t="n">
        <v>3</v>
      </c>
      <c r="AA92" s="292" t="n">
        <v>5</v>
      </c>
      <c r="AB92" s="292" t="n">
        <v>12</v>
      </c>
      <c r="AC92" s="292" t="n">
        <v>3</v>
      </c>
      <c r="AD92" s="292" t="n">
        <v>4</v>
      </c>
      <c r="AE92" s="292" t="n">
        <v>11</v>
      </c>
      <c r="AF92" s="292" t="n">
        <v>8</v>
      </c>
      <c r="AG92" s="292" t="n">
        <v>4</v>
      </c>
      <c r="AH92" s="292" t="n">
        <v>4</v>
      </c>
      <c r="AI92" s="292" t="n">
        <v>3</v>
      </c>
      <c r="AJ92" s="292" t="n">
        <v>6</v>
      </c>
      <c r="AK92" s="292" t="n">
        <v>4</v>
      </c>
      <c r="AL92" s="292" t="n">
        <v>1</v>
      </c>
      <c r="AM92" s="292" t="n">
        <v>6</v>
      </c>
      <c r="AN92" s="292" t="n">
        <v>8</v>
      </c>
      <c r="AO92" s="292" t="n">
        <v>1</v>
      </c>
      <c r="AP92" s="292" t="n">
        <v>4</v>
      </c>
      <c r="AQ92" s="292" t="n">
        <v>5</v>
      </c>
      <c r="AR92" s="292" t="n">
        <v>3</v>
      </c>
    </row>
    <row r="93" ht="14.25" customHeight="1" s="133">
      <c r="A93" s="299" t="inlineStr">
        <is>
          <t>PK-1091</t>
        </is>
      </c>
      <c r="B93" s="299" t="inlineStr">
        <is>
          <t>Women Capri Pants</t>
        </is>
      </c>
      <c r="C93" s="299" t="inlineStr">
        <is>
          <t>Clothing &amp; Textiles</t>
        </is>
      </c>
      <c r="D93" s="299" t="inlineStr">
        <is>
          <t>Women's Wear</t>
        </is>
      </c>
      <c r="E93" s="299" t="inlineStr">
        <is>
          <t>WCPRI</t>
        </is>
      </c>
      <c r="F93" s="299" t="inlineStr">
        <is>
          <t>Unit</t>
        </is>
      </c>
      <c r="G93" s="300" t="n">
        <v>40</v>
      </c>
      <c r="H93" s="300" t="n">
        <v>15</v>
      </c>
      <c r="I93" s="300" t="n">
        <v>40</v>
      </c>
      <c r="J93" s="300" t="n">
        <v>32000</v>
      </c>
      <c r="K93" s="301" t="n">
        <v>800</v>
      </c>
      <c r="L93" s="300" t="inlineStr">
        <is>
          <t>1,250.00</t>
        </is>
      </c>
      <c r="M93" s="302">
        <f>IF(L93=0,0,(L93-K93)/L93)</f>
        <v/>
      </c>
      <c r="N93" s="300" t="inlineStr">
        <is>
          <t>In Stock</t>
        </is>
      </c>
      <c r="O93" s="300" t="n">
        <v>6</v>
      </c>
      <c r="P93" s="300" t="n">
        <v>3</v>
      </c>
      <c r="Q93" s="300" t="n">
        <v>7</v>
      </c>
      <c r="R93" s="300" t="n">
        <v>3</v>
      </c>
      <c r="S93" s="300" t="n">
        <v>12</v>
      </c>
      <c r="T93" s="300" t="n">
        <v>2</v>
      </c>
      <c r="U93" s="300" t="n">
        <v>6</v>
      </c>
      <c r="V93" s="300" t="n">
        <v>6</v>
      </c>
      <c r="W93" s="300" t="n">
        <v>6</v>
      </c>
      <c r="X93" s="300" t="n">
        <v>3</v>
      </c>
      <c r="Y93" s="300" t="n">
        <v>5</v>
      </c>
      <c r="Z93" s="300" t="n">
        <v>2</v>
      </c>
      <c r="AA93" s="300" t="n">
        <v>6</v>
      </c>
      <c r="AB93" s="300" t="n">
        <v>2</v>
      </c>
      <c r="AC93" s="300" t="n">
        <v>5</v>
      </c>
      <c r="AD93" s="300" t="n">
        <v>6</v>
      </c>
      <c r="AE93" s="300" t="n">
        <v>7</v>
      </c>
      <c r="AF93" s="300" t="n">
        <v>4</v>
      </c>
      <c r="AG93" s="300" t="n">
        <v>5</v>
      </c>
      <c r="AH93" s="300" t="n">
        <v>7</v>
      </c>
      <c r="AI93" s="300" t="n">
        <v>6</v>
      </c>
      <c r="AJ93" s="300" t="n">
        <v>3</v>
      </c>
      <c r="AK93" s="300" t="n">
        <v>3</v>
      </c>
      <c r="AL93" s="300" t="n">
        <v>4</v>
      </c>
      <c r="AM93" s="300" t="n">
        <v>6</v>
      </c>
      <c r="AN93" s="300" t="n">
        <v>4</v>
      </c>
      <c r="AO93" s="300" t="n">
        <v>6</v>
      </c>
      <c r="AP93" s="300" t="n">
        <v>10</v>
      </c>
      <c r="AQ93" s="300" t="n">
        <v>12</v>
      </c>
      <c r="AR93" s="300" t="n">
        <v>7</v>
      </c>
    </row>
    <row r="94" ht="14.25" customHeight="1" s="133">
      <c r="A94" s="291" t="inlineStr">
        <is>
          <t>PK-1092</t>
        </is>
      </c>
      <c r="B94" s="291" t="inlineStr">
        <is>
          <t>Women Cardigan</t>
        </is>
      </c>
      <c r="C94" s="291" t="inlineStr">
        <is>
          <t>Clothing &amp; Textiles</t>
        </is>
      </c>
      <c r="D94" s="291" t="inlineStr">
        <is>
          <t>Women's Wear</t>
        </is>
      </c>
      <c r="E94" s="291" t="inlineStr">
        <is>
          <t>WCRDGN</t>
        </is>
      </c>
      <c r="F94" s="291" t="inlineStr">
        <is>
          <t>Unit</t>
        </is>
      </c>
      <c r="G94" s="292" t="n">
        <v>75</v>
      </c>
      <c r="H94" s="292" t="n">
        <v>10</v>
      </c>
      <c r="I94" s="292" t="n">
        <v>25</v>
      </c>
      <c r="J94" s="292" t="n">
        <v>112500</v>
      </c>
      <c r="K94" s="293" t="n">
        <v>1500</v>
      </c>
      <c r="L94" s="292" t="inlineStr">
        <is>
          <t>2,400.00</t>
        </is>
      </c>
      <c r="M94" s="294">
        <f>IF(L94=0,0,(L94-K94)/L94)</f>
        <v/>
      </c>
      <c r="N94" s="292" t="inlineStr">
        <is>
          <t>In Stock</t>
        </is>
      </c>
      <c r="O94" s="292" t="n">
        <v>5</v>
      </c>
      <c r="P94" s="292" t="n">
        <v>5</v>
      </c>
      <c r="Q94" s="292" t="n">
        <v>4</v>
      </c>
      <c r="R94" s="292" t="n">
        <v>5</v>
      </c>
      <c r="S94" s="292" t="n">
        <v>5</v>
      </c>
      <c r="T94" s="292" t="n">
        <v>9</v>
      </c>
      <c r="U94" s="292" t="n">
        <v>4</v>
      </c>
      <c r="V94" s="292" t="n">
        <v>6</v>
      </c>
      <c r="W94" s="292" t="n">
        <v>9</v>
      </c>
      <c r="X94" s="292" t="n">
        <v>7</v>
      </c>
      <c r="Y94" s="292" t="n">
        <v>5</v>
      </c>
      <c r="Z94" s="292" t="n">
        <v>5</v>
      </c>
      <c r="AA94" s="292" t="n">
        <v>4</v>
      </c>
      <c r="AB94" s="292" t="n">
        <v>4</v>
      </c>
      <c r="AC94" s="292" t="n">
        <v>4</v>
      </c>
      <c r="AD94" s="292" t="n">
        <v>2</v>
      </c>
      <c r="AE94" s="292" t="n">
        <v>4</v>
      </c>
      <c r="AF94" s="292" t="n">
        <v>6</v>
      </c>
      <c r="AG94" s="292" t="n">
        <v>8</v>
      </c>
      <c r="AH94" s="292" t="n">
        <v>6</v>
      </c>
      <c r="AI94" s="292" t="n">
        <v>4</v>
      </c>
      <c r="AJ94" s="292" t="n">
        <v>7</v>
      </c>
      <c r="AK94" s="292" t="n">
        <v>5</v>
      </c>
      <c r="AL94" s="292" t="n">
        <v>5</v>
      </c>
      <c r="AM94" s="292" t="n">
        <v>7</v>
      </c>
      <c r="AN94" s="292" t="n">
        <v>8</v>
      </c>
      <c r="AO94" s="292" t="n">
        <v>7</v>
      </c>
      <c r="AP94" s="292" t="n">
        <v>5</v>
      </c>
      <c r="AQ94" s="292" t="n">
        <v>3</v>
      </c>
      <c r="AR94" s="292" t="n">
        <v>4</v>
      </c>
    </row>
    <row r="95" ht="14.25" customHeight="1" s="133">
      <c r="A95" s="299" t="inlineStr">
        <is>
          <t>PK-1093</t>
        </is>
      </c>
      <c r="B95" s="299" t="inlineStr">
        <is>
          <t>Women Abaya Plain</t>
        </is>
      </c>
      <c r="C95" s="299" t="inlineStr">
        <is>
          <t>Clothing &amp; Textiles</t>
        </is>
      </c>
      <c r="D95" s="299" t="inlineStr">
        <is>
          <t>Women's Wear</t>
        </is>
      </c>
      <c r="E95" s="299" t="inlineStr">
        <is>
          <t>WABPLN</t>
        </is>
      </c>
      <c r="F95" s="299" t="inlineStr">
        <is>
          <t>Unit</t>
        </is>
      </c>
      <c r="G95" s="300" t="n">
        <v>135</v>
      </c>
      <c r="H95" s="300" t="n">
        <v>8</v>
      </c>
      <c r="I95" s="300" t="n">
        <v>20</v>
      </c>
      <c r="J95" s="300" t="n">
        <v>243000</v>
      </c>
      <c r="K95" s="301" t="n">
        <v>1800</v>
      </c>
      <c r="L95" s="300" t="inlineStr">
        <is>
          <t>2,700.00</t>
        </is>
      </c>
      <c r="M95" s="302">
        <f>IF(L95=0,0,(L95-K95)/L95)</f>
        <v/>
      </c>
      <c r="N95" s="300" t="inlineStr">
        <is>
          <t>In Stock</t>
        </is>
      </c>
      <c r="O95" s="300" t="n">
        <v>6</v>
      </c>
      <c r="P95" s="300" t="n">
        <v>6</v>
      </c>
      <c r="Q95" s="300" t="n">
        <v>4</v>
      </c>
      <c r="R95" s="300" t="n">
        <v>4</v>
      </c>
      <c r="S95" s="300" t="n">
        <v>6</v>
      </c>
      <c r="T95" s="300" t="n">
        <v>14</v>
      </c>
      <c r="U95" s="300" t="n">
        <v>11</v>
      </c>
      <c r="V95" s="300" t="n">
        <v>7</v>
      </c>
      <c r="W95" s="300" t="n">
        <v>7</v>
      </c>
      <c r="X95" s="300" t="n">
        <v>5</v>
      </c>
      <c r="Y95" s="300" t="n">
        <v>5</v>
      </c>
      <c r="Z95" s="300" t="n">
        <v>6</v>
      </c>
      <c r="AA95" s="300" t="n">
        <v>6</v>
      </c>
      <c r="AB95" s="300" t="n">
        <v>4</v>
      </c>
      <c r="AC95" s="300" t="n">
        <v>5</v>
      </c>
      <c r="AD95" s="300" t="n">
        <v>7</v>
      </c>
      <c r="AE95" s="300" t="n">
        <v>5</v>
      </c>
      <c r="AF95" s="300" t="n">
        <v>1</v>
      </c>
      <c r="AG95" s="300" t="n">
        <v>6</v>
      </c>
      <c r="AH95" s="300" t="n">
        <v>9</v>
      </c>
      <c r="AI95" s="300" t="n">
        <v>3</v>
      </c>
      <c r="AJ95" s="300" t="n">
        <v>5</v>
      </c>
      <c r="AK95" s="300" t="n">
        <v>3</v>
      </c>
      <c r="AL95" s="300" t="n">
        <v>6</v>
      </c>
      <c r="AM95" s="300" t="n">
        <v>6</v>
      </c>
      <c r="AN95" s="300" t="n">
        <v>6</v>
      </c>
      <c r="AO95" s="300" t="n">
        <v>7</v>
      </c>
      <c r="AP95" s="300" t="n">
        <v>5</v>
      </c>
      <c r="AQ95" s="300" t="n">
        <v>13</v>
      </c>
      <c r="AR95" s="300" t="n">
        <v>6</v>
      </c>
    </row>
    <row r="96" ht="14.25" customHeight="1" s="133">
      <c r="A96" s="291" t="inlineStr">
        <is>
          <t>PK-1094</t>
        </is>
      </c>
      <c r="B96" s="291" t="inlineStr">
        <is>
          <t>Women Dupatta Lawn</t>
        </is>
      </c>
      <c r="C96" s="291" t="inlineStr">
        <is>
          <t>Clothing &amp; Textiles</t>
        </is>
      </c>
      <c r="D96" s="291" t="inlineStr">
        <is>
          <t>Women's Wear</t>
        </is>
      </c>
      <c r="E96" s="291" t="inlineStr">
        <is>
          <t>WDPLWN</t>
        </is>
      </c>
      <c r="F96" s="291" t="inlineStr">
        <is>
          <t>Unit</t>
        </is>
      </c>
      <c r="G96" s="292" t="n">
        <v>82</v>
      </c>
      <c r="H96" s="292" t="n">
        <v>20</v>
      </c>
      <c r="I96" s="292" t="n">
        <v>60</v>
      </c>
      <c r="J96" s="292" t="n">
        <v>41000</v>
      </c>
      <c r="K96" s="293" t="n">
        <v>500</v>
      </c>
      <c r="L96" s="292" t="inlineStr">
        <is>
          <t>800.00</t>
        </is>
      </c>
      <c r="M96" s="294">
        <f>IF(L96=0,0,(L96-K96)/L96)</f>
        <v/>
      </c>
      <c r="N96" s="292" t="inlineStr">
        <is>
          <t>In Stock</t>
        </is>
      </c>
      <c r="O96" s="292" t="n">
        <v>4</v>
      </c>
      <c r="P96" s="292" t="n">
        <v>2</v>
      </c>
      <c r="Q96" s="292" t="n">
        <v>3</v>
      </c>
      <c r="R96" s="292" t="n">
        <v>4</v>
      </c>
      <c r="S96" s="292" t="n">
        <v>6</v>
      </c>
      <c r="T96" s="292" t="n">
        <v>5</v>
      </c>
      <c r="U96" s="292" t="n">
        <v>5</v>
      </c>
      <c r="V96" s="292" t="n">
        <v>3</v>
      </c>
      <c r="W96" s="292" t="n">
        <v>5</v>
      </c>
      <c r="X96" s="292" t="n">
        <v>4</v>
      </c>
      <c r="Y96" s="292" t="n">
        <v>7</v>
      </c>
      <c r="Z96" s="292" t="n">
        <v>5</v>
      </c>
      <c r="AA96" s="292" t="n">
        <v>9</v>
      </c>
      <c r="AB96" s="292" t="n">
        <v>4</v>
      </c>
      <c r="AC96" s="292" t="n">
        <v>4</v>
      </c>
      <c r="AD96" s="292" t="n">
        <v>6</v>
      </c>
      <c r="AE96" s="292" t="n">
        <v>5</v>
      </c>
      <c r="AF96" s="292" t="n">
        <v>5</v>
      </c>
      <c r="AG96" s="292" t="n">
        <v>5</v>
      </c>
      <c r="AH96" s="292" t="n">
        <v>6</v>
      </c>
      <c r="AI96" s="292" t="n">
        <v>3</v>
      </c>
      <c r="AJ96" s="292" t="n">
        <v>6</v>
      </c>
      <c r="AK96" s="292" t="n">
        <v>11</v>
      </c>
      <c r="AL96" s="292" t="n">
        <v>2</v>
      </c>
      <c r="AM96" s="292" t="n">
        <v>3</v>
      </c>
      <c r="AN96" s="292" t="n">
        <v>2</v>
      </c>
      <c r="AO96" s="292" t="n">
        <v>6</v>
      </c>
      <c r="AP96" s="292" t="n">
        <v>10</v>
      </c>
      <c r="AQ96" s="292" t="n">
        <v>4</v>
      </c>
      <c r="AR96" s="292" t="n">
        <v>8</v>
      </c>
    </row>
    <row r="97" ht="14.25" customHeight="1" s="133">
      <c r="A97" s="299" t="inlineStr">
        <is>
          <t>PK-1095</t>
        </is>
      </c>
      <c r="B97" s="299" t="inlineStr">
        <is>
          <t>Bata Men Leather Shoes</t>
        </is>
      </c>
      <c r="C97" s="299" t="inlineStr">
        <is>
          <t>Clothing &amp; Textiles</t>
        </is>
      </c>
      <c r="D97" s="299" t="inlineStr">
        <is>
          <t>Footwear</t>
        </is>
      </c>
      <c r="E97" s="299" t="inlineStr">
        <is>
          <t>BATMS</t>
        </is>
      </c>
      <c r="F97" s="299" t="inlineStr">
        <is>
          <t>Unit</t>
        </is>
      </c>
      <c r="G97" s="300" t="n">
        <v>5</v>
      </c>
      <c r="H97" s="300" t="n">
        <v>5</v>
      </c>
      <c r="I97" s="300" t="n">
        <v>15</v>
      </c>
      <c r="J97" s="300" t="n">
        <v>17500</v>
      </c>
      <c r="K97" s="301" t="n">
        <v>3500</v>
      </c>
      <c r="L97" s="300" t="inlineStr">
        <is>
          <t>5,200.00</t>
        </is>
      </c>
      <c r="M97" s="302">
        <f>IF(L97=0,0,(L97-K97)/L97)</f>
        <v/>
      </c>
      <c r="N97" s="300" t="inlineStr">
        <is>
          <t>In Stock</t>
        </is>
      </c>
      <c r="O97" s="300" t="n">
        <v>1</v>
      </c>
      <c r="P97" s="300" t="n">
        <v>2</v>
      </c>
      <c r="Q97" s="300" t="n">
        <v>4</v>
      </c>
      <c r="R97" s="300" t="n">
        <v>5</v>
      </c>
      <c r="S97" s="300" t="n">
        <v>6</v>
      </c>
      <c r="T97" s="300" t="n">
        <v>6</v>
      </c>
      <c r="U97" s="300" t="n">
        <v>5</v>
      </c>
      <c r="V97" s="300" t="n">
        <v>3</v>
      </c>
      <c r="W97" s="300" t="n">
        <v>4</v>
      </c>
      <c r="X97" s="300" t="n">
        <v>3</v>
      </c>
      <c r="Y97" s="300" t="n">
        <v>2</v>
      </c>
      <c r="Z97" s="300" t="n">
        <v>9</v>
      </c>
      <c r="AA97" s="300" t="n">
        <v>8</v>
      </c>
      <c r="AB97" s="300" t="n">
        <v>3</v>
      </c>
      <c r="AC97" s="300" t="n">
        <v>1</v>
      </c>
      <c r="AD97" s="300" t="n">
        <v>6</v>
      </c>
      <c r="AE97" s="300" t="n">
        <v>2</v>
      </c>
      <c r="AF97" s="300" t="n">
        <v>4</v>
      </c>
      <c r="AG97" s="300" t="n">
        <v>1</v>
      </c>
      <c r="AH97" s="300" t="n">
        <v>9</v>
      </c>
      <c r="AI97" s="300" t="n">
        <v>5</v>
      </c>
      <c r="AJ97" s="300" t="n">
        <v>5</v>
      </c>
      <c r="AK97" s="300" t="n">
        <v>7</v>
      </c>
      <c r="AL97" s="300" t="n">
        <v>3</v>
      </c>
      <c r="AM97" s="300" t="n">
        <v>2</v>
      </c>
      <c r="AN97" s="300" t="n">
        <v>4</v>
      </c>
      <c r="AO97" s="300" t="n">
        <v>1</v>
      </c>
      <c r="AP97" s="300" t="n">
        <v>5</v>
      </c>
      <c r="AQ97" s="300" t="n">
        <v>5</v>
      </c>
      <c r="AR97" s="300" t="n">
        <v>4</v>
      </c>
    </row>
    <row r="98" ht="14.25" customHeight="1" s="133">
      <c r="A98" s="291" t="inlineStr">
        <is>
          <t>PK-1096</t>
        </is>
      </c>
      <c r="B98" s="291" t="inlineStr">
        <is>
          <t>Bata Women Pumps</t>
        </is>
      </c>
      <c r="C98" s="291" t="inlineStr">
        <is>
          <t>Clothing &amp; Textiles</t>
        </is>
      </c>
      <c r="D98" s="291" t="inlineStr">
        <is>
          <t>Footwear</t>
        </is>
      </c>
      <c r="E98" s="291" t="inlineStr">
        <is>
          <t>BATWS</t>
        </is>
      </c>
      <c r="F98" s="291" t="inlineStr">
        <is>
          <t>Unit</t>
        </is>
      </c>
      <c r="G98" s="292" t="n">
        <v>48</v>
      </c>
      <c r="H98" s="292" t="n">
        <v>5</v>
      </c>
      <c r="I98" s="292" t="n">
        <v>15</v>
      </c>
      <c r="J98" s="292" t="n">
        <v>134400</v>
      </c>
      <c r="K98" s="293" t="n">
        <v>2800</v>
      </c>
      <c r="L98" s="292" t="inlineStr">
        <is>
          <t>4,200.00</t>
        </is>
      </c>
      <c r="M98" s="294">
        <f>IF(L98=0,0,(L98-K98)/L98)</f>
        <v/>
      </c>
      <c r="N98" s="292" t="inlineStr">
        <is>
          <t>In Stock</t>
        </is>
      </c>
      <c r="O98" s="292" t="n">
        <v>3</v>
      </c>
      <c r="P98" s="292" t="n">
        <v>1</v>
      </c>
      <c r="Q98" s="292" t="n">
        <v>5</v>
      </c>
      <c r="R98" s="292" t="n">
        <v>4</v>
      </c>
      <c r="S98" s="292" t="n">
        <v>5</v>
      </c>
      <c r="T98" s="292" t="n">
        <v>5</v>
      </c>
      <c r="U98" s="292" t="n">
        <v>5</v>
      </c>
      <c r="V98" s="292" t="n">
        <v>2</v>
      </c>
      <c r="W98" s="292" t="n">
        <v>3</v>
      </c>
      <c r="X98" s="292" t="n">
        <v>4</v>
      </c>
      <c r="Y98" s="292" t="n">
        <v>4</v>
      </c>
      <c r="Z98" s="292" t="n">
        <v>2</v>
      </c>
      <c r="AA98" s="292" t="n">
        <v>7</v>
      </c>
      <c r="AB98" s="292" t="n">
        <v>3</v>
      </c>
      <c r="AC98" s="292" t="n">
        <v>1</v>
      </c>
      <c r="AD98" s="292" t="n">
        <v>3</v>
      </c>
      <c r="AE98" s="292" t="n">
        <v>4</v>
      </c>
      <c r="AF98" s="292" t="n">
        <v>3</v>
      </c>
      <c r="AG98" s="292" t="n">
        <v>8</v>
      </c>
      <c r="AH98" s="292" t="n">
        <v>2</v>
      </c>
      <c r="AI98" s="292" t="n">
        <v>5</v>
      </c>
      <c r="AJ98" s="292" t="n">
        <v>2</v>
      </c>
      <c r="AK98" s="292" t="n">
        <v>3</v>
      </c>
      <c r="AL98" s="292" t="n">
        <v>5</v>
      </c>
      <c r="AM98" s="292" t="n">
        <v>4</v>
      </c>
      <c r="AN98" s="292" t="n">
        <v>4</v>
      </c>
      <c r="AO98" s="292" t="n">
        <v>2</v>
      </c>
      <c r="AP98" s="292" t="n">
        <v>4</v>
      </c>
      <c r="AQ98" s="292" t="n">
        <v>4</v>
      </c>
      <c r="AR98" s="292" t="n">
        <v>2</v>
      </c>
    </row>
    <row r="99" ht="14.25" customHeight="1" s="133">
      <c r="A99" s="299" t="inlineStr">
        <is>
          <t>PK-1097</t>
        </is>
      </c>
      <c r="B99" s="299" t="inlineStr">
        <is>
          <t>Servis Men Sandals</t>
        </is>
      </c>
      <c r="C99" s="299" t="inlineStr">
        <is>
          <t>Clothing &amp; Textiles</t>
        </is>
      </c>
      <c r="D99" s="299" t="inlineStr">
        <is>
          <t>Footwear</t>
        </is>
      </c>
      <c r="E99" s="299" t="inlineStr">
        <is>
          <t>SRVMS</t>
        </is>
      </c>
      <c r="F99" s="299" t="inlineStr">
        <is>
          <t>Unit</t>
        </is>
      </c>
      <c r="G99" s="300" t="n">
        <v>30</v>
      </c>
      <c r="H99" s="300" t="n">
        <v>10</v>
      </c>
      <c r="I99" s="300" t="n">
        <v>20</v>
      </c>
      <c r="J99" s="300" t="n">
        <v>36000</v>
      </c>
      <c r="K99" s="301" t="n">
        <v>1200</v>
      </c>
      <c r="L99" s="300" t="inlineStr">
        <is>
          <t>1,900.00</t>
        </is>
      </c>
      <c r="M99" s="302">
        <f>IF(L99=0,0,(L99-K99)/L99)</f>
        <v/>
      </c>
      <c r="N99" s="300" t="inlineStr">
        <is>
          <t>In Stock</t>
        </is>
      </c>
      <c r="O99" s="300" t="n">
        <v>4</v>
      </c>
      <c r="P99" s="300" t="n">
        <v>3</v>
      </c>
      <c r="Q99" s="300" t="n">
        <v>8</v>
      </c>
      <c r="R99" s="300" t="n">
        <v>2</v>
      </c>
      <c r="S99" s="300" t="n">
        <v>2</v>
      </c>
      <c r="T99" s="300" t="n">
        <v>6</v>
      </c>
      <c r="U99" s="300" t="n">
        <v>5</v>
      </c>
      <c r="V99" s="300" t="n">
        <v>2</v>
      </c>
      <c r="W99" s="300" t="n">
        <v>3</v>
      </c>
      <c r="X99" s="300" t="n">
        <v>4</v>
      </c>
      <c r="Y99" s="300" t="n">
        <v>3</v>
      </c>
      <c r="Z99" s="300" t="n">
        <v>2</v>
      </c>
      <c r="AA99" s="300" t="n">
        <v>3</v>
      </c>
      <c r="AB99" s="300" t="n">
        <v>5</v>
      </c>
      <c r="AC99" s="300" t="n">
        <v>2</v>
      </c>
      <c r="AD99" s="300" t="n">
        <v>2</v>
      </c>
      <c r="AE99" s="300" t="n">
        <v>3</v>
      </c>
      <c r="AF99" s="300" t="n">
        <v>3</v>
      </c>
      <c r="AG99" s="300" t="n">
        <v>6</v>
      </c>
      <c r="AH99" s="300" t="n">
        <v>1</v>
      </c>
      <c r="AI99" s="300" t="n">
        <v>3</v>
      </c>
      <c r="AJ99" s="300" t="n">
        <v>3</v>
      </c>
      <c r="AK99" s="300" t="n">
        <v>9</v>
      </c>
      <c r="AL99" s="300" t="n">
        <v>6</v>
      </c>
      <c r="AM99" s="300" t="n">
        <v>4</v>
      </c>
      <c r="AN99" s="300" t="n">
        <v>4</v>
      </c>
      <c r="AO99" s="300" t="n">
        <v>8</v>
      </c>
      <c r="AP99" s="300" t="n">
        <v>3</v>
      </c>
      <c r="AQ99" s="300" t="n">
        <v>3</v>
      </c>
      <c r="AR99" s="300" t="n">
        <v>6</v>
      </c>
    </row>
    <row r="100" ht="14.25" customHeight="1" s="133">
      <c r="A100" s="291" t="inlineStr">
        <is>
          <t>PK-1098</t>
        </is>
      </c>
      <c r="B100" s="291" t="inlineStr">
        <is>
          <t>Servis School Shoes</t>
        </is>
      </c>
      <c r="C100" s="291" t="inlineStr">
        <is>
          <t>Clothing &amp; Textiles</t>
        </is>
      </c>
      <c r="D100" s="291" t="inlineStr">
        <is>
          <t>Footwear</t>
        </is>
      </c>
      <c r="E100" s="291" t="inlineStr">
        <is>
          <t>SRVSS</t>
        </is>
      </c>
      <c r="F100" s="291" t="inlineStr">
        <is>
          <t>Unit</t>
        </is>
      </c>
      <c r="G100" s="292" t="n">
        <v>85</v>
      </c>
      <c r="H100" s="292" t="n">
        <v>8</v>
      </c>
      <c r="I100" s="292" t="n">
        <v>20</v>
      </c>
      <c r="J100" s="292" t="n">
        <v>127500</v>
      </c>
      <c r="K100" s="293" t="n">
        <v>1500</v>
      </c>
      <c r="L100" s="292" t="inlineStr">
        <is>
          <t>2,300.00</t>
        </is>
      </c>
      <c r="M100" s="294">
        <f>IF(L100=0,0,(L100-K100)/L100)</f>
        <v/>
      </c>
      <c r="N100" s="292" t="inlineStr">
        <is>
          <t>In Stock</t>
        </is>
      </c>
      <c r="O100" s="292" t="n">
        <v>4</v>
      </c>
      <c r="P100" s="292" t="n">
        <v>5</v>
      </c>
      <c r="Q100" s="292" t="n">
        <v>8</v>
      </c>
      <c r="R100" s="292" t="n">
        <v>5</v>
      </c>
      <c r="S100" s="292" t="n">
        <v>6</v>
      </c>
      <c r="T100" s="292" t="n">
        <v>1</v>
      </c>
      <c r="U100" s="292" t="n">
        <v>2</v>
      </c>
      <c r="V100" s="292" t="n">
        <v>3</v>
      </c>
      <c r="W100" s="292" t="n">
        <v>5</v>
      </c>
      <c r="X100" s="292" t="n">
        <v>3</v>
      </c>
      <c r="Y100" s="292" t="n">
        <v>2</v>
      </c>
      <c r="Z100" s="292" t="n">
        <v>8</v>
      </c>
      <c r="AA100" s="292" t="n">
        <v>5</v>
      </c>
      <c r="AB100" s="292" t="n">
        <v>4</v>
      </c>
      <c r="AC100" s="292" t="n">
        <v>3</v>
      </c>
      <c r="AD100" s="292" t="n">
        <v>6</v>
      </c>
      <c r="AE100" s="292" t="n">
        <v>7</v>
      </c>
      <c r="AF100" s="292" t="n">
        <v>3</v>
      </c>
      <c r="AG100" s="292" t="n">
        <v>2</v>
      </c>
      <c r="AH100" s="292" t="n">
        <v>8</v>
      </c>
      <c r="AI100" s="292" t="n">
        <v>3</v>
      </c>
      <c r="AJ100" s="292" t="n">
        <v>4</v>
      </c>
      <c r="AK100" s="292" t="n">
        <v>5</v>
      </c>
      <c r="AL100" s="292" t="n">
        <v>1</v>
      </c>
      <c r="AM100" s="292" t="n">
        <v>4</v>
      </c>
      <c r="AN100" s="292" t="n">
        <v>7</v>
      </c>
      <c r="AO100" s="292" t="n">
        <v>5</v>
      </c>
      <c r="AP100" s="292" t="n">
        <v>1</v>
      </c>
      <c r="AQ100" s="292" t="n">
        <v>2</v>
      </c>
      <c r="AR100" s="292" t="n">
        <v>2</v>
      </c>
    </row>
    <row r="101" ht="14.25" customHeight="1" s="133">
      <c r="A101" s="299" t="inlineStr">
        <is>
          <t>PK-1099</t>
        </is>
      </c>
      <c r="B101" s="299" t="inlineStr">
        <is>
          <t>Nike Air Max (Replica)</t>
        </is>
      </c>
      <c r="C101" s="299" t="inlineStr">
        <is>
          <t>Clothing &amp; Textiles</t>
        </is>
      </c>
      <c r="D101" s="299" t="inlineStr">
        <is>
          <t>Footwear</t>
        </is>
      </c>
      <c r="E101" s="299" t="inlineStr">
        <is>
          <t>NKAM</t>
        </is>
      </c>
      <c r="F101" s="299" t="inlineStr">
        <is>
          <t>Unit</t>
        </is>
      </c>
      <c r="G101" s="300" t="n">
        <v>143</v>
      </c>
      <c r="H101" s="300" t="n">
        <v>5</v>
      </c>
      <c r="I101" s="300" t="n">
        <v>10</v>
      </c>
      <c r="J101" s="300" t="n">
        <v>543400</v>
      </c>
      <c r="K101" s="301" t="n">
        <v>3800</v>
      </c>
      <c r="L101" s="300" t="inlineStr">
        <is>
          <t>6,000.00</t>
        </is>
      </c>
      <c r="M101" s="302">
        <f>IF(L101=0,0,(L101-K101)/L101)</f>
        <v/>
      </c>
      <c r="N101" s="300" t="inlineStr">
        <is>
          <t>In Stock</t>
        </is>
      </c>
      <c r="O101" s="300" t="n">
        <v>4</v>
      </c>
      <c r="P101" s="300" t="n">
        <v>3</v>
      </c>
      <c r="Q101" s="300" t="n">
        <v>2</v>
      </c>
      <c r="R101" s="300" t="n">
        <v>3</v>
      </c>
      <c r="S101" s="300" t="n">
        <v>1</v>
      </c>
      <c r="T101" s="300" t="n">
        <v>8</v>
      </c>
      <c r="U101" s="300" t="n">
        <v>5</v>
      </c>
      <c r="V101" s="300" t="n">
        <v>3</v>
      </c>
      <c r="W101" s="300" t="n">
        <v>2</v>
      </c>
      <c r="X101" s="300" t="n">
        <v>5</v>
      </c>
      <c r="Y101" s="300" t="n">
        <v>2</v>
      </c>
      <c r="Z101" s="300" t="n">
        <v>1</v>
      </c>
      <c r="AA101" s="300" t="n">
        <v>7</v>
      </c>
      <c r="AB101" s="300" t="n">
        <v>4</v>
      </c>
      <c r="AC101" s="300" t="n">
        <v>6</v>
      </c>
      <c r="AD101" s="300" t="n">
        <v>2</v>
      </c>
      <c r="AE101" s="300" t="n">
        <v>4</v>
      </c>
      <c r="AF101" s="300" t="n">
        <v>5</v>
      </c>
      <c r="AG101" s="300" t="n">
        <v>7</v>
      </c>
      <c r="AH101" s="300" t="n">
        <v>5</v>
      </c>
      <c r="AI101" s="300" t="n">
        <v>5</v>
      </c>
      <c r="AJ101" s="300" t="n">
        <v>3</v>
      </c>
      <c r="AK101" s="300" t="n">
        <v>6</v>
      </c>
      <c r="AL101" s="300" t="n">
        <v>5</v>
      </c>
      <c r="AM101" s="300" t="n">
        <v>2</v>
      </c>
      <c r="AN101" s="300" t="n">
        <v>5</v>
      </c>
      <c r="AO101" s="300" t="n">
        <v>5</v>
      </c>
      <c r="AP101" s="300" t="n">
        <v>8</v>
      </c>
      <c r="AQ101" s="300" t="n">
        <v>6</v>
      </c>
      <c r="AR101" s="300" t="n">
        <v>11</v>
      </c>
    </row>
    <row r="102" ht="14.25" customHeight="1" s="133">
      <c r="A102" s="291" t="inlineStr">
        <is>
          <t>PK-1100</t>
        </is>
      </c>
      <c r="B102" s="291" t="inlineStr">
        <is>
          <t>Stylo Women Heels</t>
        </is>
      </c>
      <c r="C102" s="291" t="inlineStr">
        <is>
          <t>Clothing &amp; Textiles</t>
        </is>
      </c>
      <c r="D102" s="291" t="inlineStr">
        <is>
          <t>Footwear</t>
        </is>
      </c>
      <c r="E102" s="291" t="inlineStr">
        <is>
          <t>STYWH</t>
        </is>
      </c>
      <c r="F102" s="291" t="inlineStr">
        <is>
          <t>Unit</t>
        </is>
      </c>
      <c r="G102" s="292" t="n">
        <v>8</v>
      </c>
      <c r="H102" s="292" t="n">
        <v>5</v>
      </c>
      <c r="I102" s="292" t="n">
        <v>15</v>
      </c>
      <c r="J102" s="292" t="n">
        <v>17600</v>
      </c>
      <c r="K102" s="293" t="n">
        <v>2200</v>
      </c>
      <c r="L102" s="292" t="inlineStr">
        <is>
          <t>3,400.00</t>
        </is>
      </c>
      <c r="M102" s="294">
        <f>IF(L102=0,0,(L102-K102)/L102)</f>
        <v/>
      </c>
      <c r="N102" s="292" t="inlineStr">
        <is>
          <t>In Stock</t>
        </is>
      </c>
      <c r="O102" s="292" t="n">
        <v>4</v>
      </c>
      <c r="P102" s="292" t="n">
        <v>4</v>
      </c>
      <c r="Q102" s="292" t="n">
        <v>3</v>
      </c>
      <c r="R102" s="292" t="n">
        <v>2</v>
      </c>
      <c r="S102" s="292" t="n">
        <v>2</v>
      </c>
      <c r="T102" s="292" t="n">
        <v>4</v>
      </c>
      <c r="U102" s="292" t="n">
        <v>6</v>
      </c>
      <c r="V102" s="292" t="n">
        <v>4</v>
      </c>
      <c r="W102" s="292" t="n">
        <v>3</v>
      </c>
      <c r="X102" s="292" t="n">
        <v>4</v>
      </c>
      <c r="Y102" s="292" t="n">
        <v>6</v>
      </c>
      <c r="Z102" s="292" t="n">
        <v>3</v>
      </c>
      <c r="AA102" s="292" t="n">
        <v>7</v>
      </c>
      <c r="AB102" s="292" t="n">
        <v>3</v>
      </c>
      <c r="AC102" s="292" t="n">
        <v>4</v>
      </c>
      <c r="AD102" s="292" t="n">
        <v>3</v>
      </c>
      <c r="AE102" s="292" t="n">
        <v>4</v>
      </c>
      <c r="AF102" s="292" t="n">
        <v>1</v>
      </c>
      <c r="AG102" s="292" t="n">
        <v>7</v>
      </c>
      <c r="AH102" s="292" t="n">
        <v>3</v>
      </c>
      <c r="AI102" s="292" t="n">
        <v>5</v>
      </c>
      <c r="AJ102" s="292" t="n">
        <v>3</v>
      </c>
      <c r="AK102" s="292" t="n">
        <v>6</v>
      </c>
      <c r="AL102" s="292" t="n">
        <v>1</v>
      </c>
      <c r="AM102" s="292" t="n">
        <v>9</v>
      </c>
      <c r="AN102" s="292" t="n">
        <v>5</v>
      </c>
      <c r="AO102" s="292" t="n">
        <v>2</v>
      </c>
      <c r="AP102" s="292" t="n">
        <v>4</v>
      </c>
      <c r="AQ102" s="292" t="n">
        <v>3</v>
      </c>
      <c r="AR102" s="292" t="n">
        <v>4</v>
      </c>
    </row>
    <row r="103" ht="14.25" customHeight="1" s="133">
      <c r="A103" s="299" t="inlineStr">
        <is>
          <t>PK-1101</t>
        </is>
      </c>
      <c r="B103" s="299" t="inlineStr">
        <is>
          <t>Metro Men Casual</t>
        </is>
      </c>
      <c r="C103" s="299" t="inlineStr">
        <is>
          <t>Clothing &amp; Textiles</t>
        </is>
      </c>
      <c r="D103" s="299" t="inlineStr">
        <is>
          <t>Footwear</t>
        </is>
      </c>
      <c r="E103" s="299" t="inlineStr">
        <is>
          <t>MTRMC</t>
        </is>
      </c>
      <c r="F103" s="299" t="inlineStr">
        <is>
          <t>Unit</t>
        </is>
      </c>
      <c r="G103" s="300" t="n">
        <v>148</v>
      </c>
      <c r="H103" s="300" t="n">
        <v>8</v>
      </c>
      <c r="I103" s="300" t="n">
        <v>20</v>
      </c>
      <c r="J103" s="300" t="n">
        <v>266400</v>
      </c>
      <c r="K103" s="301" t="n">
        <v>1800</v>
      </c>
      <c r="L103" s="300" t="inlineStr">
        <is>
          <t>2,800.00</t>
        </is>
      </c>
      <c r="M103" s="302">
        <f>IF(L103=0,0,(L103-K103)/L103)</f>
        <v/>
      </c>
      <c r="N103" s="300" t="inlineStr">
        <is>
          <t>In Stock</t>
        </is>
      </c>
      <c r="O103" s="300" t="n">
        <v>4</v>
      </c>
      <c r="P103" s="300" t="n">
        <v>1</v>
      </c>
      <c r="Q103" s="300" t="n">
        <v>4</v>
      </c>
      <c r="R103" s="300" t="n">
        <v>5</v>
      </c>
      <c r="S103" s="300" t="n">
        <v>7</v>
      </c>
      <c r="T103" s="300" t="n">
        <v>2</v>
      </c>
      <c r="U103" s="300" t="n">
        <v>5</v>
      </c>
      <c r="V103" s="300" t="n">
        <v>4</v>
      </c>
      <c r="W103" s="300" t="n">
        <v>3</v>
      </c>
      <c r="X103" s="300" t="n">
        <v>6</v>
      </c>
      <c r="Y103" s="300" t="n">
        <v>4</v>
      </c>
      <c r="Z103" s="300" t="n">
        <v>7</v>
      </c>
      <c r="AA103" s="300" t="n">
        <v>9</v>
      </c>
      <c r="AB103" s="300" t="n">
        <v>1</v>
      </c>
      <c r="AC103" s="300" t="n">
        <v>5</v>
      </c>
      <c r="AD103" s="300" t="n">
        <v>4</v>
      </c>
      <c r="AE103" s="300" t="n">
        <v>2</v>
      </c>
      <c r="AF103" s="300" t="n">
        <v>4</v>
      </c>
      <c r="AG103" s="300" t="n">
        <v>6</v>
      </c>
      <c r="AH103" s="300" t="n">
        <v>7</v>
      </c>
      <c r="AI103" s="300" t="n">
        <v>4</v>
      </c>
      <c r="AJ103" s="300" t="n">
        <v>3</v>
      </c>
      <c r="AK103" s="300" t="n">
        <v>3</v>
      </c>
      <c r="AL103" s="300" t="n">
        <v>5</v>
      </c>
      <c r="AM103" s="300" t="n">
        <v>3</v>
      </c>
      <c r="AN103" s="300" t="n">
        <v>7</v>
      </c>
      <c r="AO103" s="300" t="n">
        <v>6</v>
      </c>
      <c r="AP103" s="300" t="n">
        <v>4</v>
      </c>
      <c r="AQ103" s="300" t="n">
        <v>6</v>
      </c>
      <c r="AR103" s="300" t="n">
        <v>2</v>
      </c>
    </row>
    <row r="104" ht="14.25" customHeight="1" s="133">
      <c r="A104" s="291" t="inlineStr">
        <is>
          <t>PK-1102</t>
        </is>
      </c>
      <c r="B104" s="291" t="inlineStr">
        <is>
          <t>Hush Puppies Loafers</t>
        </is>
      </c>
      <c r="C104" s="291" t="inlineStr">
        <is>
          <t>Clothing &amp; Textiles</t>
        </is>
      </c>
      <c r="D104" s="291" t="inlineStr">
        <is>
          <t>Footwear</t>
        </is>
      </c>
      <c r="E104" s="291" t="inlineStr">
        <is>
          <t>HPLF</t>
        </is>
      </c>
      <c r="F104" s="291" t="inlineStr">
        <is>
          <t>Unit</t>
        </is>
      </c>
      <c r="G104" s="292" t="n">
        <v>141</v>
      </c>
      <c r="H104" s="292" t="n">
        <v>5</v>
      </c>
      <c r="I104" s="292" t="n">
        <v>10</v>
      </c>
      <c r="J104" s="292" t="n">
        <v>592200</v>
      </c>
      <c r="K104" s="293" t="n">
        <v>4200</v>
      </c>
      <c r="L104" s="292" t="inlineStr">
        <is>
          <t>6,500.00</t>
        </is>
      </c>
      <c r="M104" s="294">
        <f>IF(L104=0,0,(L104-K104)/L104)</f>
        <v/>
      </c>
      <c r="N104" s="292" t="inlineStr">
        <is>
          <t>In Stock</t>
        </is>
      </c>
      <c r="O104" s="292" t="n">
        <v>3</v>
      </c>
      <c r="P104" s="292" t="n">
        <v>3</v>
      </c>
      <c r="Q104" s="292" t="n">
        <v>4</v>
      </c>
      <c r="R104" s="292" t="n">
        <v>2</v>
      </c>
      <c r="S104" s="292" t="n">
        <v>5</v>
      </c>
      <c r="T104" s="292" t="n">
        <v>6</v>
      </c>
      <c r="U104" s="292" t="n">
        <v>3</v>
      </c>
      <c r="V104" s="292" t="n">
        <v>5</v>
      </c>
      <c r="W104" s="292" t="n">
        <v>2</v>
      </c>
      <c r="X104" s="292" t="n">
        <v>8</v>
      </c>
      <c r="Y104" s="292" t="n">
        <v>1</v>
      </c>
      <c r="Z104" s="292" t="n">
        <v>5</v>
      </c>
      <c r="AA104" s="292" t="n">
        <v>7</v>
      </c>
      <c r="AB104" s="292" t="n">
        <v>3</v>
      </c>
      <c r="AC104" s="292" t="n">
        <v>3</v>
      </c>
      <c r="AD104" s="292" t="n">
        <v>2</v>
      </c>
      <c r="AE104" s="292" t="n">
        <v>1</v>
      </c>
      <c r="AF104" s="292" t="n">
        <v>2</v>
      </c>
      <c r="AG104" s="292" t="n">
        <v>4</v>
      </c>
      <c r="AH104" s="292" t="n">
        <v>5</v>
      </c>
      <c r="AI104" s="292" t="n">
        <v>7</v>
      </c>
      <c r="AJ104" s="292" t="n">
        <v>1</v>
      </c>
      <c r="AK104" s="292" t="n">
        <v>4</v>
      </c>
      <c r="AL104" s="292" t="n">
        <v>4</v>
      </c>
      <c r="AM104" s="292" t="n">
        <v>8</v>
      </c>
      <c r="AN104" s="292" t="n">
        <v>7</v>
      </c>
      <c r="AO104" s="292" t="n">
        <v>7</v>
      </c>
      <c r="AP104" s="292" t="n">
        <v>4</v>
      </c>
      <c r="AQ104" s="292" t="n">
        <v>3</v>
      </c>
      <c r="AR104" s="292" t="n">
        <v>6</v>
      </c>
    </row>
    <row r="105" ht="14.25" customHeight="1" s="133">
      <c r="A105" s="299" t="inlineStr">
        <is>
          <t>PK-1103</t>
        </is>
      </c>
      <c r="B105" s="299" t="inlineStr">
        <is>
          <t>Lawn Fabric per meter</t>
        </is>
      </c>
      <c r="C105" s="299" t="inlineStr">
        <is>
          <t>Clothing &amp; Textiles</t>
        </is>
      </c>
      <c r="D105" s="299" t="inlineStr">
        <is>
          <t>Fabric &amp; Accessories</t>
        </is>
      </c>
      <c r="E105" s="299" t="inlineStr">
        <is>
          <t>LWNFBR</t>
        </is>
      </c>
      <c r="F105" s="299" t="inlineStr">
        <is>
          <t>Unit</t>
        </is>
      </c>
      <c r="G105" s="300" t="n">
        <v>64</v>
      </c>
      <c r="H105" s="300" t="n">
        <v>20</v>
      </c>
      <c r="I105" s="300" t="n">
        <v>100</v>
      </c>
      <c r="J105" s="300" t="n">
        <v>16000</v>
      </c>
      <c r="K105" s="301" t="n">
        <v>250</v>
      </c>
      <c r="L105" s="300" t="inlineStr">
        <is>
          <t>380.00</t>
        </is>
      </c>
      <c r="M105" s="302">
        <f>IF(L105=0,0,(L105-K105)/L105)</f>
        <v/>
      </c>
      <c r="N105" s="300" t="inlineStr">
        <is>
          <t>In Stock</t>
        </is>
      </c>
      <c r="O105" s="300" t="n">
        <v>5</v>
      </c>
      <c r="P105" s="300" t="n">
        <v>5</v>
      </c>
      <c r="Q105" s="300" t="n">
        <v>6</v>
      </c>
      <c r="R105" s="300" t="n">
        <v>2</v>
      </c>
      <c r="S105" s="300" t="n">
        <v>7</v>
      </c>
      <c r="T105" s="300" t="n">
        <v>5</v>
      </c>
      <c r="U105" s="300" t="n">
        <v>2</v>
      </c>
      <c r="V105" s="300" t="n">
        <v>9</v>
      </c>
      <c r="W105" s="300" t="n">
        <v>4</v>
      </c>
      <c r="X105" s="300" t="n">
        <v>6</v>
      </c>
      <c r="Y105" s="300" t="n">
        <v>6</v>
      </c>
      <c r="Z105" s="300" t="n">
        <v>8</v>
      </c>
      <c r="AA105" s="300" t="n">
        <v>6</v>
      </c>
      <c r="AB105" s="300" t="n">
        <v>3</v>
      </c>
      <c r="AC105" s="300" t="n">
        <v>6</v>
      </c>
      <c r="AD105" s="300" t="n">
        <v>5</v>
      </c>
      <c r="AE105" s="300" t="n">
        <v>6</v>
      </c>
      <c r="AF105" s="300" t="n">
        <v>3</v>
      </c>
      <c r="AG105" s="300" t="n">
        <v>4</v>
      </c>
      <c r="AH105" s="300" t="n">
        <v>9</v>
      </c>
      <c r="AI105" s="300" t="n">
        <v>3</v>
      </c>
      <c r="AJ105" s="300" t="n">
        <v>3</v>
      </c>
      <c r="AK105" s="300" t="n">
        <v>10</v>
      </c>
      <c r="AL105" s="300" t="n">
        <v>4</v>
      </c>
      <c r="AM105" s="300" t="n">
        <v>6</v>
      </c>
      <c r="AN105" s="300" t="n">
        <v>7</v>
      </c>
      <c r="AO105" s="300" t="n">
        <v>8</v>
      </c>
      <c r="AP105" s="300" t="n">
        <v>2</v>
      </c>
      <c r="AQ105" s="300" t="n">
        <v>3</v>
      </c>
      <c r="AR105" s="300" t="n">
        <v>6</v>
      </c>
    </row>
    <row r="106" ht="14.25" customHeight="1" s="133">
      <c r="A106" s="291" t="inlineStr">
        <is>
          <t>PK-1104</t>
        </is>
      </c>
      <c r="B106" s="291" t="inlineStr">
        <is>
          <t>Chiffon Fabric per meter</t>
        </is>
      </c>
      <c r="C106" s="291" t="inlineStr">
        <is>
          <t>Clothing &amp; Textiles</t>
        </is>
      </c>
      <c r="D106" s="291" t="inlineStr">
        <is>
          <t>Fabric &amp; Accessories</t>
        </is>
      </c>
      <c r="E106" s="291" t="inlineStr">
        <is>
          <t>CHFFN</t>
        </is>
      </c>
      <c r="F106" s="291" t="inlineStr">
        <is>
          <t>Unit</t>
        </is>
      </c>
      <c r="G106" s="292" t="n">
        <v>100</v>
      </c>
      <c r="H106" s="292" t="n">
        <v>20</v>
      </c>
      <c r="I106" s="292" t="n">
        <v>100</v>
      </c>
      <c r="J106" s="292" t="n">
        <v>35000</v>
      </c>
      <c r="K106" s="293" t="n">
        <v>350</v>
      </c>
      <c r="L106" s="292" t="inlineStr">
        <is>
          <t>520.00</t>
        </is>
      </c>
      <c r="M106" s="294">
        <f>IF(L106=0,0,(L106-K106)/L106)</f>
        <v/>
      </c>
      <c r="N106" s="292" t="inlineStr">
        <is>
          <t>In Stock</t>
        </is>
      </c>
      <c r="O106" s="292" t="n">
        <v>5</v>
      </c>
      <c r="P106" s="292" t="n">
        <v>6</v>
      </c>
      <c r="Q106" s="292" t="n">
        <v>1</v>
      </c>
      <c r="R106" s="292" t="n">
        <v>4</v>
      </c>
      <c r="S106" s="292" t="n">
        <v>10</v>
      </c>
      <c r="T106" s="292" t="n">
        <v>17</v>
      </c>
      <c r="U106" s="292" t="n">
        <v>4</v>
      </c>
      <c r="V106" s="292" t="n">
        <v>5</v>
      </c>
      <c r="W106" s="292" t="n">
        <v>7</v>
      </c>
      <c r="X106" s="292" t="n">
        <v>7</v>
      </c>
      <c r="Y106" s="292" t="n">
        <v>3</v>
      </c>
      <c r="Z106" s="292" t="n">
        <v>7</v>
      </c>
      <c r="AA106" s="292" t="n">
        <v>6</v>
      </c>
      <c r="AB106" s="292" t="n">
        <v>5</v>
      </c>
      <c r="AC106" s="292" t="n">
        <v>6</v>
      </c>
      <c r="AD106" s="292" t="n">
        <v>8</v>
      </c>
      <c r="AE106" s="292" t="n">
        <v>5</v>
      </c>
      <c r="AF106" s="292" t="n">
        <v>4</v>
      </c>
      <c r="AG106" s="292" t="n">
        <v>8</v>
      </c>
      <c r="AH106" s="292" t="n">
        <v>10</v>
      </c>
      <c r="AI106" s="292" t="n">
        <v>5</v>
      </c>
      <c r="AJ106" s="292" t="n">
        <v>3</v>
      </c>
      <c r="AK106" s="292" t="n">
        <v>10</v>
      </c>
      <c r="AL106" s="292" t="n">
        <v>3</v>
      </c>
      <c r="AM106" s="292" t="n">
        <v>3</v>
      </c>
      <c r="AN106" s="292" t="n">
        <v>2</v>
      </c>
      <c r="AO106" s="292" t="n">
        <v>10</v>
      </c>
      <c r="AP106" s="292" t="n">
        <v>1</v>
      </c>
      <c r="AQ106" s="292" t="n">
        <v>7</v>
      </c>
      <c r="AR106" s="292" t="n">
        <v>4</v>
      </c>
    </row>
    <row r="107" ht="14.25" customHeight="1" s="133">
      <c r="A107" s="299" t="inlineStr">
        <is>
          <t>PK-1105</t>
        </is>
      </c>
      <c r="B107" s="299" t="inlineStr">
        <is>
          <t>Cotton Fabric per meter</t>
        </is>
      </c>
      <c r="C107" s="299" t="inlineStr">
        <is>
          <t>Clothing &amp; Textiles</t>
        </is>
      </c>
      <c r="D107" s="299" t="inlineStr">
        <is>
          <t>Fabric &amp; Accessories</t>
        </is>
      </c>
      <c r="E107" s="299" t="inlineStr">
        <is>
          <t>CTNFBR</t>
        </is>
      </c>
      <c r="F107" s="299" t="inlineStr">
        <is>
          <t>Unit</t>
        </is>
      </c>
      <c r="G107" s="300" t="n">
        <v>136</v>
      </c>
      <c r="H107" s="300" t="n">
        <v>20</v>
      </c>
      <c r="I107" s="300" t="n">
        <v>100</v>
      </c>
      <c r="J107" s="300" t="n">
        <v>27200</v>
      </c>
      <c r="K107" s="301" t="n">
        <v>200</v>
      </c>
      <c r="L107" s="300" t="inlineStr">
        <is>
          <t>310.00</t>
        </is>
      </c>
      <c r="M107" s="302">
        <f>IF(L107=0,0,(L107-K107)/L107)</f>
        <v/>
      </c>
      <c r="N107" s="300" t="inlineStr">
        <is>
          <t>In Stock</t>
        </is>
      </c>
      <c r="O107" s="300" t="n">
        <v>3</v>
      </c>
      <c r="P107" s="300" t="n">
        <v>2</v>
      </c>
      <c r="Q107" s="300" t="n">
        <v>4</v>
      </c>
      <c r="R107" s="300" t="n">
        <v>7</v>
      </c>
      <c r="S107" s="300" t="n">
        <v>7</v>
      </c>
      <c r="T107" s="300" t="n">
        <v>7</v>
      </c>
      <c r="U107" s="300" t="n">
        <v>4</v>
      </c>
      <c r="V107" s="300" t="n">
        <v>4</v>
      </c>
      <c r="W107" s="300" t="n">
        <v>5</v>
      </c>
      <c r="X107" s="300" t="n">
        <v>4</v>
      </c>
      <c r="Y107" s="300" t="n">
        <v>5</v>
      </c>
      <c r="Z107" s="300" t="n">
        <v>5</v>
      </c>
      <c r="AA107" s="300" t="n">
        <v>6</v>
      </c>
      <c r="AB107" s="300" t="n">
        <v>5</v>
      </c>
      <c r="AC107" s="300" t="n">
        <v>6</v>
      </c>
      <c r="AD107" s="300" t="n">
        <v>5</v>
      </c>
      <c r="AE107" s="300" t="n">
        <v>3</v>
      </c>
      <c r="AF107" s="300" t="n">
        <v>4</v>
      </c>
      <c r="AG107" s="300" t="n">
        <v>7</v>
      </c>
      <c r="AH107" s="300" t="n">
        <v>6</v>
      </c>
      <c r="AI107" s="300" t="n">
        <v>5</v>
      </c>
      <c r="AJ107" s="300" t="n">
        <v>5</v>
      </c>
      <c r="AK107" s="300" t="n">
        <v>6</v>
      </c>
      <c r="AL107" s="300" t="n">
        <v>5</v>
      </c>
      <c r="AM107" s="300" t="n">
        <v>5</v>
      </c>
      <c r="AN107" s="300" t="n">
        <v>5</v>
      </c>
      <c r="AO107" s="300" t="n">
        <v>8</v>
      </c>
      <c r="AP107" s="300" t="n">
        <v>4</v>
      </c>
      <c r="AQ107" s="300" t="n">
        <v>5</v>
      </c>
      <c r="AR107" s="300" t="n">
        <v>4</v>
      </c>
    </row>
    <row r="108" ht="14.25" customHeight="1" s="133">
      <c r="A108" s="291" t="inlineStr">
        <is>
          <t>PK-1106</t>
        </is>
      </c>
      <c r="B108" s="291" t="inlineStr">
        <is>
          <t>Silk Fabric per meter</t>
        </is>
      </c>
      <c r="C108" s="291" t="inlineStr">
        <is>
          <t>Clothing &amp; Textiles</t>
        </is>
      </c>
      <c r="D108" s="291" t="inlineStr">
        <is>
          <t>Fabric &amp; Accessories</t>
        </is>
      </c>
      <c r="E108" s="291" t="inlineStr">
        <is>
          <t>SLKFBR</t>
        </is>
      </c>
      <c r="F108" s="291" t="inlineStr">
        <is>
          <t>Unit</t>
        </is>
      </c>
      <c r="G108" s="292" t="n">
        <v>9</v>
      </c>
      <c r="H108" s="292" t="n">
        <v>10</v>
      </c>
      <c r="I108" s="292" t="n">
        <v>40</v>
      </c>
      <c r="J108" s="292" t="n">
        <v>6300</v>
      </c>
      <c r="K108" s="293" t="n">
        <v>700</v>
      </c>
      <c r="L108" s="292" t="inlineStr">
        <is>
          <t>1,050.00</t>
        </is>
      </c>
      <c r="M108" s="294">
        <f>IF(L108=0,0,(L108-K108)/L108)</f>
        <v/>
      </c>
      <c r="N108" s="292" t="inlineStr">
        <is>
          <t>Low Stock</t>
        </is>
      </c>
      <c r="O108" s="292" t="n">
        <v>4</v>
      </c>
      <c r="P108" s="292" t="n">
        <v>4</v>
      </c>
      <c r="Q108" s="292" t="n">
        <v>5</v>
      </c>
      <c r="R108" s="292" t="n">
        <v>3</v>
      </c>
      <c r="S108" s="292" t="n">
        <v>3</v>
      </c>
      <c r="T108" s="292" t="n">
        <v>3</v>
      </c>
      <c r="U108" s="292" t="n">
        <v>3</v>
      </c>
      <c r="V108" s="292" t="n">
        <v>4</v>
      </c>
      <c r="W108" s="292" t="n">
        <v>5</v>
      </c>
      <c r="X108" s="292" t="n">
        <v>7</v>
      </c>
      <c r="Y108" s="292" t="n">
        <v>5</v>
      </c>
      <c r="Z108" s="292" t="n">
        <v>7</v>
      </c>
      <c r="AA108" s="292" t="n">
        <v>3</v>
      </c>
      <c r="AB108" s="292" t="n">
        <v>4</v>
      </c>
      <c r="AC108" s="292" t="n">
        <v>10</v>
      </c>
      <c r="AD108" s="292" t="n">
        <v>5</v>
      </c>
      <c r="AE108" s="292" t="n">
        <v>2</v>
      </c>
      <c r="AF108" s="292" t="n">
        <v>6</v>
      </c>
      <c r="AG108" s="292" t="n">
        <v>4</v>
      </c>
      <c r="AH108" s="292" t="n">
        <v>3</v>
      </c>
      <c r="AI108" s="292" t="n">
        <v>7</v>
      </c>
      <c r="AJ108" s="292" t="n">
        <v>3</v>
      </c>
      <c r="AK108" s="292" t="n">
        <v>5</v>
      </c>
      <c r="AL108" s="292" t="n">
        <v>4</v>
      </c>
      <c r="AM108" s="292" t="n">
        <v>5</v>
      </c>
      <c r="AN108" s="292" t="n">
        <v>4</v>
      </c>
      <c r="AO108" s="292" t="n">
        <v>5</v>
      </c>
      <c r="AP108" s="292" t="n">
        <v>6</v>
      </c>
      <c r="AQ108" s="292" t="n">
        <v>5</v>
      </c>
      <c r="AR108" s="292" t="n">
        <v>6</v>
      </c>
    </row>
    <row r="109" ht="14.25" customHeight="1" s="133">
      <c r="A109" s="299" t="inlineStr">
        <is>
          <t>PK-1107</t>
        </is>
      </c>
      <c r="B109" s="299" t="inlineStr">
        <is>
          <t>Ladies Handbag</t>
        </is>
      </c>
      <c r="C109" s="299" t="inlineStr">
        <is>
          <t>Clothing &amp; Textiles</t>
        </is>
      </c>
      <c r="D109" s="299" t="inlineStr">
        <is>
          <t>Fabric &amp; Accessories</t>
        </is>
      </c>
      <c r="E109" s="299" t="inlineStr">
        <is>
          <t>LHDBG</t>
        </is>
      </c>
      <c r="F109" s="299" t="inlineStr">
        <is>
          <t>Unit</t>
        </is>
      </c>
      <c r="G109" s="300" t="n">
        <v>113</v>
      </c>
      <c r="H109" s="300" t="n">
        <v>5</v>
      </c>
      <c r="I109" s="300" t="n">
        <v>15</v>
      </c>
      <c r="J109" s="300" t="n">
        <v>135600</v>
      </c>
      <c r="K109" s="301" t="n">
        <v>1200</v>
      </c>
      <c r="L109" s="300" t="inlineStr">
        <is>
          <t>1,900.00</t>
        </is>
      </c>
      <c r="M109" s="302">
        <f>IF(L109=0,0,(L109-K109)/L109)</f>
        <v/>
      </c>
      <c r="N109" s="300" t="inlineStr">
        <is>
          <t>In Stock</t>
        </is>
      </c>
      <c r="O109" s="300" t="n">
        <v>3</v>
      </c>
      <c r="P109" s="300" t="n">
        <v>7</v>
      </c>
      <c r="Q109" s="300" t="n">
        <v>6</v>
      </c>
      <c r="R109" s="300" t="n">
        <v>7</v>
      </c>
      <c r="S109" s="300" t="n">
        <v>10</v>
      </c>
      <c r="T109" s="300" t="n">
        <v>10</v>
      </c>
      <c r="U109" s="300" t="n">
        <v>5</v>
      </c>
      <c r="V109" s="300" t="n">
        <v>5</v>
      </c>
      <c r="W109" s="300" t="n">
        <v>4</v>
      </c>
      <c r="X109" s="300" t="n">
        <v>5</v>
      </c>
      <c r="Y109" s="300" t="n">
        <v>2</v>
      </c>
      <c r="Z109" s="300" t="n">
        <v>5</v>
      </c>
      <c r="AA109" s="300" t="n">
        <v>8</v>
      </c>
      <c r="AB109" s="300" t="n">
        <v>7</v>
      </c>
      <c r="AC109" s="300" t="n">
        <v>6</v>
      </c>
      <c r="AD109" s="300" t="n">
        <v>2</v>
      </c>
      <c r="AE109" s="300" t="n">
        <v>5</v>
      </c>
      <c r="AF109" s="300" t="n">
        <v>3</v>
      </c>
      <c r="AG109" s="300" t="n">
        <v>8</v>
      </c>
      <c r="AH109" s="300" t="n">
        <v>11</v>
      </c>
      <c r="AI109" s="300" t="n">
        <v>5</v>
      </c>
      <c r="AJ109" s="300" t="n">
        <v>3</v>
      </c>
      <c r="AK109" s="300" t="n">
        <v>3</v>
      </c>
      <c r="AL109" s="300" t="n">
        <v>4</v>
      </c>
      <c r="AM109" s="300" t="n">
        <v>4</v>
      </c>
      <c r="AN109" s="300" t="n">
        <v>6</v>
      </c>
      <c r="AO109" s="300" t="n">
        <v>1</v>
      </c>
      <c r="AP109" s="300" t="n">
        <v>3</v>
      </c>
      <c r="AQ109" s="300" t="n">
        <v>7</v>
      </c>
      <c r="AR109" s="300" t="n">
        <v>3</v>
      </c>
    </row>
    <row r="110" ht="14.25" customHeight="1" s="133">
      <c r="A110" s="291" t="inlineStr">
        <is>
          <t>PK-1108</t>
        </is>
      </c>
      <c r="B110" s="291" t="inlineStr">
        <is>
          <t>Men Leather Belt</t>
        </is>
      </c>
      <c r="C110" s="291" t="inlineStr">
        <is>
          <t>Clothing &amp; Textiles</t>
        </is>
      </c>
      <c r="D110" s="291" t="inlineStr">
        <is>
          <t>Fabric &amp; Accessories</t>
        </is>
      </c>
      <c r="E110" s="291" t="inlineStr">
        <is>
          <t>MLBLT</t>
        </is>
      </c>
      <c r="F110" s="291" t="inlineStr">
        <is>
          <t>Unit</t>
        </is>
      </c>
      <c r="G110" s="292" t="n">
        <v>1</v>
      </c>
      <c r="H110" s="292" t="n">
        <v>10</v>
      </c>
      <c r="I110" s="292" t="n">
        <v>30</v>
      </c>
      <c r="J110" s="292" t="n">
        <v>600</v>
      </c>
      <c r="K110" s="293" t="n">
        <v>600</v>
      </c>
      <c r="L110" s="292" t="inlineStr">
        <is>
          <t>950.00</t>
        </is>
      </c>
      <c r="M110" s="294">
        <f>IF(L110=0,0,(L110-K110)/L110)</f>
        <v/>
      </c>
      <c r="N110" s="292" t="inlineStr">
        <is>
          <t>Low Stock</t>
        </is>
      </c>
      <c r="O110" s="292" t="n">
        <v>6</v>
      </c>
      <c r="P110" s="292" t="n">
        <v>4</v>
      </c>
      <c r="Q110" s="292" t="n">
        <v>3</v>
      </c>
      <c r="R110" s="292" t="n">
        <v>4</v>
      </c>
      <c r="S110" s="292" t="n">
        <v>9</v>
      </c>
      <c r="T110" s="292" t="n">
        <v>4</v>
      </c>
      <c r="U110" s="292" t="n">
        <v>4</v>
      </c>
      <c r="V110" s="292" t="n">
        <v>6</v>
      </c>
      <c r="W110" s="292" t="n">
        <v>9</v>
      </c>
      <c r="X110" s="292" t="n">
        <v>5</v>
      </c>
      <c r="Y110" s="292" t="n">
        <v>3</v>
      </c>
      <c r="Z110" s="292" t="n">
        <v>5</v>
      </c>
      <c r="AA110" s="292" t="n">
        <v>7</v>
      </c>
      <c r="AB110" s="292" t="n">
        <v>6</v>
      </c>
      <c r="AC110" s="292" t="n">
        <v>3</v>
      </c>
      <c r="AD110" s="292" t="n">
        <v>3</v>
      </c>
      <c r="AE110" s="292" t="n">
        <v>4</v>
      </c>
      <c r="AF110" s="292" t="n">
        <v>10</v>
      </c>
      <c r="AG110" s="292" t="n">
        <v>7</v>
      </c>
      <c r="AH110" s="292" t="n">
        <v>4</v>
      </c>
      <c r="AI110" s="292" t="n">
        <v>3</v>
      </c>
      <c r="AJ110" s="292" t="n">
        <v>4</v>
      </c>
      <c r="AK110" s="292" t="n">
        <v>2</v>
      </c>
      <c r="AL110" s="292" t="n">
        <v>2</v>
      </c>
      <c r="AM110" s="292" t="n">
        <v>4</v>
      </c>
      <c r="AN110" s="292" t="n">
        <v>5</v>
      </c>
      <c r="AO110" s="292" t="n">
        <v>4</v>
      </c>
      <c r="AP110" s="292" t="n">
        <v>3</v>
      </c>
      <c r="AQ110" s="292" t="n">
        <v>7</v>
      </c>
      <c r="AR110" s="292" t="n">
        <v>6</v>
      </c>
    </row>
    <row r="111" ht="14.25" customHeight="1" s="133">
      <c r="A111" s="299" t="inlineStr">
        <is>
          <t>PK-1109</t>
        </is>
      </c>
      <c r="B111" s="299" t="inlineStr">
        <is>
          <t>Ladies Scarf</t>
        </is>
      </c>
      <c r="C111" s="299" t="inlineStr">
        <is>
          <t>Clothing &amp; Textiles</t>
        </is>
      </c>
      <c r="D111" s="299" t="inlineStr">
        <is>
          <t>Fabric &amp; Accessories</t>
        </is>
      </c>
      <c r="E111" s="299" t="inlineStr">
        <is>
          <t>LDSCRF</t>
        </is>
      </c>
      <c r="F111" s="299" t="inlineStr">
        <is>
          <t>Unit</t>
        </is>
      </c>
      <c r="G111" s="300" t="n">
        <v>36</v>
      </c>
      <c r="H111" s="300" t="n">
        <v>20</v>
      </c>
      <c r="I111" s="300" t="n">
        <v>60</v>
      </c>
      <c r="J111" s="300" t="n">
        <v>14400</v>
      </c>
      <c r="K111" s="301" t="n">
        <v>400</v>
      </c>
      <c r="L111" s="300" t="inlineStr">
        <is>
          <t>650.00</t>
        </is>
      </c>
      <c r="M111" s="302">
        <f>IF(L111=0,0,(L111-K111)/L111)</f>
        <v/>
      </c>
      <c r="N111" s="300" t="inlineStr">
        <is>
          <t>In Stock</t>
        </is>
      </c>
      <c r="O111" s="300" t="n">
        <v>3</v>
      </c>
      <c r="P111" s="300" t="n">
        <v>5</v>
      </c>
      <c r="Q111" s="300" t="n">
        <v>6</v>
      </c>
      <c r="R111" s="300" t="n">
        <v>4</v>
      </c>
      <c r="S111" s="300" t="n">
        <v>5</v>
      </c>
      <c r="T111" s="300" t="n">
        <v>10</v>
      </c>
      <c r="U111" s="300" t="n">
        <v>4</v>
      </c>
      <c r="V111" s="300" t="n">
        <v>13</v>
      </c>
      <c r="W111" s="300" t="n">
        <v>6</v>
      </c>
      <c r="X111" s="300" t="n">
        <v>7</v>
      </c>
      <c r="Y111" s="300" t="n">
        <v>3</v>
      </c>
      <c r="Z111" s="300" t="n">
        <v>7</v>
      </c>
      <c r="AA111" s="300" t="n">
        <v>10</v>
      </c>
      <c r="AB111" s="300" t="n">
        <v>5</v>
      </c>
      <c r="AC111" s="300" t="n">
        <v>5</v>
      </c>
      <c r="AD111" s="300" t="n">
        <v>3</v>
      </c>
      <c r="AE111" s="300" t="n">
        <v>1</v>
      </c>
      <c r="AF111" s="300" t="n">
        <v>8</v>
      </c>
      <c r="AG111" s="300" t="n">
        <v>7</v>
      </c>
      <c r="AH111" s="300" t="n">
        <v>8</v>
      </c>
      <c r="AI111" s="300" t="n">
        <v>9</v>
      </c>
      <c r="AJ111" s="300" t="n">
        <v>5</v>
      </c>
      <c r="AK111" s="300" t="n">
        <v>6</v>
      </c>
      <c r="AL111" s="300" t="n">
        <v>3</v>
      </c>
      <c r="AM111" s="300" t="n">
        <v>7</v>
      </c>
      <c r="AN111" s="300" t="n">
        <v>1</v>
      </c>
      <c r="AO111" s="300" t="n">
        <v>7</v>
      </c>
      <c r="AP111" s="300" t="n">
        <v>4</v>
      </c>
      <c r="AQ111" s="300" t="n">
        <v>7</v>
      </c>
      <c r="AR111" s="300" t="n">
        <v>5</v>
      </c>
    </row>
    <row r="112" ht="14.25" customHeight="1" s="133">
      <c r="A112" s="291" t="inlineStr">
        <is>
          <t>PK-1110</t>
        </is>
      </c>
      <c r="B112" s="291" t="inlineStr">
        <is>
          <t>Men Necktie</t>
        </is>
      </c>
      <c r="C112" s="291" t="inlineStr">
        <is>
          <t>Clothing &amp; Textiles</t>
        </is>
      </c>
      <c r="D112" s="291" t="inlineStr">
        <is>
          <t>Fabric &amp; Accessories</t>
        </is>
      </c>
      <c r="E112" s="291" t="inlineStr">
        <is>
          <t>MNTIE</t>
        </is>
      </c>
      <c r="F112" s="291" t="inlineStr">
        <is>
          <t>Unit</t>
        </is>
      </c>
      <c r="G112" s="292" t="n">
        <v>127</v>
      </c>
      <c r="H112" s="292" t="n">
        <v>10</v>
      </c>
      <c r="I112" s="292" t="n">
        <v>30</v>
      </c>
      <c r="J112" s="292" t="n">
        <v>69850</v>
      </c>
      <c r="K112" s="293" t="n">
        <v>550</v>
      </c>
      <c r="L112" s="292" t="inlineStr">
        <is>
          <t>900.00</t>
        </is>
      </c>
      <c r="M112" s="294">
        <f>IF(L112=0,0,(L112-K112)/L112)</f>
        <v/>
      </c>
      <c r="N112" s="292" t="inlineStr">
        <is>
          <t>In Stock</t>
        </is>
      </c>
      <c r="O112" s="292" t="n">
        <v>4</v>
      </c>
      <c r="P112" s="292" t="n">
        <v>1</v>
      </c>
      <c r="Q112" s="292" t="n">
        <v>3</v>
      </c>
      <c r="R112" s="292" t="n">
        <v>7</v>
      </c>
      <c r="S112" s="292" t="n">
        <v>2</v>
      </c>
      <c r="T112" s="292" t="n">
        <v>10</v>
      </c>
      <c r="U112" s="292" t="n">
        <v>6</v>
      </c>
      <c r="V112" s="292" t="n">
        <v>3</v>
      </c>
      <c r="W112" s="292" t="n">
        <v>6</v>
      </c>
      <c r="X112" s="292" t="n">
        <v>5</v>
      </c>
      <c r="Y112" s="292" t="n">
        <v>3</v>
      </c>
      <c r="Z112" s="292" t="n">
        <v>5</v>
      </c>
      <c r="AA112" s="292" t="n">
        <v>6</v>
      </c>
      <c r="AB112" s="292" t="n">
        <v>5</v>
      </c>
      <c r="AC112" s="292" t="n">
        <v>3</v>
      </c>
      <c r="AD112" s="292" t="n">
        <v>5</v>
      </c>
      <c r="AE112" s="292" t="n">
        <v>5</v>
      </c>
      <c r="AF112" s="292" t="n">
        <v>6</v>
      </c>
      <c r="AG112" s="292" t="n">
        <v>4</v>
      </c>
      <c r="AH112" s="292" t="n">
        <v>10</v>
      </c>
      <c r="AI112" s="292" t="n">
        <v>3</v>
      </c>
      <c r="AJ112" s="292" t="n">
        <v>5</v>
      </c>
      <c r="AK112" s="292" t="n">
        <v>8</v>
      </c>
      <c r="AL112" s="292" t="n">
        <v>4</v>
      </c>
      <c r="AM112" s="292" t="n">
        <v>5</v>
      </c>
      <c r="AN112" s="292" t="n">
        <v>9</v>
      </c>
      <c r="AO112" s="292" t="n">
        <v>5</v>
      </c>
      <c r="AP112" s="292" t="n">
        <v>5</v>
      </c>
      <c r="AQ112" s="292" t="n">
        <v>4</v>
      </c>
      <c r="AR112" s="292" t="n">
        <v>5</v>
      </c>
    </row>
    <row r="113" ht="14.25" customHeight="1" s="133">
      <c r="A113" s="291" t="inlineStr">
        <is>
          <t>PK-1144</t>
        </is>
      </c>
      <c r="B113" s="291" t="inlineStr">
        <is>
          <t>Panadol Extra 20tabs</t>
        </is>
      </c>
      <c r="C113" s="291" t="inlineStr">
        <is>
          <t>Pharmaceuticals &amp; Health</t>
        </is>
      </c>
      <c r="D113" s="291" t="inlineStr">
        <is>
          <t>OTC Medicines</t>
        </is>
      </c>
      <c r="E113" s="291" t="inlineStr">
        <is>
          <t>PNDLEX20</t>
        </is>
      </c>
      <c r="F113" s="291" t="inlineStr">
        <is>
          <t>Unit</t>
        </is>
      </c>
      <c r="G113" s="292" t="n">
        <v>146</v>
      </c>
      <c r="H113" s="292" t="n">
        <v>30</v>
      </c>
      <c r="I113" s="292" t="n">
        <v>150</v>
      </c>
      <c r="J113" s="292" t="n">
        <v>12410</v>
      </c>
      <c r="K113" s="293" t="n">
        <v>85</v>
      </c>
      <c r="L113" s="292" t="inlineStr">
        <is>
          <t>120.00</t>
        </is>
      </c>
      <c r="M113" s="294">
        <f>IF(L113=0,0,(L113-K113)/L113)</f>
        <v/>
      </c>
      <c r="N113" s="292" t="inlineStr">
        <is>
          <t>In Stock</t>
        </is>
      </c>
      <c r="O113" s="292" t="n">
        <v>10</v>
      </c>
      <c r="P113" s="292" t="n">
        <v>7</v>
      </c>
      <c r="Q113" s="292" t="n">
        <v>21</v>
      </c>
      <c r="R113" s="292" t="n">
        <v>9</v>
      </c>
      <c r="S113" s="292" t="n">
        <v>22</v>
      </c>
      <c r="T113" s="292" t="n">
        <v>12</v>
      </c>
      <c r="U113" s="292" t="n">
        <v>5</v>
      </c>
      <c r="V113" s="292" t="n">
        <v>14</v>
      </c>
      <c r="W113" s="292" t="n">
        <v>18</v>
      </c>
      <c r="X113" s="292" t="n">
        <v>15</v>
      </c>
      <c r="Y113" s="292" t="n">
        <v>17</v>
      </c>
      <c r="Z113" s="292" t="n">
        <v>23</v>
      </c>
      <c r="AA113" s="292" t="n">
        <v>14</v>
      </c>
      <c r="AB113" s="292" t="n">
        <v>17</v>
      </c>
      <c r="AC113" s="292" t="n">
        <v>21</v>
      </c>
      <c r="AD113" s="292" t="n">
        <v>17</v>
      </c>
      <c r="AE113" s="292" t="n">
        <v>11</v>
      </c>
      <c r="AF113" s="292" t="n">
        <v>13</v>
      </c>
      <c r="AG113" s="292" t="n">
        <v>45</v>
      </c>
      <c r="AH113" s="292" t="n">
        <v>10</v>
      </c>
      <c r="AI113" s="292" t="n">
        <v>17</v>
      </c>
      <c r="AJ113" s="292" t="n">
        <v>13</v>
      </c>
      <c r="AK113" s="292" t="n">
        <v>19</v>
      </c>
      <c r="AL113" s="292" t="n">
        <v>2</v>
      </c>
      <c r="AM113" s="292" t="n">
        <v>11</v>
      </c>
      <c r="AN113" s="292" t="n">
        <v>9</v>
      </c>
      <c r="AO113" s="292" t="n">
        <v>14</v>
      </c>
      <c r="AP113" s="292" t="n">
        <v>14</v>
      </c>
      <c r="AQ113" s="292" t="n">
        <v>9</v>
      </c>
      <c r="AR113" s="292" t="n">
        <v>11</v>
      </c>
    </row>
    <row r="114" ht="14.25" customHeight="1" s="133">
      <c r="A114" s="303" t="inlineStr">
        <is>
          <t>PK-1145</t>
        </is>
      </c>
      <c r="B114" s="303" t="inlineStr">
        <is>
          <t>Panadol CF 10tabs</t>
        </is>
      </c>
      <c r="C114" s="303" t="inlineStr">
        <is>
          <t>Pharmaceuticals &amp; Health</t>
        </is>
      </c>
      <c r="D114" s="303" t="inlineStr">
        <is>
          <t>OTC Medicines</t>
        </is>
      </c>
      <c r="E114" s="303" t="inlineStr">
        <is>
          <t>PNDLCF10</t>
        </is>
      </c>
      <c r="F114" s="303" t="inlineStr">
        <is>
          <t>Unit</t>
        </is>
      </c>
      <c r="G114" s="304" t="n">
        <v>45</v>
      </c>
      <c r="H114" s="304" t="n">
        <v>30</v>
      </c>
      <c r="I114" s="304" t="n">
        <v>150</v>
      </c>
      <c r="J114" s="304" t="n">
        <v>3150</v>
      </c>
      <c r="K114" s="305" t="n">
        <v>70</v>
      </c>
      <c r="L114" s="304" t="inlineStr">
        <is>
          <t>100.00</t>
        </is>
      </c>
      <c r="M114" s="306">
        <f>IF(L114=0,0,(L114-K114)/L114)</f>
        <v/>
      </c>
      <c r="N114" s="304" t="inlineStr">
        <is>
          <t>In Stock</t>
        </is>
      </c>
      <c r="O114" s="304" t="n">
        <v>14</v>
      </c>
      <c r="P114" s="304" t="n">
        <v>17</v>
      </c>
      <c r="Q114" s="304" t="n">
        <v>14</v>
      </c>
      <c r="R114" s="304" t="n">
        <v>10</v>
      </c>
      <c r="S114" s="304" t="n">
        <v>10</v>
      </c>
      <c r="T114" s="304" t="n">
        <v>25</v>
      </c>
      <c r="U114" s="304" t="n">
        <v>11</v>
      </c>
      <c r="V114" s="304" t="n">
        <v>18</v>
      </c>
      <c r="W114" s="304" t="n">
        <v>12</v>
      </c>
      <c r="X114" s="304" t="n">
        <v>8</v>
      </c>
      <c r="Y114" s="304" t="n">
        <v>18</v>
      </c>
      <c r="Z114" s="304" t="n">
        <v>14</v>
      </c>
      <c r="AA114" s="304" t="n">
        <v>7</v>
      </c>
      <c r="AB114" s="304" t="n">
        <v>10</v>
      </c>
      <c r="AC114" s="304" t="n">
        <v>5</v>
      </c>
      <c r="AD114" s="304" t="n">
        <v>6</v>
      </c>
      <c r="AE114" s="304" t="n">
        <v>13</v>
      </c>
      <c r="AF114" s="304" t="n">
        <v>6</v>
      </c>
      <c r="AG114" s="304" t="n">
        <v>18</v>
      </c>
      <c r="AH114" s="304" t="n">
        <v>11</v>
      </c>
      <c r="AI114" s="304" t="n">
        <v>12</v>
      </c>
      <c r="AJ114" s="304" t="n">
        <v>14</v>
      </c>
      <c r="AK114" s="304" t="n">
        <v>11</v>
      </c>
      <c r="AL114" s="304" t="n">
        <v>10</v>
      </c>
      <c r="AM114" s="304" t="n">
        <v>12</v>
      </c>
      <c r="AN114" s="304" t="n">
        <v>20</v>
      </c>
      <c r="AO114" s="304" t="n">
        <v>8</v>
      </c>
      <c r="AP114" s="304" t="n">
        <v>8</v>
      </c>
      <c r="AQ114" s="304" t="n">
        <v>14</v>
      </c>
      <c r="AR114" s="304" t="n">
        <v>17</v>
      </c>
    </row>
    <row r="115" ht="14.25" customHeight="1" s="133">
      <c r="A115" s="291" t="inlineStr">
        <is>
          <t>PK-1146</t>
        </is>
      </c>
      <c r="B115" s="291" t="inlineStr">
        <is>
          <t>Brufen 400mg 10tabs</t>
        </is>
      </c>
      <c r="C115" s="291" t="inlineStr">
        <is>
          <t>Pharmaceuticals &amp; Health</t>
        </is>
      </c>
      <c r="D115" s="291" t="inlineStr">
        <is>
          <t>OTC Medicines</t>
        </is>
      </c>
      <c r="E115" s="291" t="inlineStr">
        <is>
          <t>BRFN400</t>
        </is>
      </c>
      <c r="F115" s="291" t="inlineStr">
        <is>
          <t>Unit</t>
        </is>
      </c>
      <c r="G115" s="292" t="n">
        <v>30</v>
      </c>
      <c r="H115" s="292" t="n">
        <v>30</v>
      </c>
      <c r="I115" s="292" t="n">
        <v>150</v>
      </c>
      <c r="J115" s="292" t="n">
        <v>2850</v>
      </c>
      <c r="K115" s="293" t="n">
        <v>95</v>
      </c>
      <c r="L115" s="292" t="inlineStr">
        <is>
          <t>135.00</t>
        </is>
      </c>
      <c r="M115" s="294">
        <f>IF(L115=0,0,(L115-K115)/L115)</f>
        <v/>
      </c>
      <c r="N115" s="292" t="inlineStr">
        <is>
          <t>In Stock</t>
        </is>
      </c>
      <c r="O115" s="292" t="n">
        <v>7</v>
      </c>
      <c r="P115" s="292" t="n">
        <v>19</v>
      </c>
      <c r="Q115" s="292" t="n">
        <v>6</v>
      </c>
      <c r="R115" s="292" t="n">
        <v>15</v>
      </c>
      <c r="S115" s="292" t="n">
        <v>16</v>
      </c>
      <c r="T115" s="292" t="n">
        <v>19</v>
      </c>
      <c r="U115" s="292" t="n">
        <v>2</v>
      </c>
      <c r="V115" s="292" t="n">
        <v>7</v>
      </c>
      <c r="W115" s="292" t="n">
        <v>10</v>
      </c>
      <c r="X115" s="292" t="n">
        <v>12</v>
      </c>
      <c r="Y115" s="292" t="n">
        <v>10</v>
      </c>
      <c r="Z115" s="292" t="n">
        <v>8</v>
      </c>
      <c r="AA115" s="292" t="n">
        <v>20</v>
      </c>
      <c r="AB115" s="292" t="n">
        <v>25</v>
      </c>
      <c r="AC115" s="292" t="n">
        <v>8</v>
      </c>
      <c r="AD115" s="292" t="n">
        <v>10</v>
      </c>
      <c r="AE115" s="292" t="n">
        <v>9</v>
      </c>
      <c r="AF115" s="292" t="n">
        <v>15</v>
      </c>
      <c r="AG115" s="292" t="n">
        <v>17</v>
      </c>
      <c r="AH115" s="292" t="n">
        <v>13</v>
      </c>
      <c r="AI115" s="292" t="n">
        <v>13</v>
      </c>
      <c r="AJ115" s="292" t="n">
        <v>5</v>
      </c>
      <c r="AK115" s="292" t="n">
        <v>5</v>
      </c>
      <c r="AL115" s="292" t="n">
        <v>9</v>
      </c>
      <c r="AM115" s="292" t="n">
        <v>15</v>
      </c>
      <c r="AN115" s="292" t="n">
        <v>18</v>
      </c>
      <c r="AO115" s="292" t="n">
        <v>7</v>
      </c>
      <c r="AP115" s="292" t="n">
        <v>3</v>
      </c>
      <c r="AQ115" s="292" t="n">
        <v>11</v>
      </c>
      <c r="AR115" s="292" t="n">
        <v>4</v>
      </c>
    </row>
    <row r="116" ht="14.25" customHeight="1" s="133">
      <c r="A116" s="303" t="inlineStr">
        <is>
          <t>PK-1147</t>
        </is>
      </c>
      <c r="B116" s="303" t="inlineStr">
        <is>
          <t>Disprin 10tabs</t>
        </is>
      </c>
      <c r="C116" s="303" t="inlineStr">
        <is>
          <t>Pharmaceuticals &amp; Health</t>
        </is>
      </c>
      <c r="D116" s="303" t="inlineStr">
        <is>
          <t>OTC Medicines</t>
        </is>
      </c>
      <c r="E116" s="303" t="inlineStr">
        <is>
          <t>DSPRN10</t>
        </is>
      </c>
      <c r="F116" s="303" t="inlineStr">
        <is>
          <t>Unit</t>
        </is>
      </c>
      <c r="G116" s="304" t="n">
        <v>62</v>
      </c>
      <c r="H116" s="304" t="n">
        <v>30</v>
      </c>
      <c r="I116" s="304" t="n">
        <v>150</v>
      </c>
      <c r="J116" s="304" t="n">
        <v>2790</v>
      </c>
      <c r="K116" s="305" t="n">
        <v>45</v>
      </c>
      <c r="L116" s="304" t="inlineStr">
        <is>
          <t>70.00</t>
        </is>
      </c>
      <c r="M116" s="306">
        <f>IF(L116=0,0,(L116-K116)/L116)</f>
        <v/>
      </c>
      <c r="N116" s="304" t="inlineStr">
        <is>
          <t>In Stock</t>
        </is>
      </c>
      <c r="O116" s="304" t="n">
        <v>16</v>
      </c>
      <c r="P116" s="304" t="n">
        <v>11</v>
      </c>
      <c r="Q116" s="304" t="n">
        <v>22</v>
      </c>
      <c r="R116" s="304" t="n">
        <v>11</v>
      </c>
      <c r="S116" s="304" t="n">
        <v>21</v>
      </c>
      <c r="T116" s="304" t="n">
        <v>11</v>
      </c>
      <c r="U116" s="304" t="n">
        <v>16</v>
      </c>
      <c r="V116" s="304" t="n">
        <v>12</v>
      </c>
      <c r="W116" s="304" t="n">
        <v>11</v>
      </c>
      <c r="X116" s="304" t="n">
        <v>25</v>
      </c>
      <c r="Y116" s="304" t="n">
        <v>33</v>
      </c>
      <c r="Z116" s="304" t="n">
        <v>6</v>
      </c>
      <c r="AA116" s="304" t="n">
        <v>20</v>
      </c>
      <c r="AB116" s="304" t="n">
        <v>12</v>
      </c>
      <c r="AC116" s="304" t="n">
        <v>2</v>
      </c>
      <c r="AD116" s="304" t="n">
        <v>18</v>
      </c>
      <c r="AE116" s="304" t="n">
        <v>14</v>
      </c>
      <c r="AF116" s="304" t="n">
        <v>11</v>
      </c>
      <c r="AG116" s="304" t="n">
        <v>15</v>
      </c>
      <c r="AH116" s="304" t="n">
        <v>9</v>
      </c>
      <c r="AI116" s="304" t="n">
        <v>4</v>
      </c>
      <c r="AJ116" s="304" t="n">
        <v>5</v>
      </c>
      <c r="AK116" s="304" t="n">
        <v>8</v>
      </c>
      <c r="AL116" s="304" t="n">
        <v>21</v>
      </c>
      <c r="AM116" s="304" t="n">
        <v>15</v>
      </c>
      <c r="AN116" s="304" t="n">
        <v>20</v>
      </c>
      <c r="AO116" s="304" t="n">
        <v>10</v>
      </c>
      <c r="AP116" s="304" t="n">
        <v>13</v>
      </c>
      <c r="AQ116" s="304" t="n">
        <v>13</v>
      </c>
      <c r="AR116" s="304" t="n">
        <v>8</v>
      </c>
    </row>
    <row r="117" ht="14.25" customHeight="1" s="133">
      <c r="A117" s="291" t="inlineStr">
        <is>
          <t>PK-1148</t>
        </is>
      </c>
      <c r="B117" s="291" t="inlineStr">
        <is>
          <t>ORS Sachets x10</t>
        </is>
      </c>
      <c r="C117" s="291" t="inlineStr">
        <is>
          <t>Pharmaceuticals &amp; Health</t>
        </is>
      </c>
      <c r="D117" s="291" t="inlineStr">
        <is>
          <t>OTC Medicines</t>
        </is>
      </c>
      <c r="E117" s="291" t="inlineStr">
        <is>
          <t>ORSSCHT</t>
        </is>
      </c>
      <c r="F117" s="291" t="inlineStr">
        <is>
          <t>Unit</t>
        </is>
      </c>
      <c r="G117" s="292" t="n">
        <v>85</v>
      </c>
      <c r="H117" s="292" t="n">
        <v>30</v>
      </c>
      <c r="I117" s="292" t="n">
        <v>150</v>
      </c>
      <c r="J117" s="292" t="n">
        <v>10200</v>
      </c>
      <c r="K117" s="293" t="n">
        <v>120</v>
      </c>
      <c r="L117" s="292" t="inlineStr">
        <is>
          <t>175.00</t>
        </is>
      </c>
      <c r="M117" s="294">
        <f>IF(L117=0,0,(L117-K117)/L117)</f>
        <v/>
      </c>
      <c r="N117" s="292" t="inlineStr">
        <is>
          <t>In Stock</t>
        </is>
      </c>
      <c r="O117" s="292" t="n">
        <v>12</v>
      </c>
      <c r="P117" s="292" t="n">
        <v>2</v>
      </c>
      <c r="Q117" s="292" t="n">
        <v>20</v>
      </c>
      <c r="R117" s="292" t="n">
        <v>17</v>
      </c>
      <c r="S117" s="292" t="n">
        <v>11</v>
      </c>
      <c r="T117" s="292" t="n">
        <v>18</v>
      </c>
      <c r="U117" s="292" t="n">
        <v>9</v>
      </c>
      <c r="V117" s="292" t="n">
        <v>6</v>
      </c>
      <c r="W117" s="292" t="n">
        <v>15</v>
      </c>
      <c r="X117" s="292" t="n">
        <v>20</v>
      </c>
      <c r="Y117" s="292" t="n">
        <v>10</v>
      </c>
      <c r="Z117" s="292" t="n">
        <v>20</v>
      </c>
      <c r="AA117" s="292" t="n">
        <v>20</v>
      </c>
      <c r="AB117" s="292" t="n">
        <v>11</v>
      </c>
      <c r="AC117" s="292" t="n">
        <v>1</v>
      </c>
      <c r="AD117" s="292" t="n">
        <v>8</v>
      </c>
      <c r="AE117" s="292" t="n">
        <v>9</v>
      </c>
      <c r="AF117" s="292" t="n">
        <v>12</v>
      </c>
      <c r="AG117" s="292" t="n">
        <v>13</v>
      </c>
      <c r="AH117" s="292" t="n">
        <v>19</v>
      </c>
      <c r="AI117" s="292" t="n">
        <v>7</v>
      </c>
      <c r="AJ117" s="292" t="n">
        <v>6</v>
      </c>
      <c r="AK117" s="292" t="n">
        <v>10</v>
      </c>
      <c r="AL117" s="292" t="n">
        <v>15</v>
      </c>
      <c r="AM117" s="292" t="n">
        <v>6</v>
      </c>
      <c r="AN117" s="292" t="n">
        <v>5</v>
      </c>
      <c r="AO117" s="292" t="n">
        <v>13</v>
      </c>
      <c r="AP117" s="292" t="n">
        <v>10</v>
      </c>
      <c r="AQ117" s="292" t="n">
        <v>15</v>
      </c>
      <c r="AR117" s="292" t="n">
        <v>8</v>
      </c>
    </row>
    <row r="118" ht="14.25" customHeight="1" s="133">
      <c r="A118" s="303" t="inlineStr">
        <is>
          <t>PK-1149</t>
        </is>
      </c>
      <c r="B118" s="303" t="inlineStr">
        <is>
          <t>Vitamin C 500mg x30</t>
        </is>
      </c>
      <c r="C118" s="303" t="inlineStr">
        <is>
          <t>Pharmaceuticals &amp; Health</t>
        </is>
      </c>
      <c r="D118" s="303" t="inlineStr">
        <is>
          <t>OTC Medicines</t>
        </is>
      </c>
      <c r="E118" s="303" t="inlineStr">
        <is>
          <t>VTMC500</t>
        </is>
      </c>
      <c r="F118" s="303" t="inlineStr">
        <is>
          <t>Unit</t>
        </is>
      </c>
      <c r="G118" s="304" t="n">
        <v>123</v>
      </c>
      <c r="H118" s="304" t="n">
        <v>15</v>
      </c>
      <c r="I118" s="304" t="n">
        <v>60</v>
      </c>
      <c r="J118" s="304" t="n">
        <v>43050</v>
      </c>
      <c r="K118" s="305" t="n">
        <v>350</v>
      </c>
      <c r="L118" s="304" t="inlineStr">
        <is>
          <t>520.00</t>
        </is>
      </c>
      <c r="M118" s="306">
        <f>IF(L118=0,0,(L118-K118)/L118)</f>
        <v/>
      </c>
      <c r="N118" s="304" t="inlineStr">
        <is>
          <t>In Stock</t>
        </is>
      </c>
      <c r="O118" s="304" t="n">
        <v>10</v>
      </c>
      <c r="P118" s="304" t="n">
        <v>17</v>
      </c>
      <c r="Q118" s="304" t="n">
        <v>6</v>
      </c>
      <c r="R118" s="304" t="n">
        <v>16</v>
      </c>
      <c r="S118" s="304" t="n">
        <v>16</v>
      </c>
      <c r="T118" s="304" t="n">
        <v>12</v>
      </c>
      <c r="U118" s="304" t="n">
        <v>6</v>
      </c>
      <c r="V118" s="304" t="n">
        <v>13</v>
      </c>
      <c r="W118" s="304" t="n">
        <v>18</v>
      </c>
      <c r="X118" s="304" t="n">
        <v>18</v>
      </c>
      <c r="Y118" s="304" t="n">
        <v>11</v>
      </c>
      <c r="Z118" s="304" t="n">
        <v>3</v>
      </c>
      <c r="AA118" s="304" t="n">
        <v>25</v>
      </c>
      <c r="AB118" s="304" t="n">
        <v>18</v>
      </c>
      <c r="AC118" s="304" t="n">
        <v>14</v>
      </c>
      <c r="AD118" s="304" t="n">
        <v>8</v>
      </c>
      <c r="AE118" s="304" t="n">
        <v>4</v>
      </c>
      <c r="AF118" s="304" t="n">
        <v>10</v>
      </c>
      <c r="AG118" s="304" t="n">
        <v>10</v>
      </c>
      <c r="AH118" s="304" t="n">
        <v>21</v>
      </c>
      <c r="AI118" s="304" t="n">
        <v>21</v>
      </c>
      <c r="AJ118" s="304" t="n">
        <v>7</v>
      </c>
      <c r="AK118" s="304" t="n">
        <v>5</v>
      </c>
      <c r="AL118" s="304" t="n">
        <v>13</v>
      </c>
      <c r="AM118" s="304" t="n">
        <v>6</v>
      </c>
      <c r="AN118" s="304" t="n">
        <v>7</v>
      </c>
      <c r="AO118" s="304" t="n">
        <v>16</v>
      </c>
      <c r="AP118" s="304" t="n">
        <v>14</v>
      </c>
      <c r="AQ118" s="304" t="n">
        <v>4</v>
      </c>
      <c r="AR118" s="304" t="n">
        <v>10</v>
      </c>
    </row>
    <row r="119" ht="14.25" customHeight="1" s="133">
      <c r="A119" s="291" t="inlineStr">
        <is>
          <t>PK-1150</t>
        </is>
      </c>
      <c r="B119" s="291" t="inlineStr">
        <is>
          <t>Omeprazole 20mg x14</t>
        </is>
      </c>
      <c r="C119" s="291" t="inlineStr">
        <is>
          <t>Pharmaceuticals &amp; Health</t>
        </is>
      </c>
      <c r="D119" s="291" t="inlineStr">
        <is>
          <t>OTC Medicines</t>
        </is>
      </c>
      <c r="E119" s="291" t="inlineStr">
        <is>
          <t>OMEPZ20</t>
        </is>
      </c>
      <c r="F119" s="291" t="inlineStr">
        <is>
          <t>Unit</t>
        </is>
      </c>
      <c r="G119" s="292" t="n">
        <v>99</v>
      </c>
      <c r="H119" s="292" t="n">
        <v>20</v>
      </c>
      <c r="I119" s="292" t="n">
        <v>80</v>
      </c>
      <c r="J119" s="292" t="n">
        <v>17820</v>
      </c>
      <c r="K119" s="293" t="n">
        <v>180</v>
      </c>
      <c r="L119" s="292" t="inlineStr">
        <is>
          <t>260.00</t>
        </is>
      </c>
      <c r="M119" s="294">
        <f>IF(L119=0,0,(L119-K119)/L119)</f>
        <v/>
      </c>
      <c r="N119" s="292" t="inlineStr">
        <is>
          <t>In Stock</t>
        </is>
      </c>
      <c r="O119" s="292" t="n">
        <v>9</v>
      </c>
      <c r="P119" s="292" t="n">
        <v>19</v>
      </c>
      <c r="Q119" s="292" t="n">
        <v>14</v>
      </c>
      <c r="R119" s="292" t="n">
        <v>17</v>
      </c>
      <c r="S119" s="292" t="n">
        <v>13</v>
      </c>
      <c r="T119" s="292" t="n">
        <v>21</v>
      </c>
      <c r="U119" s="292" t="n">
        <v>8</v>
      </c>
      <c r="V119" s="292" t="n">
        <v>9</v>
      </c>
      <c r="W119" s="292" t="n">
        <v>5</v>
      </c>
      <c r="X119" s="292" t="n">
        <v>19</v>
      </c>
      <c r="Y119" s="292" t="n">
        <v>17</v>
      </c>
      <c r="Z119" s="292" t="n">
        <v>13</v>
      </c>
      <c r="AA119" s="292" t="n">
        <v>15</v>
      </c>
      <c r="AB119" s="292" t="n">
        <v>15</v>
      </c>
      <c r="AC119" s="292" t="n">
        <v>18</v>
      </c>
      <c r="AD119" s="292" t="n">
        <v>4</v>
      </c>
      <c r="AE119" s="292" t="n">
        <v>22</v>
      </c>
      <c r="AF119" s="292" t="n">
        <v>7</v>
      </c>
      <c r="AG119" s="292" t="n">
        <v>8</v>
      </c>
      <c r="AH119" s="292" t="n">
        <v>30</v>
      </c>
      <c r="AI119" s="292" t="n">
        <v>25</v>
      </c>
      <c r="AJ119" s="292" t="n">
        <v>24</v>
      </c>
      <c r="AK119" s="292" t="n">
        <v>15</v>
      </c>
      <c r="AL119" s="292" t="n">
        <v>10</v>
      </c>
      <c r="AM119" s="292" t="n">
        <v>10</v>
      </c>
      <c r="AN119" s="292" t="n">
        <v>14</v>
      </c>
      <c r="AO119" s="292" t="n">
        <v>15</v>
      </c>
      <c r="AP119" s="292" t="n">
        <v>16</v>
      </c>
      <c r="AQ119" s="292" t="n">
        <v>8</v>
      </c>
      <c r="AR119" s="292" t="n">
        <v>12</v>
      </c>
    </row>
    <row r="120" ht="14.25" customHeight="1" s="133">
      <c r="A120" s="303" t="inlineStr">
        <is>
          <t>PK-1151</t>
        </is>
      </c>
      <c r="B120" s="303" t="inlineStr">
        <is>
          <t>Antacid 100ml Syrup</t>
        </is>
      </c>
      <c r="C120" s="303" t="inlineStr">
        <is>
          <t>Pharmaceuticals &amp; Health</t>
        </is>
      </c>
      <c r="D120" s="303" t="inlineStr">
        <is>
          <t>OTC Medicines</t>
        </is>
      </c>
      <c r="E120" s="303" t="inlineStr">
        <is>
          <t>ANTACD</t>
        </is>
      </c>
      <c r="F120" s="303" t="inlineStr">
        <is>
          <t>Unit</t>
        </is>
      </c>
      <c r="G120" s="304" t="n">
        <v>27</v>
      </c>
      <c r="H120" s="304" t="n">
        <v>20</v>
      </c>
      <c r="I120" s="304" t="n">
        <v>80</v>
      </c>
      <c r="J120" s="304" t="n">
        <v>3915</v>
      </c>
      <c r="K120" s="305" t="n">
        <v>145</v>
      </c>
      <c r="L120" s="304" t="inlineStr">
        <is>
          <t>210.00</t>
        </is>
      </c>
      <c r="M120" s="306">
        <f>IF(L120=0,0,(L120-K120)/L120)</f>
        <v/>
      </c>
      <c r="N120" s="304" t="inlineStr">
        <is>
          <t>In Stock</t>
        </is>
      </c>
      <c r="O120" s="304" t="n">
        <v>9</v>
      </c>
      <c r="P120" s="304" t="n">
        <v>18</v>
      </c>
      <c r="Q120" s="304" t="n">
        <v>13</v>
      </c>
      <c r="R120" s="304" t="n">
        <v>11</v>
      </c>
      <c r="S120" s="304" t="n">
        <v>7</v>
      </c>
      <c r="T120" s="304" t="n">
        <v>24</v>
      </c>
      <c r="U120" s="304" t="n">
        <v>15</v>
      </c>
      <c r="V120" s="304" t="n">
        <v>6</v>
      </c>
      <c r="W120" s="304" t="n">
        <v>14</v>
      </c>
      <c r="X120" s="304" t="n">
        <v>8</v>
      </c>
      <c r="Y120" s="304" t="n">
        <v>12</v>
      </c>
      <c r="Z120" s="304" t="n">
        <v>26</v>
      </c>
      <c r="AA120" s="304" t="n">
        <v>18</v>
      </c>
      <c r="AB120" s="304" t="n">
        <v>6</v>
      </c>
      <c r="AC120" s="304" t="n">
        <v>9</v>
      </c>
      <c r="AD120" s="304" t="n">
        <v>15</v>
      </c>
      <c r="AE120" s="304" t="n">
        <v>15</v>
      </c>
      <c r="AF120" s="304" t="n">
        <v>7</v>
      </c>
      <c r="AG120" s="304" t="n">
        <v>12</v>
      </c>
      <c r="AH120" s="304" t="n">
        <v>16</v>
      </c>
      <c r="AI120" s="304" t="n">
        <v>18</v>
      </c>
      <c r="AJ120" s="304" t="n">
        <v>13</v>
      </c>
      <c r="AK120" s="304" t="n">
        <v>12</v>
      </c>
      <c r="AL120" s="304" t="n">
        <v>17</v>
      </c>
      <c r="AM120" s="304" t="n">
        <v>13</v>
      </c>
      <c r="AN120" s="304" t="n">
        <v>12</v>
      </c>
      <c r="AO120" s="304" t="n">
        <v>11</v>
      </c>
      <c r="AP120" s="304" t="n">
        <v>8</v>
      </c>
      <c r="AQ120" s="304" t="n">
        <v>12</v>
      </c>
      <c r="AR120" s="304" t="n">
        <v>10</v>
      </c>
    </row>
    <row r="121" ht="14.25" customHeight="1" s="133">
      <c r="A121" s="291" t="inlineStr">
        <is>
          <t>PK-1152</t>
        </is>
      </c>
      <c r="B121" s="291" t="inlineStr">
        <is>
          <t>Cough Syrup 100ml</t>
        </is>
      </c>
      <c r="C121" s="291" t="inlineStr">
        <is>
          <t>Pharmaceuticals &amp; Health</t>
        </is>
      </c>
      <c r="D121" s="291" t="inlineStr">
        <is>
          <t>OTC Medicines</t>
        </is>
      </c>
      <c r="E121" s="291" t="inlineStr">
        <is>
          <t>CGHSRP</t>
        </is>
      </c>
      <c r="F121" s="291" t="inlineStr">
        <is>
          <t>Unit</t>
        </is>
      </c>
      <c r="G121" s="292" t="n">
        <v>49</v>
      </c>
      <c r="H121" s="292" t="n">
        <v>20</v>
      </c>
      <c r="I121" s="292" t="n">
        <v>80</v>
      </c>
      <c r="J121" s="292" t="n">
        <v>8085</v>
      </c>
      <c r="K121" s="293" t="n">
        <v>165</v>
      </c>
      <c r="L121" s="292" t="inlineStr">
        <is>
          <t>240.00</t>
        </is>
      </c>
      <c r="M121" s="294">
        <f>IF(L121=0,0,(L121-K121)/L121)</f>
        <v/>
      </c>
      <c r="N121" s="292" t="inlineStr">
        <is>
          <t>In Stock</t>
        </is>
      </c>
      <c r="O121" s="292" t="n">
        <v>14</v>
      </c>
      <c r="P121" s="292" t="n">
        <v>11</v>
      </c>
      <c r="Q121" s="292" t="n">
        <v>16</v>
      </c>
      <c r="R121" s="292" t="n">
        <v>4</v>
      </c>
      <c r="S121" s="292" t="n">
        <v>24</v>
      </c>
      <c r="T121" s="292" t="n">
        <v>9</v>
      </c>
      <c r="U121" s="292" t="n">
        <v>5</v>
      </c>
      <c r="V121" s="292" t="n">
        <v>11</v>
      </c>
      <c r="W121" s="292" t="n">
        <v>11</v>
      </c>
      <c r="X121" s="292" t="n">
        <v>23</v>
      </c>
      <c r="Y121" s="292" t="n">
        <v>7</v>
      </c>
      <c r="Z121" s="292" t="n">
        <v>8</v>
      </c>
      <c r="AA121" s="292" t="n">
        <v>22</v>
      </c>
      <c r="AB121" s="292" t="n">
        <v>12</v>
      </c>
      <c r="AC121" s="292" t="n">
        <v>20</v>
      </c>
      <c r="AD121" s="292" t="n">
        <v>6</v>
      </c>
      <c r="AE121" s="292" t="n">
        <v>6</v>
      </c>
      <c r="AF121" s="292" t="n">
        <v>15</v>
      </c>
      <c r="AG121" s="292" t="n">
        <v>18</v>
      </c>
      <c r="AH121" s="292" t="n">
        <v>5</v>
      </c>
      <c r="AI121" s="292" t="n">
        <v>9</v>
      </c>
      <c r="AJ121" s="292" t="n">
        <v>13</v>
      </c>
      <c r="AK121" s="292" t="n">
        <v>15</v>
      </c>
      <c r="AL121" s="292" t="n">
        <v>16</v>
      </c>
      <c r="AM121" s="292" t="n">
        <v>18</v>
      </c>
      <c r="AN121" s="292" t="n">
        <v>8</v>
      </c>
      <c r="AO121" s="292" t="n">
        <v>11</v>
      </c>
      <c r="AP121" s="292" t="n">
        <v>21</v>
      </c>
      <c r="AQ121" s="292" t="n">
        <v>11</v>
      </c>
      <c r="AR121" s="292" t="n">
        <v>16</v>
      </c>
    </row>
    <row r="122" ht="14.25" customHeight="1" s="133">
      <c r="A122" s="303" t="inlineStr">
        <is>
          <t>PK-1153</t>
        </is>
      </c>
      <c r="B122" s="303" t="inlineStr">
        <is>
          <t>Eye Drops 10ml</t>
        </is>
      </c>
      <c r="C122" s="303" t="inlineStr">
        <is>
          <t>Pharmaceuticals &amp; Health</t>
        </is>
      </c>
      <c r="D122" s="303" t="inlineStr">
        <is>
          <t>OTC Medicines</t>
        </is>
      </c>
      <c r="E122" s="303" t="inlineStr">
        <is>
          <t>EYEDRP</t>
        </is>
      </c>
      <c r="F122" s="303" t="inlineStr">
        <is>
          <t>Unit</t>
        </is>
      </c>
      <c r="G122" s="304" t="n">
        <v>51</v>
      </c>
      <c r="H122" s="304" t="n">
        <v>20</v>
      </c>
      <c r="I122" s="304" t="n">
        <v>80</v>
      </c>
      <c r="J122" s="304" t="n">
        <v>7395</v>
      </c>
      <c r="K122" s="305" t="n">
        <v>145</v>
      </c>
      <c r="L122" s="304" t="inlineStr">
        <is>
          <t>215.00</t>
        </is>
      </c>
      <c r="M122" s="306">
        <f>IF(L122=0,0,(L122-K122)/L122)</f>
        <v/>
      </c>
      <c r="N122" s="304" t="inlineStr">
        <is>
          <t>In Stock</t>
        </is>
      </c>
      <c r="O122" s="304" t="n">
        <v>9</v>
      </c>
      <c r="P122" s="304" t="n">
        <v>16</v>
      </c>
      <c r="Q122" s="304" t="n">
        <v>11</v>
      </c>
      <c r="R122" s="304" t="n">
        <v>10</v>
      </c>
      <c r="S122" s="304" t="n">
        <v>12</v>
      </c>
      <c r="T122" s="304" t="n">
        <v>3</v>
      </c>
      <c r="U122" s="304" t="n">
        <v>13</v>
      </c>
      <c r="V122" s="304" t="n">
        <v>15</v>
      </c>
      <c r="W122" s="304" t="n">
        <v>15</v>
      </c>
      <c r="X122" s="304" t="n">
        <v>13</v>
      </c>
      <c r="Y122" s="304" t="n">
        <v>12</v>
      </c>
      <c r="Z122" s="304" t="n">
        <v>17</v>
      </c>
      <c r="AA122" s="304" t="n">
        <v>12</v>
      </c>
      <c r="AB122" s="304" t="n">
        <v>8</v>
      </c>
      <c r="AC122" s="304" t="n">
        <v>13</v>
      </c>
      <c r="AD122" s="304" t="n">
        <v>10</v>
      </c>
      <c r="AE122" s="304" t="n">
        <v>14</v>
      </c>
      <c r="AF122" s="304" t="n">
        <v>7</v>
      </c>
      <c r="AG122" s="304" t="n">
        <v>22</v>
      </c>
      <c r="AH122" s="304" t="n">
        <v>11</v>
      </c>
      <c r="AI122" s="304" t="n">
        <v>4</v>
      </c>
      <c r="AJ122" s="304" t="n">
        <v>4</v>
      </c>
      <c r="AK122" s="304" t="n">
        <v>13</v>
      </c>
      <c r="AL122" s="304" t="n">
        <v>25</v>
      </c>
      <c r="AM122" s="304" t="n">
        <v>10</v>
      </c>
      <c r="AN122" s="304" t="n">
        <v>6</v>
      </c>
      <c r="AO122" s="304" t="n">
        <v>19</v>
      </c>
      <c r="AP122" s="304" t="n">
        <v>11</v>
      </c>
      <c r="AQ122" s="304" t="n">
        <v>11</v>
      </c>
      <c r="AR122" s="304" t="n">
        <v>11</v>
      </c>
    </row>
    <row r="123" ht="14.25" customHeight="1" s="133">
      <c r="A123" s="291" t="inlineStr">
        <is>
          <t>PK-1154</t>
        </is>
      </c>
      <c r="B123" s="291" t="inlineStr">
        <is>
          <t>Surgical Mask Box 50pcs</t>
        </is>
      </c>
      <c r="C123" s="291" t="inlineStr">
        <is>
          <t>Pharmaceuticals &amp; Health</t>
        </is>
      </c>
      <c r="D123" s="291" t="inlineStr">
        <is>
          <t>Surgical &amp; Medical Supplies</t>
        </is>
      </c>
      <c r="E123" s="291" t="inlineStr">
        <is>
          <t>SRGMSK50</t>
        </is>
      </c>
      <c r="F123" s="291" t="inlineStr">
        <is>
          <t>Unit</t>
        </is>
      </c>
      <c r="G123" s="292" t="n">
        <v>122</v>
      </c>
      <c r="H123" s="292" t="n">
        <v>10</v>
      </c>
      <c r="I123" s="292" t="n">
        <v>50</v>
      </c>
      <c r="J123" s="292" t="n">
        <v>46360</v>
      </c>
      <c r="K123" s="293" t="n">
        <v>380</v>
      </c>
      <c r="L123" s="292" t="inlineStr">
        <is>
          <t>580.00</t>
        </is>
      </c>
      <c r="M123" s="294">
        <f>IF(L123=0,0,(L123-K123)/L123)</f>
        <v/>
      </c>
      <c r="N123" s="292" t="inlineStr">
        <is>
          <t>In Stock</t>
        </is>
      </c>
      <c r="O123" s="292" t="n">
        <v>6</v>
      </c>
      <c r="P123" s="292" t="n">
        <v>3</v>
      </c>
      <c r="Q123" s="292" t="n">
        <v>9</v>
      </c>
      <c r="R123" s="292" t="n">
        <v>9</v>
      </c>
      <c r="S123" s="292" t="n">
        <v>1</v>
      </c>
      <c r="T123" s="292" t="n">
        <v>4</v>
      </c>
      <c r="U123" s="292" t="n">
        <v>13</v>
      </c>
      <c r="V123" s="292" t="n">
        <v>12</v>
      </c>
      <c r="W123" s="292" t="n">
        <v>9</v>
      </c>
      <c r="X123" s="292" t="n">
        <v>13</v>
      </c>
      <c r="Y123" s="292" t="n">
        <v>6</v>
      </c>
      <c r="Z123" s="292" t="n">
        <v>2</v>
      </c>
      <c r="AA123" s="292" t="n">
        <v>13</v>
      </c>
      <c r="AB123" s="292" t="n">
        <v>5</v>
      </c>
      <c r="AC123" s="292" t="n">
        <v>7</v>
      </c>
      <c r="AD123" s="292" t="n">
        <v>10</v>
      </c>
      <c r="AE123" s="292" t="n">
        <v>1</v>
      </c>
      <c r="AF123" s="292" t="n">
        <v>9</v>
      </c>
      <c r="AG123" s="292" t="n">
        <v>2</v>
      </c>
      <c r="AH123" s="292" t="n">
        <v>20</v>
      </c>
      <c r="AI123" s="292" t="n">
        <v>8</v>
      </c>
      <c r="AJ123" s="292" t="n">
        <v>8</v>
      </c>
      <c r="AK123" s="292" t="n">
        <v>4</v>
      </c>
      <c r="AL123" s="292" t="n">
        <v>8</v>
      </c>
      <c r="AM123" s="292" t="n">
        <v>5</v>
      </c>
      <c r="AN123" s="292" t="n">
        <v>10</v>
      </c>
      <c r="AO123" s="292" t="n">
        <v>6</v>
      </c>
      <c r="AP123" s="292" t="n">
        <v>6</v>
      </c>
      <c r="AQ123" s="292" t="n">
        <v>10</v>
      </c>
      <c r="AR123" s="292" t="n">
        <v>22</v>
      </c>
    </row>
    <row r="124" ht="14.25" customHeight="1" s="133">
      <c r="A124" s="303" t="inlineStr">
        <is>
          <t>PK-1155</t>
        </is>
      </c>
      <c r="B124" s="303" t="inlineStr">
        <is>
          <t>Latex Gloves M Box 100</t>
        </is>
      </c>
      <c r="C124" s="303" t="inlineStr">
        <is>
          <t>Pharmaceuticals &amp; Health</t>
        </is>
      </c>
      <c r="D124" s="303" t="inlineStr">
        <is>
          <t>Surgical &amp; Medical Supplies</t>
        </is>
      </c>
      <c r="E124" s="303" t="inlineStr">
        <is>
          <t>LTXGLVM</t>
        </is>
      </c>
      <c r="F124" s="303" t="inlineStr">
        <is>
          <t>Unit</t>
        </is>
      </c>
      <c r="G124" s="304" t="n">
        <v>24</v>
      </c>
      <c r="H124" s="304" t="n">
        <v>10</v>
      </c>
      <c r="I124" s="304" t="n">
        <v>50</v>
      </c>
      <c r="J124" s="304" t="n">
        <v>13200</v>
      </c>
      <c r="K124" s="305" t="n">
        <v>550</v>
      </c>
      <c r="L124" s="304" t="inlineStr">
        <is>
          <t>820.00</t>
        </is>
      </c>
      <c r="M124" s="306">
        <f>IF(L124=0,0,(L124-K124)/L124)</f>
        <v/>
      </c>
      <c r="N124" s="304" t="inlineStr">
        <is>
          <t>In Stock</t>
        </is>
      </c>
      <c r="O124" s="304" t="n">
        <v>6</v>
      </c>
      <c r="P124" s="304" t="n">
        <v>4</v>
      </c>
      <c r="Q124" s="304" t="n">
        <v>8</v>
      </c>
      <c r="R124" s="304" t="n">
        <v>8</v>
      </c>
      <c r="S124" s="304" t="n">
        <v>8</v>
      </c>
      <c r="T124" s="304" t="n">
        <v>10</v>
      </c>
      <c r="U124" s="304" t="n">
        <v>6</v>
      </c>
      <c r="V124" s="304" t="n">
        <v>5</v>
      </c>
      <c r="W124" s="304" t="n">
        <v>6</v>
      </c>
      <c r="X124" s="304" t="n">
        <v>10</v>
      </c>
      <c r="Y124" s="304" t="n">
        <v>8</v>
      </c>
      <c r="Z124" s="304" t="n">
        <v>5</v>
      </c>
      <c r="AA124" s="304" t="n">
        <v>9</v>
      </c>
      <c r="AB124" s="304" t="n">
        <v>6</v>
      </c>
      <c r="AC124" s="304" t="n">
        <v>4</v>
      </c>
      <c r="AD124" s="304" t="n">
        <v>11</v>
      </c>
      <c r="AE124" s="304" t="n">
        <v>10</v>
      </c>
      <c r="AF124" s="304" t="n">
        <v>10</v>
      </c>
      <c r="AG124" s="304" t="n">
        <v>6</v>
      </c>
      <c r="AH124" s="304" t="n">
        <v>11</v>
      </c>
      <c r="AI124" s="304" t="n">
        <v>12</v>
      </c>
      <c r="AJ124" s="304" t="n">
        <v>18</v>
      </c>
      <c r="AK124" s="304" t="n">
        <v>6</v>
      </c>
      <c r="AL124" s="304" t="n">
        <v>11</v>
      </c>
      <c r="AM124" s="304" t="n">
        <v>8</v>
      </c>
      <c r="AN124" s="304" t="n">
        <v>14</v>
      </c>
      <c r="AO124" s="304" t="n">
        <v>11</v>
      </c>
      <c r="AP124" s="304" t="n">
        <v>9</v>
      </c>
      <c r="AQ124" s="304" t="n">
        <v>7</v>
      </c>
      <c r="AR124" s="304" t="n">
        <v>22</v>
      </c>
    </row>
    <row r="125" ht="14.25" customHeight="1" s="133">
      <c r="A125" s="291" t="inlineStr">
        <is>
          <t>PK-1156</t>
        </is>
      </c>
      <c r="B125" s="291" t="inlineStr">
        <is>
          <t>Bandage Roll 5cm</t>
        </is>
      </c>
      <c r="C125" s="291" t="inlineStr">
        <is>
          <t>Pharmaceuticals &amp; Health</t>
        </is>
      </c>
      <c r="D125" s="291" t="inlineStr">
        <is>
          <t>Surgical &amp; Medical Supplies</t>
        </is>
      </c>
      <c r="E125" s="291" t="inlineStr">
        <is>
          <t>BNDGRL5</t>
        </is>
      </c>
      <c r="F125" s="291" t="inlineStr">
        <is>
          <t>Unit</t>
        </is>
      </c>
      <c r="G125" s="292" t="n">
        <v>27</v>
      </c>
      <c r="H125" s="292" t="n">
        <v>20</v>
      </c>
      <c r="I125" s="292" t="n">
        <v>80</v>
      </c>
      <c r="J125" s="292" t="n">
        <v>2295</v>
      </c>
      <c r="K125" s="293" t="n">
        <v>85</v>
      </c>
      <c r="L125" s="292" t="inlineStr">
        <is>
          <t>130.00</t>
        </is>
      </c>
      <c r="M125" s="294">
        <f>IF(L125=0,0,(L125-K125)/L125)</f>
        <v/>
      </c>
      <c r="N125" s="292" t="inlineStr">
        <is>
          <t>In Stock</t>
        </is>
      </c>
      <c r="O125" s="292" t="n">
        <v>2</v>
      </c>
      <c r="P125" s="292" t="n">
        <v>5</v>
      </c>
      <c r="Q125" s="292" t="n">
        <v>5</v>
      </c>
      <c r="R125" s="292" t="n">
        <v>10</v>
      </c>
      <c r="S125" s="292" t="n">
        <v>8</v>
      </c>
      <c r="T125" s="292" t="n">
        <v>14</v>
      </c>
      <c r="U125" s="292" t="n">
        <v>7</v>
      </c>
      <c r="V125" s="292" t="n">
        <v>3</v>
      </c>
      <c r="W125" s="292" t="n">
        <v>4</v>
      </c>
      <c r="X125" s="292" t="n">
        <v>9</v>
      </c>
      <c r="Y125" s="292" t="n">
        <v>5</v>
      </c>
      <c r="Z125" s="292" t="n">
        <v>8</v>
      </c>
      <c r="AA125" s="292" t="n">
        <v>14</v>
      </c>
      <c r="AB125" s="292" t="n">
        <v>1</v>
      </c>
      <c r="AC125" s="292" t="n">
        <v>7</v>
      </c>
      <c r="AD125" s="292" t="n">
        <v>10</v>
      </c>
      <c r="AE125" s="292" t="n">
        <v>9</v>
      </c>
      <c r="AF125" s="292" t="n">
        <v>10</v>
      </c>
      <c r="AG125" s="292" t="n">
        <v>9</v>
      </c>
      <c r="AH125" s="292" t="n">
        <v>10</v>
      </c>
      <c r="AI125" s="292" t="n">
        <v>9</v>
      </c>
      <c r="AJ125" s="292" t="n">
        <v>7</v>
      </c>
      <c r="AK125" s="292" t="n">
        <v>11</v>
      </c>
      <c r="AL125" s="292" t="n">
        <v>7</v>
      </c>
      <c r="AM125" s="292" t="n">
        <v>6</v>
      </c>
      <c r="AN125" s="292" t="n">
        <v>5</v>
      </c>
      <c r="AO125" s="292" t="n">
        <v>4</v>
      </c>
      <c r="AP125" s="292" t="n">
        <v>5</v>
      </c>
      <c r="AQ125" s="292" t="n">
        <v>10</v>
      </c>
      <c r="AR125" s="292" t="n">
        <v>5</v>
      </c>
    </row>
    <row r="126" ht="14.25" customHeight="1" s="133">
      <c r="A126" s="303" t="inlineStr">
        <is>
          <t>PK-1157</t>
        </is>
      </c>
      <c r="B126" s="303" t="inlineStr">
        <is>
          <t>Antiseptic Dettol 500ml</t>
        </is>
      </c>
      <c r="C126" s="303" t="inlineStr">
        <is>
          <t>Pharmaceuticals &amp; Health</t>
        </is>
      </c>
      <c r="D126" s="303" t="inlineStr">
        <is>
          <t>Surgical &amp; Medical Supplies</t>
        </is>
      </c>
      <c r="E126" s="303" t="inlineStr">
        <is>
          <t>DETTOL500</t>
        </is>
      </c>
      <c r="F126" s="303" t="inlineStr">
        <is>
          <t>Unit</t>
        </is>
      </c>
      <c r="G126" s="304" t="n">
        <v>101</v>
      </c>
      <c r="H126" s="304" t="n">
        <v>10</v>
      </c>
      <c r="I126" s="304" t="n">
        <v>40</v>
      </c>
      <c r="J126" s="304" t="n">
        <v>38380</v>
      </c>
      <c r="K126" s="305" t="n">
        <v>380</v>
      </c>
      <c r="L126" s="304" t="inlineStr">
        <is>
          <t>550.00</t>
        </is>
      </c>
      <c r="M126" s="306">
        <f>IF(L126=0,0,(L126-K126)/L126)</f>
        <v/>
      </c>
      <c r="N126" s="304" t="inlineStr">
        <is>
          <t>In Stock</t>
        </is>
      </c>
      <c r="O126" s="304" t="n">
        <v>14</v>
      </c>
      <c r="P126" s="304" t="n">
        <v>3</v>
      </c>
      <c r="Q126" s="304" t="n">
        <v>5</v>
      </c>
      <c r="R126" s="304" t="n">
        <v>6</v>
      </c>
      <c r="S126" s="304" t="n">
        <v>4</v>
      </c>
      <c r="T126" s="304" t="n">
        <v>6</v>
      </c>
      <c r="U126" s="304" t="n">
        <v>8</v>
      </c>
      <c r="V126" s="304" t="n">
        <v>5</v>
      </c>
      <c r="W126" s="304" t="n">
        <v>7</v>
      </c>
      <c r="X126" s="304" t="n">
        <v>2</v>
      </c>
      <c r="Y126" s="304" t="n">
        <v>4</v>
      </c>
      <c r="Z126" s="304" t="n">
        <v>8</v>
      </c>
      <c r="AA126" s="304" t="n">
        <v>13</v>
      </c>
      <c r="AB126" s="304" t="n">
        <v>7</v>
      </c>
      <c r="AC126" s="304" t="n">
        <v>6</v>
      </c>
      <c r="AD126" s="304" t="n">
        <v>11</v>
      </c>
      <c r="AE126" s="304" t="n">
        <v>8</v>
      </c>
      <c r="AF126" s="304" t="n">
        <v>13</v>
      </c>
      <c r="AG126" s="304" t="n">
        <v>9</v>
      </c>
      <c r="AH126" s="304" t="n">
        <v>3</v>
      </c>
      <c r="AI126" s="304" t="n">
        <v>7</v>
      </c>
      <c r="AJ126" s="304" t="n">
        <v>4</v>
      </c>
      <c r="AK126" s="304" t="n">
        <v>4</v>
      </c>
      <c r="AL126" s="304" t="n">
        <v>6</v>
      </c>
      <c r="AM126" s="304" t="n">
        <v>12</v>
      </c>
      <c r="AN126" s="304" t="n">
        <v>9</v>
      </c>
      <c r="AO126" s="304" t="n">
        <v>7</v>
      </c>
      <c r="AP126" s="304" t="n">
        <v>8</v>
      </c>
      <c r="AQ126" s="304" t="n">
        <v>5</v>
      </c>
      <c r="AR126" s="304" t="n">
        <v>14</v>
      </c>
    </row>
    <row r="127" ht="14.25" customHeight="1" s="133">
      <c r="A127" s="291" t="inlineStr">
        <is>
          <t>PK-1158</t>
        </is>
      </c>
      <c r="B127" s="291" t="inlineStr">
        <is>
          <t>Cotton 100g</t>
        </is>
      </c>
      <c r="C127" s="291" t="inlineStr">
        <is>
          <t>Pharmaceuticals &amp; Health</t>
        </is>
      </c>
      <c r="D127" s="291" t="inlineStr">
        <is>
          <t>Surgical &amp; Medical Supplies</t>
        </is>
      </c>
      <c r="E127" s="291" t="inlineStr">
        <is>
          <t>CTTON100</t>
        </is>
      </c>
      <c r="F127" s="291" t="inlineStr">
        <is>
          <t>Unit</t>
        </is>
      </c>
      <c r="G127" s="292" t="n">
        <v>29</v>
      </c>
      <c r="H127" s="292" t="n">
        <v>20</v>
      </c>
      <c r="I127" s="292" t="n">
        <v>80</v>
      </c>
      <c r="J127" s="292" t="n">
        <v>3480</v>
      </c>
      <c r="K127" s="293" t="n">
        <v>120</v>
      </c>
      <c r="L127" s="292" t="inlineStr">
        <is>
          <t>180.00</t>
        </is>
      </c>
      <c r="M127" s="294">
        <f>IF(L127=0,0,(L127-K127)/L127)</f>
        <v/>
      </c>
      <c r="N127" s="292" t="inlineStr">
        <is>
          <t>In Stock</t>
        </is>
      </c>
      <c r="O127" s="292" t="n">
        <v>3</v>
      </c>
      <c r="P127" s="292" t="n">
        <v>8</v>
      </c>
      <c r="Q127" s="292" t="n">
        <v>4</v>
      </c>
      <c r="R127" s="292" t="n">
        <v>5</v>
      </c>
      <c r="S127" s="292" t="n">
        <v>6</v>
      </c>
      <c r="T127" s="292" t="n">
        <v>12</v>
      </c>
      <c r="U127" s="292" t="n">
        <v>2</v>
      </c>
      <c r="V127" s="292" t="n">
        <v>4</v>
      </c>
      <c r="W127" s="292" t="n">
        <v>8</v>
      </c>
      <c r="X127" s="292" t="n">
        <v>8</v>
      </c>
      <c r="Y127" s="292" t="n">
        <v>5</v>
      </c>
      <c r="Z127" s="292" t="n">
        <v>6</v>
      </c>
      <c r="AA127" s="292" t="n">
        <v>8</v>
      </c>
      <c r="AB127" s="292" t="n">
        <v>8</v>
      </c>
      <c r="AC127" s="292" t="n">
        <v>9</v>
      </c>
      <c r="AD127" s="292" t="n">
        <v>4</v>
      </c>
      <c r="AE127" s="292" t="n">
        <v>8</v>
      </c>
      <c r="AF127" s="292" t="n">
        <v>9</v>
      </c>
      <c r="AG127" s="292" t="n">
        <v>4</v>
      </c>
      <c r="AH127" s="292" t="n">
        <v>8</v>
      </c>
      <c r="AI127" s="292" t="n">
        <v>8</v>
      </c>
      <c r="AJ127" s="292" t="n">
        <v>5</v>
      </c>
      <c r="AK127" s="292" t="n">
        <v>4</v>
      </c>
      <c r="AL127" s="292" t="n">
        <v>5</v>
      </c>
      <c r="AM127" s="292" t="n">
        <v>5</v>
      </c>
      <c r="AN127" s="292" t="n">
        <v>4</v>
      </c>
      <c r="AO127" s="292" t="n">
        <v>5</v>
      </c>
      <c r="AP127" s="292" t="n">
        <v>6</v>
      </c>
      <c r="AQ127" s="292" t="n">
        <v>6</v>
      </c>
      <c r="AR127" s="292" t="n">
        <v>9</v>
      </c>
    </row>
    <row r="128" ht="14.25" customHeight="1" s="133">
      <c r="A128" s="303" t="inlineStr">
        <is>
          <t>PK-1159</t>
        </is>
      </c>
      <c r="B128" s="303" t="inlineStr">
        <is>
          <t>BP Apparatus Digital</t>
        </is>
      </c>
      <c r="C128" s="303" t="inlineStr">
        <is>
          <t>Pharmaceuticals &amp; Health</t>
        </is>
      </c>
      <c r="D128" s="303" t="inlineStr">
        <is>
          <t>Surgical &amp; Medical Supplies</t>
        </is>
      </c>
      <c r="E128" s="303" t="inlineStr">
        <is>
          <t>BPAPD</t>
        </is>
      </c>
      <c r="F128" s="303" t="inlineStr">
        <is>
          <t>Unit</t>
        </is>
      </c>
      <c r="G128" s="304" t="n">
        <v>44</v>
      </c>
      <c r="H128" s="304" t="n">
        <v>3</v>
      </c>
      <c r="I128" s="304" t="n">
        <v>10</v>
      </c>
      <c r="J128" s="304" t="n">
        <v>123200</v>
      </c>
      <c r="K128" s="305" t="n">
        <v>2800</v>
      </c>
      <c r="L128" s="304" t="inlineStr">
        <is>
          <t>4,200.00</t>
        </is>
      </c>
      <c r="M128" s="306">
        <f>IF(L128=0,0,(L128-K128)/L128)</f>
        <v/>
      </c>
      <c r="N128" s="304" t="inlineStr">
        <is>
          <t>In Stock</t>
        </is>
      </c>
      <c r="O128" s="304" t="n">
        <v>8</v>
      </c>
      <c r="P128" s="304" t="n">
        <v>8</v>
      </c>
      <c r="Q128" s="304" t="n">
        <v>8</v>
      </c>
      <c r="R128" s="304" t="n">
        <v>6</v>
      </c>
      <c r="S128" s="304" t="n">
        <v>4</v>
      </c>
      <c r="T128" s="304" t="n">
        <v>14</v>
      </c>
      <c r="U128" s="304" t="n">
        <v>7</v>
      </c>
      <c r="V128" s="304" t="n">
        <v>4</v>
      </c>
      <c r="W128" s="304" t="n">
        <v>13</v>
      </c>
      <c r="X128" s="304" t="n">
        <v>11</v>
      </c>
      <c r="Y128" s="304" t="n">
        <v>10</v>
      </c>
      <c r="Z128" s="304" t="n">
        <v>6</v>
      </c>
      <c r="AA128" s="304" t="n">
        <v>12</v>
      </c>
      <c r="AB128" s="304" t="n">
        <v>7</v>
      </c>
      <c r="AC128" s="304" t="n">
        <v>5</v>
      </c>
      <c r="AD128" s="304" t="n">
        <v>5</v>
      </c>
      <c r="AE128" s="304" t="n">
        <v>4</v>
      </c>
      <c r="AF128" s="304" t="n">
        <v>8</v>
      </c>
      <c r="AG128" s="304" t="n">
        <v>11</v>
      </c>
      <c r="AH128" s="304" t="n">
        <v>8</v>
      </c>
      <c r="AI128" s="304" t="n">
        <v>13</v>
      </c>
      <c r="AJ128" s="304" t="n">
        <v>2</v>
      </c>
      <c r="AK128" s="304" t="n">
        <v>9</v>
      </c>
      <c r="AL128" s="304" t="n">
        <v>9</v>
      </c>
      <c r="AM128" s="304" t="n">
        <v>5</v>
      </c>
      <c r="AN128" s="304" t="n">
        <v>4</v>
      </c>
      <c r="AO128" s="304" t="n">
        <v>4</v>
      </c>
      <c r="AP128" s="304" t="n">
        <v>6</v>
      </c>
      <c r="AQ128" s="304" t="n">
        <v>10</v>
      </c>
      <c r="AR128" s="304" t="n">
        <v>4</v>
      </c>
    </row>
    <row r="129" ht="14.25" customHeight="1" s="133">
      <c r="A129" s="291" t="inlineStr">
        <is>
          <t>PK-1160</t>
        </is>
      </c>
      <c r="B129" s="291" t="inlineStr">
        <is>
          <t>Thermometer Digital</t>
        </is>
      </c>
      <c r="C129" s="291" t="inlineStr">
        <is>
          <t>Pharmaceuticals &amp; Health</t>
        </is>
      </c>
      <c r="D129" s="291" t="inlineStr">
        <is>
          <t>Surgical &amp; Medical Supplies</t>
        </is>
      </c>
      <c r="E129" s="291" t="inlineStr">
        <is>
          <t>THRMD</t>
        </is>
      </c>
      <c r="F129" s="291" t="inlineStr">
        <is>
          <t>Unit</t>
        </is>
      </c>
      <c r="G129" s="292" t="n">
        <v>40</v>
      </c>
      <c r="H129" s="292" t="n">
        <v>5</v>
      </c>
      <c r="I129" s="292" t="n">
        <v>20</v>
      </c>
      <c r="J129" s="292" t="n">
        <v>26000</v>
      </c>
      <c r="K129" s="293" t="n">
        <v>650</v>
      </c>
      <c r="L129" s="292" t="inlineStr">
        <is>
          <t>1,000.00</t>
        </is>
      </c>
      <c r="M129" s="294">
        <f>IF(L129=0,0,(L129-K129)/L129)</f>
        <v/>
      </c>
      <c r="N129" s="292" t="inlineStr">
        <is>
          <t>In Stock</t>
        </is>
      </c>
      <c r="O129" s="292" t="n">
        <v>5</v>
      </c>
      <c r="P129" s="292" t="n">
        <v>7</v>
      </c>
      <c r="Q129" s="292" t="n">
        <v>7</v>
      </c>
      <c r="R129" s="292" t="n">
        <v>14</v>
      </c>
      <c r="S129" s="292" t="n">
        <v>10</v>
      </c>
      <c r="T129" s="292" t="n">
        <v>4</v>
      </c>
      <c r="U129" s="292" t="n">
        <v>9</v>
      </c>
      <c r="V129" s="292" t="n">
        <v>3</v>
      </c>
      <c r="W129" s="292" t="n">
        <v>9</v>
      </c>
      <c r="X129" s="292" t="n">
        <v>12</v>
      </c>
      <c r="Y129" s="292" t="n">
        <v>7</v>
      </c>
      <c r="Z129" s="292" t="n">
        <v>8</v>
      </c>
      <c r="AA129" s="292" t="n">
        <v>11</v>
      </c>
      <c r="AB129" s="292" t="n">
        <v>6</v>
      </c>
      <c r="AC129" s="292" t="n">
        <v>11</v>
      </c>
      <c r="AD129" s="292" t="n">
        <v>6</v>
      </c>
      <c r="AE129" s="292" t="n">
        <v>16</v>
      </c>
      <c r="AF129" s="292" t="n">
        <v>3</v>
      </c>
      <c r="AG129" s="292" t="n">
        <v>11</v>
      </c>
      <c r="AH129" s="292" t="n">
        <v>5</v>
      </c>
      <c r="AI129" s="292" t="n">
        <v>11</v>
      </c>
      <c r="AJ129" s="292" t="n">
        <v>12</v>
      </c>
      <c r="AK129" s="292" t="n">
        <v>8</v>
      </c>
      <c r="AL129" s="292" t="n">
        <v>9</v>
      </c>
      <c r="AM129" s="292" t="n">
        <v>13</v>
      </c>
      <c r="AN129" s="292" t="n">
        <v>14</v>
      </c>
      <c r="AO129" s="292" t="n">
        <v>8</v>
      </c>
      <c r="AP129" s="292" t="n">
        <v>15</v>
      </c>
      <c r="AQ129" s="292" t="n">
        <v>5</v>
      </c>
      <c r="AR129" s="292" t="n">
        <v>3</v>
      </c>
    </row>
    <row r="130" ht="14.25" customHeight="1" s="133">
      <c r="A130" s="303" t="inlineStr">
        <is>
          <t>PK-1161</t>
        </is>
      </c>
      <c r="B130" s="303" t="inlineStr">
        <is>
          <t>Glucometer</t>
        </is>
      </c>
      <c r="C130" s="303" t="inlineStr">
        <is>
          <t>Pharmaceuticals &amp; Health</t>
        </is>
      </c>
      <c r="D130" s="303" t="inlineStr">
        <is>
          <t>Surgical &amp; Medical Supplies</t>
        </is>
      </c>
      <c r="E130" s="303" t="inlineStr">
        <is>
          <t>GLCMTR</t>
        </is>
      </c>
      <c r="F130" s="303" t="inlineStr">
        <is>
          <t>Unit</t>
        </is>
      </c>
      <c r="G130" s="304" t="n">
        <v>132</v>
      </c>
      <c r="H130" s="304" t="n">
        <v>3</v>
      </c>
      <c r="I130" s="304" t="n">
        <v>10</v>
      </c>
      <c r="J130" s="304" t="n">
        <v>462000</v>
      </c>
      <c r="K130" s="305" t="n">
        <v>3500</v>
      </c>
      <c r="L130" s="304" t="inlineStr">
        <is>
          <t>5,200.00</t>
        </is>
      </c>
      <c r="M130" s="306">
        <f>IF(L130=0,0,(L130-K130)/L130)</f>
        <v/>
      </c>
      <c r="N130" s="304" t="inlineStr">
        <is>
          <t>In Stock</t>
        </is>
      </c>
      <c r="O130" s="304" t="n">
        <v>5</v>
      </c>
      <c r="P130" s="304" t="n">
        <v>8</v>
      </c>
      <c r="Q130" s="304" t="n">
        <v>2</v>
      </c>
      <c r="R130" s="304" t="n">
        <v>9</v>
      </c>
      <c r="S130" s="304" t="n">
        <v>6</v>
      </c>
      <c r="T130" s="304" t="n">
        <v>5</v>
      </c>
      <c r="U130" s="304" t="n">
        <v>6</v>
      </c>
      <c r="V130" s="304" t="n">
        <v>4</v>
      </c>
      <c r="W130" s="304" t="n">
        <v>8</v>
      </c>
      <c r="X130" s="304" t="n">
        <v>5</v>
      </c>
      <c r="Y130" s="304" t="n">
        <v>5</v>
      </c>
      <c r="Z130" s="304" t="n">
        <v>8</v>
      </c>
      <c r="AA130" s="304" t="n">
        <v>10</v>
      </c>
      <c r="AB130" s="304" t="n">
        <v>7</v>
      </c>
      <c r="AC130" s="304" t="n">
        <v>7</v>
      </c>
      <c r="AD130" s="304" t="n">
        <v>3</v>
      </c>
      <c r="AE130" s="304" t="n">
        <v>1</v>
      </c>
      <c r="AF130" s="304" t="n">
        <v>6</v>
      </c>
      <c r="AG130" s="304" t="n">
        <v>8</v>
      </c>
      <c r="AH130" s="304" t="n">
        <v>10</v>
      </c>
      <c r="AI130" s="304" t="n">
        <v>7</v>
      </c>
      <c r="AJ130" s="304" t="n">
        <v>6</v>
      </c>
      <c r="AK130" s="304" t="n">
        <v>8</v>
      </c>
      <c r="AL130" s="304" t="n">
        <v>6</v>
      </c>
      <c r="AM130" s="304" t="n">
        <v>7</v>
      </c>
      <c r="AN130" s="304" t="n">
        <v>8</v>
      </c>
      <c r="AO130" s="304" t="n">
        <v>17</v>
      </c>
      <c r="AP130" s="304" t="n">
        <v>6</v>
      </c>
      <c r="AQ130" s="304" t="n">
        <v>7</v>
      </c>
      <c r="AR130" s="304" t="n">
        <v>14</v>
      </c>
    </row>
    <row r="131" ht="14.25" customHeight="1" s="133">
      <c r="A131" s="291" t="inlineStr">
        <is>
          <t>PK-1162</t>
        </is>
      </c>
      <c r="B131" s="291" t="inlineStr">
        <is>
          <t>Head &amp; Shoulders 400ml</t>
        </is>
      </c>
      <c r="C131" s="291" t="inlineStr">
        <is>
          <t>Pharmaceuticals &amp; Health</t>
        </is>
      </c>
      <c r="D131" s="291" t="inlineStr">
        <is>
          <t>Personal Care</t>
        </is>
      </c>
      <c r="E131" s="291" t="inlineStr">
        <is>
          <t>HDSHLD400</t>
        </is>
      </c>
      <c r="F131" s="291" t="inlineStr">
        <is>
          <t>Unit</t>
        </is>
      </c>
      <c r="G131" s="292" t="n">
        <v>88</v>
      </c>
      <c r="H131" s="292" t="n">
        <v>10</v>
      </c>
      <c r="I131" s="292" t="n">
        <v>40</v>
      </c>
      <c r="J131" s="292" t="n">
        <v>66000</v>
      </c>
      <c r="K131" s="293" t="n">
        <v>0</v>
      </c>
      <c r="L131" s="292" t="inlineStr">
        <is>
          <t>1,050.00</t>
        </is>
      </c>
      <c r="M131" s="294">
        <f>IF(L131=0,0,(L131-K131)/L131)</f>
        <v/>
      </c>
      <c r="N131" s="292" t="inlineStr">
        <is>
          <t>In Stock</t>
        </is>
      </c>
      <c r="O131" s="292" t="n">
        <v>8</v>
      </c>
      <c r="P131" s="292" t="n">
        <v>8</v>
      </c>
      <c r="Q131" s="292" t="n">
        <v>4</v>
      </c>
      <c r="R131" s="292" t="n">
        <v>5</v>
      </c>
      <c r="S131" s="292" t="n">
        <v>15</v>
      </c>
      <c r="T131" s="292" t="n">
        <v>5</v>
      </c>
      <c r="U131" s="292" t="n">
        <v>7</v>
      </c>
      <c r="V131" s="292" t="n">
        <v>10</v>
      </c>
      <c r="W131" s="292" t="n">
        <v>6</v>
      </c>
      <c r="X131" s="292" t="n">
        <v>18</v>
      </c>
      <c r="Y131" s="292" t="n">
        <v>7</v>
      </c>
      <c r="Z131" s="292" t="n">
        <v>23</v>
      </c>
      <c r="AA131" s="292" t="n">
        <v>15</v>
      </c>
      <c r="AB131" s="292" t="n">
        <v>5</v>
      </c>
      <c r="AC131" s="292" t="n">
        <v>7</v>
      </c>
      <c r="AD131" s="292" t="n">
        <v>8</v>
      </c>
      <c r="AE131" s="292" t="n">
        <v>10</v>
      </c>
      <c r="AF131" s="292" t="n">
        <v>8</v>
      </c>
      <c r="AG131" s="292" t="n">
        <v>6</v>
      </c>
      <c r="AH131" s="292" t="n">
        <v>18</v>
      </c>
      <c r="AI131" s="292" t="n">
        <v>2</v>
      </c>
      <c r="AJ131" s="292" t="n">
        <v>8</v>
      </c>
      <c r="AK131" s="292" t="n">
        <v>9</v>
      </c>
      <c r="AL131" s="292" t="n">
        <v>9</v>
      </c>
      <c r="AM131" s="292" t="n">
        <v>10</v>
      </c>
      <c r="AN131" s="292" t="n">
        <v>8</v>
      </c>
      <c r="AO131" s="292" t="n">
        <v>11</v>
      </c>
      <c r="AP131" s="292" t="n">
        <v>7</v>
      </c>
      <c r="AQ131" s="292" t="n">
        <v>2</v>
      </c>
      <c r="AR131" s="292" t="n">
        <v>9</v>
      </c>
    </row>
    <row r="132" ht="14.25" customHeight="1" s="133">
      <c r="A132" s="303" t="inlineStr">
        <is>
          <t>PK-1163</t>
        </is>
      </c>
      <c r="B132" s="303" t="inlineStr">
        <is>
          <t>Pantene Shampoo 400ml</t>
        </is>
      </c>
      <c r="C132" s="303" t="inlineStr">
        <is>
          <t>Pharmaceuticals &amp; Health</t>
        </is>
      </c>
      <c r="D132" s="303" t="inlineStr">
        <is>
          <t>Personal Care</t>
        </is>
      </c>
      <c r="E132" s="303" t="inlineStr">
        <is>
          <t>PNTN400</t>
        </is>
      </c>
      <c r="F132" s="303" t="inlineStr">
        <is>
          <t>Unit</t>
        </is>
      </c>
      <c r="G132" s="304" t="n">
        <v>5</v>
      </c>
      <c r="H132" s="304" t="n">
        <v>10</v>
      </c>
      <c r="I132" s="304" t="n">
        <v>40</v>
      </c>
      <c r="J132" s="304" t="n">
        <v>3400</v>
      </c>
      <c r="K132" s="305" t="n">
        <v>0</v>
      </c>
      <c r="L132" s="304" t="inlineStr">
        <is>
          <t>950.00</t>
        </is>
      </c>
      <c r="M132" s="306">
        <f>IF(L132=0,0,(L132-K132)/L132)</f>
        <v/>
      </c>
      <c r="N132" s="304" t="inlineStr">
        <is>
          <t>Low Stock</t>
        </is>
      </c>
      <c r="O132" s="304" t="n">
        <v>10</v>
      </c>
      <c r="P132" s="304" t="n">
        <v>8</v>
      </c>
      <c r="Q132" s="304" t="n">
        <v>8</v>
      </c>
      <c r="R132" s="304" t="n">
        <v>10</v>
      </c>
      <c r="S132" s="304" t="n">
        <v>9</v>
      </c>
      <c r="T132" s="304" t="n">
        <v>5</v>
      </c>
      <c r="U132" s="304" t="n">
        <v>8</v>
      </c>
      <c r="V132" s="304" t="n">
        <v>10</v>
      </c>
      <c r="W132" s="304" t="n">
        <v>12</v>
      </c>
      <c r="X132" s="304" t="n">
        <v>5</v>
      </c>
      <c r="Y132" s="304" t="n">
        <v>8</v>
      </c>
      <c r="Z132" s="304" t="n">
        <v>7</v>
      </c>
      <c r="AA132" s="304" t="n">
        <v>8</v>
      </c>
      <c r="AB132" s="304" t="n">
        <v>4</v>
      </c>
      <c r="AC132" s="304" t="n">
        <v>12</v>
      </c>
      <c r="AD132" s="304" t="n">
        <v>4</v>
      </c>
      <c r="AE132" s="304" t="n">
        <v>5</v>
      </c>
      <c r="AF132" s="304" t="n">
        <v>10</v>
      </c>
      <c r="AG132" s="304" t="n">
        <v>6</v>
      </c>
      <c r="AH132" s="304" t="n">
        <v>11</v>
      </c>
      <c r="AI132" s="304" t="n">
        <v>7</v>
      </c>
      <c r="AJ132" s="304" t="n">
        <v>9</v>
      </c>
      <c r="AK132" s="304" t="n">
        <v>3</v>
      </c>
      <c r="AL132" s="304" t="n">
        <v>7</v>
      </c>
      <c r="AM132" s="304" t="n">
        <v>5</v>
      </c>
      <c r="AN132" s="304" t="n">
        <v>6</v>
      </c>
      <c r="AO132" s="304" t="n">
        <v>7</v>
      </c>
      <c r="AP132" s="304" t="n">
        <v>10</v>
      </c>
      <c r="AQ132" s="304" t="n">
        <v>5</v>
      </c>
      <c r="AR132" s="304" t="n">
        <v>12</v>
      </c>
    </row>
    <row r="133" ht="14.25" customHeight="1" s="133">
      <c r="A133" s="291" t="inlineStr">
        <is>
          <t>PK-1164</t>
        </is>
      </c>
      <c r="B133" s="291" t="inlineStr">
        <is>
          <t>Safeguard Soap 175g</t>
        </is>
      </c>
      <c r="C133" s="291" t="inlineStr">
        <is>
          <t>Pharmaceuticals &amp; Health</t>
        </is>
      </c>
      <c r="D133" s="291" t="inlineStr">
        <is>
          <t>Personal Care</t>
        </is>
      </c>
      <c r="E133" s="291" t="inlineStr">
        <is>
          <t>SFGRD175</t>
        </is>
      </c>
      <c r="F133" s="291" t="inlineStr">
        <is>
          <t>Unit</t>
        </is>
      </c>
      <c r="G133" s="292" t="n">
        <v>144</v>
      </c>
      <c r="H133" s="292" t="n">
        <v>20</v>
      </c>
      <c r="I133" s="292" t="n">
        <v>80</v>
      </c>
      <c r="J133" s="292" t="n">
        <v>17280</v>
      </c>
      <c r="K133" s="293" t="n">
        <v>0</v>
      </c>
      <c r="L133" s="292" t="inlineStr">
        <is>
          <t>175.00</t>
        </is>
      </c>
      <c r="M133" s="294">
        <f>IF(L133=0,0,(L133-K133)/L133)</f>
        <v/>
      </c>
      <c r="N133" s="292" t="inlineStr">
        <is>
          <t>In Stock</t>
        </is>
      </c>
      <c r="O133" s="292" t="n">
        <v>13</v>
      </c>
      <c r="P133" s="292" t="n">
        <v>9</v>
      </c>
      <c r="Q133" s="292" t="n">
        <v>9</v>
      </c>
      <c r="R133" s="292" t="n">
        <v>18</v>
      </c>
      <c r="S133" s="292" t="n">
        <v>12</v>
      </c>
      <c r="T133" s="292" t="n">
        <v>11</v>
      </c>
      <c r="U133" s="292" t="n">
        <v>7</v>
      </c>
      <c r="V133" s="292" t="n">
        <v>7</v>
      </c>
      <c r="W133" s="292" t="n">
        <v>7</v>
      </c>
      <c r="X133" s="292" t="n">
        <v>6</v>
      </c>
      <c r="Y133" s="292" t="n">
        <v>6</v>
      </c>
      <c r="Z133" s="292" t="n">
        <v>9</v>
      </c>
      <c r="AA133" s="292" t="n">
        <v>10</v>
      </c>
      <c r="AB133" s="292" t="n">
        <v>10</v>
      </c>
      <c r="AC133" s="292" t="n">
        <v>8</v>
      </c>
      <c r="AD133" s="292" t="n">
        <v>6</v>
      </c>
      <c r="AE133" s="292" t="n">
        <v>4</v>
      </c>
      <c r="AF133" s="292" t="n">
        <v>9</v>
      </c>
      <c r="AG133" s="292" t="n">
        <v>13</v>
      </c>
      <c r="AH133" s="292" t="n">
        <v>14</v>
      </c>
      <c r="AI133" s="292" t="n">
        <v>7</v>
      </c>
      <c r="AJ133" s="292" t="n">
        <v>9</v>
      </c>
      <c r="AK133" s="292" t="n">
        <v>9</v>
      </c>
      <c r="AL133" s="292" t="n">
        <v>9</v>
      </c>
      <c r="AM133" s="292" t="n">
        <v>7</v>
      </c>
      <c r="AN133" s="292" t="n">
        <v>10</v>
      </c>
      <c r="AO133" s="292" t="n">
        <v>12</v>
      </c>
      <c r="AP133" s="292" t="n">
        <v>2</v>
      </c>
      <c r="AQ133" s="292" t="n">
        <v>6</v>
      </c>
      <c r="AR133" s="292" t="n">
        <v>10</v>
      </c>
    </row>
    <row r="134" ht="14.25" customHeight="1" s="133">
      <c r="A134" s="303" t="inlineStr">
        <is>
          <t>PK-1165</t>
        </is>
      </c>
      <c r="B134" s="303" t="inlineStr">
        <is>
          <t>Dove Body Wash 400ml</t>
        </is>
      </c>
      <c r="C134" s="303" t="inlineStr">
        <is>
          <t>Pharmaceuticals &amp; Health</t>
        </is>
      </c>
      <c r="D134" s="303" t="inlineStr">
        <is>
          <t>Personal Care</t>
        </is>
      </c>
      <c r="E134" s="303" t="inlineStr">
        <is>
          <t>DVEBW400</t>
        </is>
      </c>
      <c r="F134" s="303" t="inlineStr">
        <is>
          <t>Unit</t>
        </is>
      </c>
      <c r="G134" s="304" t="n">
        <v>42</v>
      </c>
      <c r="H134" s="304" t="n">
        <v>8</v>
      </c>
      <c r="I134" s="304" t="n">
        <v>30</v>
      </c>
      <c r="J134" s="304" t="n">
        <v>28560</v>
      </c>
      <c r="K134" s="305" t="n">
        <v>0</v>
      </c>
      <c r="L134" s="304" t="inlineStr">
        <is>
          <t>980.00</t>
        </is>
      </c>
      <c r="M134" s="306">
        <f>IF(L134=0,0,(L134-K134)/L134)</f>
        <v/>
      </c>
      <c r="N134" s="304" t="inlineStr">
        <is>
          <t>In Stock</t>
        </is>
      </c>
      <c r="O134" s="304" t="n">
        <v>2</v>
      </c>
      <c r="P134" s="304" t="n">
        <v>2</v>
      </c>
      <c r="Q134" s="304" t="n">
        <v>8</v>
      </c>
      <c r="R134" s="304" t="n">
        <v>4</v>
      </c>
      <c r="S134" s="304" t="n">
        <v>9</v>
      </c>
      <c r="T134" s="304" t="n">
        <v>5</v>
      </c>
      <c r="U134" s="304" t="n">
        <v>6</v>
      </c>
      <c r="V134" s="304" t="n">
        <v>10</v>
      </c>
      <c r="W134" s="304" t="n">
        <v>5</v>
      </c>
      <c r="X134" s="304" t="n">
        <v>1</v>
      </c>
      <c r="Y134" s="304" t="n">
        <v>7</v>
      </c>
      <c r="Z134" s="304" t="n">
        <v>12</v>
      </c>
      <c r="AA134" s="304" t="n">
        <v>20</v>
      </c>
      <c r="AB134" s="304" t="n">
        <v>9</v>
      </c>
      <c r="AC134" s="304" t="n">
        <v>8</v>
      </c>
      <c r="AD134" s="304" t="n">
        <v>14</v>
      </c>
      <c r="AE134" s="304" t="n">
        <v>2</v>
      </c>
      <c r="AF134" s="304" t="n">
        <v>8</v>
      </c>
      <c r="AG134" s="304" t="n">
        <v>10</v>
      </c>
      <c r="AH134" s="304" t="n">
        <v>1</v>
      </c>
      <c r="AI134" s="304" t="n">
        <v>4</v>
      </c>
      <c r="AJ134" s="304" t="n">
        <v>7</v>
      </c>
      <c r="AK134" s="304" t="n">
        <v>5</v>
      </c>
      <c r="AL134" s="304" t="n">
        <v>5</v>
      </c>
      <c r="AM134" s="304" t="n">
        <v>7</v>
      </c>
      <c r="AN134" s="304" t="n">
        <v>6</v>
      </c>
      <c r="AO134" s="304" t="n">
        <v>15</v>
      </c>
      <c r="AP134" s="304" t="n">
        <v>7</v>
      </c>
      <c r="AQ134" s="304" t="n">
        <v>8</v>
      </c>
      <c r="AR134" s="304" t="n">
        <v>13</v>
      </c>
    </row>
    <row r="135" ht="14.25" customHeight="1" s="133">
      <c r="A135" s="291" t="inlineStr">
        <is>
          <t>PK-1166</t>
        </is>
      </c>
      <c r="B135" s="291" t="inlineStr">
        <is>
          <t>Colgate Toothpaste 150g</t>
        </is>
      </c>
      <c r="C135" s="291" t="inlineStr">
        <is>
          <t>Pharmaceuticals &amp; Health</t>
        </is>
      </c>
      <c r="D135" s="291" t="inlineStr">
        <is>
          <t>Personal Care</t>
        </is>
      </c>
      <c r="E135" s="291" t="inlineStr">
        <is>
          <t>COLGTP150</t>
        </is>
      </c>
      <c r="F135" s="291" t="inlineStr">
        <is>
          <t>Unit</t>
        </is>
      </c>
      <c r="G135" s="292" t="n">
        <v>95</v>
      </c>
      <c r="H135" s="292" t="n">
        <v>20</v>
      </c>
      <c r="I135" s="292" t="n">
        <v>80</v>
      </c>
      <c r="J135" s="292" t="n">
        <v>20900</v>
      </c>
      <c r="K135" s="293" t="n">
        <v>0</v>
      </c>
      <c r="L135" s="292" t="inlineStr">
        <is>
          <t>310.00</t>
        </is>
      </c>
      <c r="M135" s="294">
        <f>IF(L135=0,0,(L135-K135)/L135)</f>
        <v/>
      </c>
      <c r="N135" s="292" t="inlineStr">
        <is>
          <t>In Stock</t>
        </is>
      </c>
      <c r="O135" s="292" t="n">
        <v>9</v>
      </c>
      <c r="P135" s="292" t="n">
        <v>8</v>
      </c>
      <c r="Q135" s="292" t="n">
        <v>5</v>
      </c>
      <c r="R135" s="292" t="n">
        <v>9</v>
      </c>
      <c r="S135" s="292" t="n">
        <v>14</v>
      </c>
      <c r="T135" s="292" t="n">
        <v>8</v>
      </c>
      <c r="U135" s="292" t="n">
        <v>10</v>
      </c>
      <c r="V135" s="292" t="n">
        <v>8</v>
      </c>
      <c r="W135" s="292" t="n">
        <v>3</v>
      </c>
      <c r="X135" s="292" t="n">
        <v>6</v>
      </c>
      <c r="Y135" s="292" t="n">
        <v>6</v>
      </c>
      <c r="Z135" s="292" t="n">
        <v>11</v>
      </c>
      <c r="AA135" s="292" t="n">
        <v>6</v>
      </c>
      <c r="AB135" s="292" t="n">
        <v>13</v>
      </c>
      <c r="AC135" s="292" t="n">
        <v>9</v>
      </c>
      <c r="AD135" s="292" t="n">
        <v>6</v>
      </c>
      <c r="AE135" s="292" t="n">
        <v>8</v>
      </c>
      <c r="AF135" s="292" t="n">
        <v>6</v>
      </c>
      <c r="AG135" s="292" t="n">
        <v>10</v>
      </c>
      <c r="AH135" s="292" t="n">
        <v>13</v>
      </c>
      <c r="AI135" s="292" t="n">
        <v>1</v>
      </c>
      <c r="AJ135" s="292" t="n">
        <v>15</v>
      </c>
      <c r="AK135" s="292" t="n">
        <v>8</v>
      </c>
      <c r="AL135" s="292" t="n">
        <v>2</v>
      </c>
      <c r="AM135" s="292" t="n">
        <v>6</v>
      </c>
      <c r="AN135" s="292" t="n">
        <v>12</v>
      </c>
      <c r="AO135" s="292" t="n">
        <v>5</v>
      </c>
      <c r="AP135" s="292" t="n">
        <v>9</v>
      </c>
      <c r="AQ135" s="292" t="n">
        <v>8</v>
      </c>
      <c r="AR135" s="292" t="n">
        <v>7</v>
      </c>
    </row>
    <row r="136" ht="14.25" customHeight="1" s="133">
      <c r="A136" s="303" t="inlineStr">
        <is>
          <t>PK-1167</t>
        </is>
      </c>
      <c r="B136" s="303" t="inlineStr">
        <is>
          <t>Close-Up Toothpaste 150g</t>
        </is>
      </c>
      <c r="C136" s="303" t="inlineStr">
        <is>
          <t>Pharmaceuticals &amp; Health</t>
        </is>
      </c>
      <c r="D136" s="303" t="inlineStr">
        <is>
          <t>Personal Care</t>
        </is>
      </c>
      <c r="E136" s="303" t="inlineStr">
        <is>
          <t>CLOSEUP</t>
        </is>
      </c>
      <c r="F136" s="303" t="inlineStr">
        <is>
          <t>Unit</t>
        </is>
      </c>
      <c r="G136" s="304" t="n">
        <v>132</v>
      </c>
      <c r="H136" s="304" t="n">
        <v>20</v>
      </c>
      <c r="I136" s="304" t="n">
        <v>80</v>
      </c>
      <c r="J136" s="304" t="n">
        <v>26400</v>
      </c>
      <c r="K136" s="305" t="n">
        <v>0</v>
      </c>
      <c r="L136" s="304" t="inlineStr">
        <is>
          <t>290.00</t>
        </is>
      </c>
      <c r="M136" s="306">
        <f>IF(L136=0,0,(L136-K136)/L136)</f>
        <v/>
      </c>
      <c r="N136" s="304" t="inlineStr">
        <is>
          <t>In Stock</t>
        </is>
      </c>
      <c r="O136" s="304" t="n">
        <v>5</v>
      </c>
      <c r="P136" s="304" t="n">
        <v>9</v>
      </c>
      <c r="Q136" s="304" t="n">
        <v>12</v>
      </c>
      <c r="R136" s="304" t="n">
        <v>7</v>
      </c>
      <c r="S136" s="304" t="n">
        <v>9</v>
      </c>
      <c r="T136" s="304" t="n">
        <v>8</v>
      </c>
      <c r="U136" s="304" t="n">
        <v>3</v>
      </c>
      <c r="V136" s="304" t="n">
        <v>2</v>
      </c>
      <c r="W136" s="304" t="n">
        <v>7</v>
      </c>
      <c r="X136" s="304" t="n">
        <v>9</v>
      </c>
      <c r="Y136" s="304" t="n">
        <v>3</v>
      </c>
      <c r="Z136" s="304" t="n">
        <v>9</v>
      </c>
      <c r="AA136" s="304" t="n">
        <v>13</v>
      </c>
      <c r="AB136" s="304" t="n">
        <v>7</v>
      </c>
      <c r="AC136" s="304" t="n">
        <v>8</v>
      </c>
      <c r="AD136" s="304" t="n">
        <v>6</v>
      </c>
      <c r="AE136" s="304" t="n">
        <v>11</v>
      </c>
      <c r="AF136" s="304" t="n">
        <v>8</v>
      </c>
      <c r="AG136" s="304" t="n">
        <v>12</v>
      </c>
      <c r="AH136" s="304" t="n">
        <v>7</v>
      </c>
      <c r="AI136" s="304" t="n">
        <v>3</v>
      </c>
      <c r="AJ136" s="304" t="n">
        <v>15</v>
      </c>
      <c r="AK136" s="304" t="n">
        <v>8</v>
      </c>
      <c r="AL136" s="304" t="n">
        <v>11</v>
      </c>
      <c r="AM136" s="304" t="n">
        <v>10</v>
      </c>
      <c r="AN136" s="304" t="n">
        <v>1</v>
      </c>
      <c r="AO136" s="304" t="n">
        <v>11</v>
      </c>
      <c r="AP136" s="304" t="n">
        <v>6</v>
      </c>
      <c r="AQ136" s="304" t="n">
        <v>12</v>
      </c>
      <c r="AR136" s="304" t="n">
        <v>9</v>
      </c>
    </row>
    <row r="137" ht="14.25" customHeight="1" s="133">
      <c r="A137" s="291" t="inlineStr">
        <is>
          <t>PK-1168</t>
        </is>
      </c>
      <c r="B137" s="291" t="inlineStr">
        <is>
          <t>Gillette Mach3 Blades 4pk</t>
        </is>
      </c>
      <c r="C137" s="291" t="inlineStr">
        <is>
          <t>Pharmaceuticals &amp; Health</t>
        </is>
      </c>
      <c r="D137" s="291" t="inlineStr">
        <is>
          <t>Personal Care</t>
        </is>
      </c>
      <c r="E137" s="291" t="inlineStr">
        <is>
          <t>GLTM34</t>
        </is>
      </c>
      <c r="F137" s="291" t="inlineStr">
        <is>
          <t>Unit</t>
        </is>
      </c>
      <c r="G137" s="292" t="n">
        <v>136</v>
      </c>
      <c r="H137" s="292" t="n">
        <v>10</v>
      </c>
      <c r="I137" s="292" t="n">
        <v>40</v>
      </c>
      <c r="J137" s="292" t="n">
        <v>102000</v>
      </c>
      <c r="K137" s="293" t="n">
        <v>0</v>
      </c>
      <c r="L137" s="292" t="inlineStr">
        <is>
          <t>1,100.00</t>
        </is>
      </c>
      <c r="M137" s="294">
        <f>IF(L137=0,0,(L137-K137)/L137)</f>
        <v/>
      </c>
      <c r="N137" s="292" t="inlineStr">
        <is>
          <t>In Stock</t>
        </is>
      </c>
      <c r="O137" s="292" t="n">
        <v>8</v>
      </c>
      <c r="P137" s="292" t="n">
        <v>8</v>
      </c>
      <c r="Q137" s="292" t="n">
        <v>10</v>
      </c>
      <c r="R137" s="292" t="n">
        <v>10</v>
      </c>
      <c r="S137" s="292" t="n">
        <v>5</v>
      </c>
      <c r="T137" s="292" t="n">
        <v>10</v>
      </c>
      <c r="U137" s="292" t="n">
        <v>10</v>
      </c>
      <c r="V137" s="292" t="n">
        <v>11</v>
      </c>
      <c r="W137" s="292" t="n">
        <v>8</v>
      </c>
      <c r="X137" s="292" t="n">
        <v>9</v>
      </c>
      <c r="Y137" s="292" t="n">
        <v>8</v>
      </c>
      <c r="Z137" s="292" t="n">
        <v>7</v>
      </c>
      <c r="AA137" s="292" t="n">
        <v>12</v>
      </c>
      <c r="AB137" s="292" t="n">
        <v>14</v>
      </c>
      <c r="AC137" s="292" t="n">
        <v>5</v>
      </c>
      <c r="AD137" s="292" t="n">
        <v>9</v>
      </c>
      <c r="AE137" s="292" t="n">
        <v>15</v>
      </c>
      <c r="AF137" s="292" t="n">
        <v>6</v>
      </c>
      <c r="AG137" s="292" t="n">
        <v>12</v>
      </c>
      <c r="AH137" s="292" t="n">
        <v>14</v>
      </c>
      <c r="AI137" s="292" t="n">
        <v>3</v>
      </c>
      <c r="AJ137" s="292" t="n">
        <v>3</v>
      </c>
      <c r="AK137" s="292" t="n">
        <v>10</v>
      </c>
      <c r="AL137" s="292" t="n">
        <v>10</v>
      </c>
      <c r="AM137" s="292" t="n">
        <v>8</v>
      </c>
      <c r="AN137" s="292" t="n">
        <v>13</v>
      </c>
      <c r="AO137" s="292" t="n">
        <v>9</v>
      </c>
      <c r="AP137" s="292" t="n">
        <v>13</v>
      </c>
      <c r="AQ137" s="292" t="n">
        <v>6</v>
      </c>
      <c r="AR137" s="292" t="n">
        <v>9</v>
      </c>
    </row>
    <row r="138" ht="14.25" customHeight="1" s="133">
      <c r="A138" s="303" t="inlineStr">
        <is>
          <t>PK-1169</t>
        </is>
      </c>
      <c r="B138" s="303" t="inlineStr">
        <is>
          <t>Vaseline Petroleum Jelly 250ml</t>
        </is>
      </c>
      <c r="C138" s="303" t="inlineStr">
        <is>
          <t>Pharmaceuticals &amp; Health</t>
        </is>
      </c>
      <c r="D138" s="303" t="inlineStr">
        <is>
          <t>Personal Care</t>
        </is>
      </c>
      <c r="E138" s="303" t="inlineStr">
        <is>
          <t>VSLN250</t>
        </is>
      </c>
      <c r="F138" s="303" t="inlineStr">
        <is>
          <t>Unit</t>
        </is>
      </c>
      <c r="G138" s="304" t="n">
        <v>77</v>
      </c>
      <c r="H138" s="304" t="n">
        <v>15</v>
      </c>
      <c r="I138" s="304" t="n">
        <v>60</v>
      </c>
      <c r="J138" s="304" t="n">
        <v>29260</v>
      </c>
      <c r="K138" s="305" t="n">
        <v>0</v>
      </c>
      <c r="L138" s="304" t="inlineStr">
        <is>
          <t>540.00</t>
        </is>
      </c>
      <c r="M138" s="306">
        <f>IF(L138=0,0,(L138-K138)/L138)</f>
        <v/>
      </c>
      <c r="N138" s="304" t="inlineStr">
        <is>
          <t>In Stock</t>
        </is>
      </c>
      <c r="O138" s="304" t="n">
        <v>8</v>
      </c>
      <c r="P138" s="304" t="n">
        <v>21</v>
      </c>
      <c r="Q138" s="304" t="n">
        <v>10</v>
      </c>
      <c r="R138" s="304" t="n">
        <v>16</v>
      </c>
      <c r="S138" s="304" t="n">
        <v>10</v>
      </c>
      <c r="T138" s="304" t="n">
        <v>2</v>
      </c>
      <c r="U138" s="304" t="n">
        <v>7</v>
      </c>
      <c r="V138" s="304" t="n">
        <v>10</v>
      </c>
      <c r="W138" s="304" t="n">
        <v>10</v>
      </c>
      <c r="X138" s="304" t="n">
        <v>14</v>
      </c>
      <c r="Y138" s="304" t="n">
        <v>6</v>
      </c>
      <c r="Z138" s="304" t="n">
        <v>10</v>
      </c>
      <c r="AA138" s="304" t="n">
        <v>16</v>
      </c>
      <c r="AB138" s="304" t="n">
        <v>10</v>
      </c>
      <c r="AC138" s="304" t="n">
        <v>10</v>
      </c>
      <c r="AD138" s="304" t="n">
        <v>4</v>
      </c>
      <c r="AE138" s="304" t="n">
        <v>9</v>
      </c>
      <c r="AF138" s="304" t="n">
        <v>9</v>
      </c>
      <c r="AG138" s="304" t="n">
        <v>4</v>
      </c>
      <c r="AH138" s="304" t="n">
        <v>3</v>
      </c>
      <c r="AI138" s="304" t="n">
        <v>12</v>
      </c>
      <c r="AJ138" s="304" t="n">
        <v>13</v>
      </c>
      <c r="AK138" s="304" t="n">
        <v>10</v>
      </c>
      <c r="AL138" s="304" t="n">
        <v>9</v>
      </c>
      <c r="AM138" s="304" t="n">
        <v>12</v>
      </c>
      <c r="AN138" s="304" t="n">
        <v>2</v>
      </c>
      <c r="AO138" s="304" t="n">
        <v>7</v>
      </c>
      <c r="AP138" s="304" t="n">
        <v>11</v>
      </c>
      <c r="AQ138" s="304" t="n">
        <v>7</v>
      </c>
      <c r="AR138" s="304" t="n">
        <v>8</v>
      </c>
    </row>
    <row r="139" ht="14.25" customHeight="1" s="133">
      <c r="A139" s="291" t="inlineStr">
        <is>
          <t>PK-1170</t>
        </is>
      </c>
      <c r="B139" s="291" t="inlineStr">
        <is>
          <t>Dettol Liquid Soap 250ml</t>
        </is>
      </c>
      <c r="C139" s="291" t="inlineStr">
        <is>
          <t>Pharmaceuticals &amp; Health</t>
        </is>
      </c>
      <c r="D139" s="291" t="inlineStr">
        <is>
          <t>Personal Care</t>
        </is>
      </c>
      <c r="E139" s="291" t="inlineStr">
        <is>
          <t>DTTLSOP</t>
        </is>
      </c>
      <c r="F139" s="291" t="inlineStr">
        <is>
          <t>Unit</t>
        </is>
      </c>
      <c r="G139" s="292" t="n">
        <v>48</v>
      </c>
      <c r="H139" s="292" t="n">
        <v>15</v>
      </c>
      <c r="I139" s="292" t="n">
        <v>60</v>
      </c>
      <c r="J139" s="292" t="n">
        <v>15360</v>
      </c>
      <c r="K139" s="293" t="n">
        <v>0</v>
      </c>
      <c r="L139" s="292" t="inlineStr">
        <is>
          <t>470.00</t>
        </is>
      </c>
      <c r="M139" s="294">
        <f>IF(L139=0,0,(L139-K139)/L139)</f>
        <v/>
      </c>
      <c r="N139" s="292" t="inlineStr">
        <is>
          <t>In Stock</t>
        </is>
      </c>
      <c r="O139" s="292" t="n">
        <v>3</v>
      </c>
      <c r="P139" s="292" t="n">
        <v>5</v>
      </c>
      <c r="Q139" s="292" t="n">
        <v>5</v>
      </c>
      <c r="R139" s="292" t="n">
        <v>6</v>
      </c>
      <c r="S139" s="292" t="n">
        <v>13</v>
      </c>
      <c r="T139" s="292" t="n">
        <v>9</v>
      </c>
      <c r="U139" s="292" t="n">
        <v>8</v>
      </c>
      <c r="V139" s="292" t="n">
        <v>4</v>
      </c>
      <c r="W139" s="292" t="n">
        <v>6</v>
      </c>
      <c r="X139" s="292" t="n">
        <v>6</v>
      </c>
      <c r="Y139" s="292" t="n">
        <v>7</v>
      </c>
      <c r="Z139" s="292" t="n">
        <v>9</v>
      </c>
      <c r="AA139" s="292" t="n">
        <v>14</v>
      </c>
      <c r="AB139" s="292" t="n">
        <v>7</v>
      </c>
      <c r="AC139" s="292" t="n">
        <v>9</v>
      </c>
      <c r="AD139" s="292" t="n">
        <v>6</v>
      </c>
      <c r="AE139" s="292" t="n">
        <v>8</v>
      </c>
      <c r="AF139" s="292" t="n">
        <v>10</v>
      </c>
      <c r="AG139" s="292" t="n">
        <v>12</v>
      </c>
      <c r="AH139" s="292" t="n">
        <v>9</v>
      </c>
      <c r="AI139" s="292" t="n">
        <v>9</v>
      </c>
      <c r="AJ139" s="292" t="n">
        <v>14</v>
      </c>
      <c r="AK139" s="292" t="n">
        <v>8</v>
      </c>
      <c r="AL139" s="292" t="n">
        <v>8</v>
      </c>
      <c r="AM139" s="292" t="n">
        <v>6</v>
      </c>
      <c r="AN139" s="292" t="n">
        <v>10</v>
      </c>
      <c r="AO139" s="292" t="n">
        <v>9</v>
      </c>
      <c r="AP139" s="292" t="n">
        <v>6</v>
      </c>
      <c r="AQ139" s="292" t="n">
        <v>12</v>
      </c>
      <c r="AR139" s="292" t="n">
        <v>6</v>
      </c>
    </row>
    <row r="140" ht="14.25" customHeight="1" s="133">
      <c r="A140" s="303" t="inlineStr">
        <is>
          <t>PK-1171</t>
        </is>
      </c>
      <c r="B140" s="303" t="inlineStr">
        <is>
          <t>Garnier Face Wash 100ml</t>
        </is>
      </c>
      <c r="C140" s="303" t="inlineStr">
        <is>
          <t>Pharmaceuticals &amp; Health</t>
        </is>
      </c>
      <c r="D140" s="303" t="inlineStr">
        <is>
          <t>Personal Care</t>
        </is>
      </c>
      <c r="E140" s="303" t="inlineStr">
        <is>
          <t>GRNRFW</t>
        </is>
      </c>
      <c r="F140" s="303" t="inlineStr">
        <is>
          <t>Unit</t>
        </is>
      </c>
      <c r="G140" s="304" t="n">
        <v>89</v>
      </c>
      <c r="H140" s="304" t="n">
        <v>10</v>
      </c>
      <c r="I140" s="304" t="n">
        <v>40</v>
      </c>
      <c r="J140" s="304" t="n">
        <v>48950</v>
      </c>
      <c r="K140" s="305" t="n">
        <v>0</v>
      </c>
      <c r="L140" s="304" t="inlineStr">
        <is>
          <t>800.00</t>
        </is>
      </c>
      <c r="M140" s="306">
        <f>IF(L140=0,0,(L140-K140)/L140)</f>
        <v/>
      </c>
      <c r="N140" s="304" t="inlineStr">
        <is>
          <t>In Stock</t>
        </is>
      </c>
      <c r="O140" s="304" t="n">
        <v>10</v>
      </c>
      <c r="P140" s="304" t="n">
        <v>6</v>
      </c>
      <c r="Q140" s="304" t="n">
        <v>11</v>
      </c>
      <c r="R140" s="304" t="n">
        <v>8</v>
      </c>
      <c r="S140" s="304" t="n">
        <v>5</v>
      </c>
      <c r="T140" s="304" t="n">
        <v>6</v>
      </c>
      <c r="U140" s="304" t="n">
        <v>18</v>
      </c>
      <c r="V140" s="304" t="n">
        <v>5</v>
      </c>
      <c r="W140" s="304" t="n">
        <v>3</v>
      </c>
      <c r="X140" s="304" t="n">
        <v>7</v>
      </c>
      <c r="Y140" s="304" t="n">
        <v>5</v>
      </c>
      <c r="Z140" s="304" t="n">
        <v>8</v>
      </c>
      <c r="AA140" s="304" t="n">
        <v>6</v>
      </c>
      <c r="AB140" s="304" t="n">
        <v>8</v>
      </c>
      <c r="AC140" s="304" t="n">
        <v>8</v>
      </c>
      <c r="AD140" s="304" t="n">
        <v>8</v>
      </c>
      <c r="AE140" s="304" t="n">
        <v>12</v>
      </c>
      <c r="AF140" s="304" t="n">
        <v>11</v>
      </c>
      <c r="AG140" s="304" t="n">
        <v>12</v>
      </c>
      <c r="AH140" s="304" t="n">
        <v>9</v>
      </c>
      <c r="AI140" s="304" t="n">
        <v>9</v>
      </c>
      <c r="AJ140" s="304" t="n">
        <v>5</v>
      </c>
      <c r="AK140" s="304" t="n">
        <v>8</v>
      </c>
      <c r="AL140" s="304" t="n">
        <v>11</v>
      </c>
      <c r="AM140" s="304" t="n">
        <v>10</v>
      </c>
      <c r="AN140" s="304" t="n">
        <v>9</v>
      </c>
      <c r="AO140" s="304" t="n">
        <v>9</v>
      </c>
      <c r="AP140" s="304" t="n">
        <v>8</v>
      </c>
      <c r="AQ140" s="304" t="n">
        <v>7</v>
      </c>
      <c r="AR140" s="304" t="n">
        <v>3</v>
      </c>
    </row>
    <row r="141" ht="14.25" customHeight="1" s="133">
      <c r="A141" s="291" t="inlineStr">
        <is>
          <t>PK-1172</t>
        </is>
      </c>
      <c r="B141" s="291" t="inlineStr">
        <is>
          <t>A4 Paper Ream 500 sheets</t>
        </is>
      </c>
      <c r="C141" s="291" t="inlineStr">
        <is>
          <t>Stationery &amp; Office Supplies</t>
        </is>
      </c>
      <c r="D141" s="291" t="inlineStr">
        <is>
          <t>Paper &amp; Notebooks</t>
        </is>
      </c>
      <c r="E141" s="291" t="inlineStr">
        <is>
          <t>A4PRM</t>
        </is>
      </c>
      <c r="F141" s="291" t="inlineStr">
        <is>
          <t>Unit</t>
        </is>
      </c>
      <c r="G141" s="292" t="n">
        <v>38</v>
      </c>
      <c r="H141" s="292" t="n">
        <v>10</v>
      </c>
      <c r="I141" s="292" t="n">
        <v>50</v>
      </c>
      <c r="J141" s="292" t="n">
        <v>41800</v>
      </c>
      <c r="K141" s="293" t="n">
        <v>0</v>
      </c>
      <c r="L141" s="292" t="inlineStr">
        <is>
          <t>1,550.00</t>
        </is>
      </c>
      <c r="M141" s="294">
        <f>IF(L141=0,0,(L141-K141)/L141)</f>
        <v/>
      </c>
      <c r="N141" s="292" t="inlineStr">
        <is>
          <t>In Stock</t>
        </is>
      </c>
      <c r="O141" s="292" t="n">
        <v>5</v>
      </c>
      <c r="P141" s="292" t="n">
        <v>4</v>
      </c>
      <c r="Q141" s="292" t="n">
        <v>3</v>
      </c>
      <c r="R141" s="292" t="n">
        <v>8</v>
      </c>
      <c r="S141" s="292" t="n">
        <v>14</v>
      </c>
      <c r="T141" s="292" t="n">
        <v>9</v>
      </c>
      <c r="U141" s="292" t="n">
        <v>5</v>
      </c>
      <c r="V141" s="292" t="n">
        <v>5</v>
      </c>
      <c r="W141" s="292" t="n">
        <v>8</v>
      </c>
      <c r="X141" s="292" t="n">
        <v>3</v>
      </c>
      <c r="Y141" s="292" t="n">
        <v>7</v>
      </c>
      <c r="Z141" s="292" t="n">
        <v>7</v>
      </c>
      <c r="AA141" s="292" t="n">
        <v>3</v>
      </c>
      <c r="AB141" s="292" t="n">
        <v>5</v>
      </c>
      <c r="AC141" s="292" t="n">
        <v>10</v>
      </c>
      <c r="AD141" s="292" t="n">
        <v>5</v>
      </c>
      <c r="AE141" s="292" t="n">
        <v>4</v>
      </c>
      <c r="AF141" s="292" t="n">
        <v>7</v>
      </c>
      <c r="AG141" s="292" t="n">
        <v>11</v>
      </c>
      <c r="AH141" s="292" t="n">
        <v>14</v>
      </c>
      <c r="AI141" s="292" t="n">
        <v>4</v>
      </c>
      <c r="AJ141" s="292" t="n">
        <v>5</v>
      </c>
      <c r="AK141" s="292" t="n">
        <v>6</v>
      </c>
      <c r="AL141" s="292" t="n">
        <v>6</v>
      </c>
      <c r="AM141" s="292" t="n">
        <v>3</v>
      </c>
      <c r="AN141" s="292" t="n">
        <v>6</v>
      </c>
      <c r="AO141" s="292" t="n">
        <v>4</v>
      </c>
      <c r="AP141" s="292" t="n">
        <v>11</v>
      </c>
      <c r="AQ141" s="292" t="n">
        <v>3</v>
      </c>
      <c r="AR141" s="292" t="n">
        <v>6</v>
      </c>
    </row>
    <row r="142" ht="14.25" customHeight="1" s="133">
      <c r="A142" s="307" t="inlineStr">
        <is>
          <t>PK-1173</t>
        </is>
      </c>
      <c r="B142" s="307" t="inlineStr">
        <is>
          <t>Spiral Notebook A4</t>
        </is>
      </c>
      <c r="C142" s="307" t="inlineStr">
        <is>
          <t>Stationery &amp; Office Supplies</t>
        </is>
      </c>
      <c r="D142" s="307" t="inlineStr">
        <is>
          <t>Paper &amp; Notebooks</t>
        </is>
      </c>
      <c r="E142" s="307" t="inlineStr">
        <is>
          <t>SPNBA4</t>
        </is>
      </c>
      <c r="F142" s="307" t="inlineStr">
        <is>
          <t>Unit</t>
        </is>
      </c>
      <c r="G142" s="308" t="n">
        <v>147</v>
      </c>
      <c r="H142" s="308" t="n">
        <v>20</v>
      </c>
      <c r="I142" s="308" t="n">
        <v>100</v>
      </c>
      <c r="J142" s="308" t="n">
        <v>26460</v>
      </c>
      <c r="K142" s="309" t="n">
        <v>0</v>
      </c>
      <c r="L142" s="308" t="inlineStr">
        <is>
          <t>270.00</t>
        </is>
      </c>
      <c r="M142" s="310">
        <f>IF(L142=0,0,(L142-K142)/L142)</f>
        <v/>
      </c>
      <c r="N142" s="308" t="inlineStr">
        <is>
          <t>In Stock</t>
        </is>
      </c>
      <c r="O142" s="308" t="n">
        <v>9</v>
      </c>
      <c r="P142" s="308" t="n">
        <v>4</v>
      </c>
      <c r="Q142" s="308" t="n">
        <v>7</v>
      </c>
      <c r="R142" s="308" t="n">
        <v>8</v>
      </c>
      <c r="S142" s="308" t="n">
        <v>10</v>
      </c>
      <c r="T142" s="308" t="n">
        <v>8</v>
      </c>
      <c r="U142" s="308" t="n">
        <v>9</v>
      </c>
      <c r="V142" s="308" t="n">
        <v>7</v>
      </c>
      <c r="W142" s="308" t="n">
        <v>12</v>
      </c>
      <c r="X142" s="308" t="n">
        <v>11</v>
      </c>
      <c r="Y142" s="308" t="n">
        <v>7</v>
      </c>
      <c r="Z142" s="308" t="n">
        <v>13</v>
      </c>
      <c r="AA142" s="308" t="n">
        <v>9</v>
      </c>
      <c r="AB142" s="308" t="n">
        <v>9</v>
      </c>
      <c r="AC142" s="308" t="n">
        <v>9</v>
      </c>
      <c r="AD142" s="308" t="n">
        <v>8</v>
      </c>
      <c r="AE142" s="308" t="n">
        <v>6</v>
      </c>
      <c r="AF142" s="308" t="n">
        <v>9</v>
      </c>
      <c r="AG142" s="308" t="n">
        <v>5</v>
      </c>
      <c r="AH142" s="308" t="n">
        <v>8</v>
      </c>
      <c r="AI142" s="308" t="n">
        <v>7</v>
      </c>
      <c r="AJ142" s="308" t="n">
        <v>7</v>
      </c>
      <c r="AK142" s="308" t="n">
        <v>6</v>
      </c>
      <c r="AL142" s="308" t="n">
        <v>9</v>
      </c>
      <c r="AM142" s="308" t="n">
        <v>8</v>
      </c>
      <c r="AN142" s="308" t="n">
        <v>5</v>
      </c>
      <c r="AO142" s="308" t="n">
        <v>10</v>
      </c>
      <c r="AP142" s="308" t="n">
        <v>3</v>
      </c>
      <c r="AQ142" s="308" t="n">
        <v>11</v>
      </c>
      <c r="AR142" s="308" t="n">
        <v>7</v>
      </c>
    </row>
    <row r="143" ht="14.25" customHeight="1" s="133">
      <c r="A143" s="291" t="inlineStr">
        <is>
          <t>PK-1174</t>
        </is>
      </c>
      <c r="B143" s="291" t="inlineStr">
        <is>
          <t>Register 200 pages</t>
        </is>
      </c>
      <c r="C143" s="291" t="inlineStr">
        <is>
          <t>Stationery &amp; Office Supplies</t>
        </is>
      </c>
      <c r="D143" s="291" t="inlineStr">
        <is>
          <t>Paper &amp; Notebooks</t>
        </is>
      </c>
      <c r="E143" s="291" t="inlineStr">
        <is>
          <t>REGSTR</t>
        </is>
      </c>
      <c r="F143" s="291" t="inlineStr">
        <is>
          <t>Unit</t>
        </is>
      </c>
      <c r="G143" s="292" t="n">
        <v>58</v>
      </c>
      <c r="H143" s="292" t="n">
        <v>15</v>
      </c>
      <c r="I143" s="292" t="n">
        <v>60</v>
      </c>
      <c r="J143" s="292" t="n">
        <v>8700</v>
      </c>
      <c r="K143" s="293" t="n">
        <v>0</v>
      </c>
      <c r="L143" s="292" t="inlineStr">
        <is>
          <t>225.00</t>
        </is>
      </c>
      <c r="M143" s="294">
        <f>IF(L143=0,0,(L143-K143)/L143)</f>
        <v/>
      </c>
      <c r="N143" s="292" t="inlineStr">
        <is>
          <t>In Stock</t>
        </is>
      </c>
      <c r="O143" s="292" t="n">
        <v>4</v>
      </c>
      <c r="P143" s="292" t="n">
        <v>14</v>
      </c>
      <c r="Q143" s="292" t="n">
        <v>5</v>
      </c>
      <c r="R143" s="292" t="n">
        <v>5</v>
      </c>
      <c r="S143" s="292" t="n">
        <v>8</v>
      </c>
      <c r="T143" s="292" t="n">
        <v>10</v>
      </c>
      <c r="U143" s="292" t="n">
        <v>12</v>
      </c>
      <c r="V143" s="292" t="n">
        <v>7</v>
      </c>
      <c r="W143" s="292" t="n">
        <v>6</v>
      </c>
      <c r="X143" s="292" t="n">
        <v>8</v>
      </c>
      <c r="Y143" s="292" t="n">
        <v>5</v>
      </c>
      <c r="Z143" s="292" t="n">
        <v>9</v>
      </c>
      <c r="AA143" s="292" t="n">
        <v>8</v>
      </c>
      <c r="AB143" s="292" t="n">
        <v>8</v>
      </c>
      <c r="AC143" s="292" t="n">
        <v>11</v>
      </c>
      <c r="AD143" s="292" t="n">
        <v>4</v>
      </c>
      <c r="AE143" s="292" t="n">
        <v>9</v>
      </c>
      <c r="AF143" s="292" t="n">
        <v>9</v>
      </c>
      <c r="AG143" s="292" t="n">
        <v>19</v>
      </c>
      <c r="AH143" s="292" t="n">
        <v>15</v>
      </c>
      <c r="AI143" s="292" t="n">
        <v>5</v>
      </c>
      <c r="AJ143" s="292" t="n">
        <v>4</v>
      </c>
      <c r="AK143" s="292" t="n">
        <v>12</v>
      </c>
      <c r="AL143" s="292" t="n">
        <v>3</v>
      </c>
      <c r="AM143" s="292" t="n">
        <v>8</v>
      </c>
      <c r="AN143" s="292" t="n">
        <v>12</v>
      </c>
      <c r="AO143" s="292" t="n">
        <v>7</v>
      </c>
      <c r="AP143" s="292" t="n">
        <v>8</v>
      </c>
      <c r="AQ143" s="292" t="n">
        <v>9</v>
      </c>
      <c r="AR143" s="292" t="n">
        <v>9</v>
      </c>
    </row>
    <row r="144" ht="14.25" customHeight="1" s="133">
      <c r="A144" s="307" t="inlineStr">
        <is>
          <t>PK-1175</t>
        </is>
      </c>
      <c r="B144" s="307" t="inlineStr">
        <is>
          <t>Carbon Copy Book</t>
        </is>
      </c>
      <c r="C144" s="307" t="inlineStr">
        <is>
          <t>Stationery &amp; Office Supplies</t>
        </is>
      </c>
      <c r="D144" s="307" t="inlineStr">
        <is>
          <t>Paper &amp; Notebooks</t>
        </is>
      </c>
      <c r="E144" s="307" t="inlineStr">
        <is>
          <t>CRBNCPBK</t>
        </is>
      </c>
      <c r="F144" s="307" t="inlineStr">
        <is>
          <t>Unit</t>
        </is>
      </c>
      <c r="G144" s="308" t="n">
        <v>49</v>
      </c>
      <c r="H144" s="308" t="n">
        <v>15</v>
      </c>
      <c r="I144" s="308" t="n">
        <v>60</v>
      </c>
      <c r="J144" s="308" t="n">
        <v>8820</v>
      </c>
      <c r="K144" s="309" t="n">
        <v>0</v>
      </c>
      <c r="L144" s="308" t="inlineStr">
        <is>
          <t>270.00</t>
        </is>
      </c>
      <c r="M144" s="310">
        <f>IF(L144=0,0,(L144-K144)/L144)</f>
        <v/>
      </c>
      <c r="N144" s="308" t="inlineStr">
        <is>
          <t>In Stock</t>
        </is>
      </c>
      <c r="O144" s="308" t="n">
        <v>7</v>
      </c>
      <c r="P144" s="308" t="n">
        <v>5</v>
      </c>
      <c r="Q144" s="308" t="n">
        <v>5</v>
      </c>
      <c r="R144" s="308" t="n">
        <v>8</v>
      </c>
      <c r="S144" s="308" t="n">
        <v>7</v>
      </c>
      <c r="T144" s="308" t="n">
        <v>10</v>
      </c>
      <c r="U144" s="308" t="n">
        <v>7</v>
      </c>
      <c r="V144" s="308" t="n">
        <v>11</v>
      </c>
      <c r="W144" s="308" t="n">
        <v>11</v>
      </c>
      <c r="X144" s="308" t="n">
        <v>5</v>
      </c>
      <c r="Y144" s="308" t="n">
        <v>9</v>
      </c>
      <c r="Z144" s="308" t="n">
        <v>5</v>
      </c>
      <c r="AA144" s="308" t="n">
        <v>6</v>
      </c>
      <c r="AB144" s="308" t="n">
        <v>7</v>
      </c>
      <c r="AC144" s="308" t="n">
        <v>7</v>
      </c>
      <c r="AD144" s="308" t="n">
        <v>4</v>
      </c>
      <c r="AE144" s="308" t="n">
        <v>8</v>
      </c>
      <c r="AF144" s="308" t="n">
        <v>10</v>
      </c>
      <c r="AG144" s="308" t="n">
        <v>13</v>
      </c>
      <c r="AH144" s="308" t="n">
        <v>10</v>
      </c>
      <c r="AI144" s="308" t="n">
        <v>6</v>
      </c>
      <c r="AJ144" s="308" t="n">
        <v>5</v>
      </c>
      <c r="AK144" s="308" t="n">
        <v>5</v>
      </c>
      <c r="AL144" s="308" t="n">
        <v>7</v>
      </c>
      <c r="AM144" s="308" t="n">
        <v>7</v>
      </c>
      <c r="AN144" s="308" t="n">
        <v>9</v>
      </c>
      <c r="AO144" s="308" t="n">
        <v>6</v>
      </c>
      <c r="AP144" s="308" t="n">
        <v>8</v>
      </c>
      <c r="AQ144" s="308" t="n">
        <v>7</v>
      </c>
      <c r="AR144" s="308" t="n">
        <v>6</v>
      </c>
    </row>
    <row r="145" ht="14.25" customHeight="1" s="133">
      <c r="A145" s="291" t="inlineStr">
        <is>
          <t>PK-1176</t>
        </is>
      </c>
      <c r="B145" s="291" t="inlineStr">
        <is>
          <t>Graph Paper 100 sheets</t>
        </is>
      </c>
      <c r="C145" s="291" t="inlineStr">
        <is>
          <t>Stationery &amp; Office Supplies</t>
        </is>
      </c>
      <c r="D145" s="291" t="inlineStr">
        <is>
          <t>Paper &amp; Notebooks</t>
        </is>
      </c>
      <c r="E145" s="291" t="inlineStr">
        <is>
          <t>GRPHP100</t>
        </is>
      </c>
      <c r="F145" s="291" t="inlineStr">
        <is>
          <t>Unit</t>
        </is>
      </c>
      <c r="G145" s="292" t="n">
        <v>35</v>
      </c>
      <c r="H145" s="292" t="n">
        <v>10</v>
      </c>
      <c r="I145" s="292" t="n">
        <v>40</v>
      </c>
      <c r="J145" s="292" t="n">
        <v>13300</v>
      </c>
      <c r="K145" s="293" t="n">
        <v>0</v>
      </c>
      <c r="L145" s="292" t="inlineStr">
        <is>
          <t>550.00</t>
        </is>
      </c>
      <c r="M145" s="294">
        <f>IF(L145=0,0,(L145-K145)/L145)</f>
        <v/>
      </c>
      <c r="N145" s="292" t="inlineStr">
        <is>
          <t>In Stock</t>
        </is>
      </c>
      <c r="O145" s="292" t="n">
        <v>10</v>
      </c>
      <c r="P145" s="292" t="n">
        <v>3</v>
      </c>
      <c r="Q145" s="292" t="n">
        <v>1</v>
      </c>
      <c r="R145" s="292" t="n">
        <v>7</v>
      </c>
      <c r="S145" s="292" t="n">
        <v>10</v>
      </c>
      <c r="T145" s="292" t="n">
        <v>9</v>
      </c>
      <c r="U145" s="292" t="n">
        <v>4</v>
      </c>
      <c r="V145" s="292" t="n">
        <v>7</v>
      </c>
      <c r="W145" s="292" t="n">
        <v>9</v>
      </c>
      <c r="X145" s="292" t="n">
        <v>3</v>
      </c>
      <c r="Y145" s="292" t="n">
        <v>7</v>
      </c>
      <c r="Z145" s="292" t="n">
        <v>4</v>
      </c>
      <c r="AA145" s="292" t="n">
        <v>19</v>
      </c>
      <c r="AB145" s="292" t="n">
        <v>7</v>
      </c>
      <c r="AC145" s="292" t="n">
        <v>7</v>
      </c>
      <c r="AD145" s="292" t="n">
        <v>11</v>
      </c>
      <c r="AE145" s="292" t="n">
        <v>6</v>
      </c>
      <c r="AF145" s="292" t="n">
        <v>9</v>
      </c>
      <c r="AG145" s="292" t="n">
        <v>9</v>
      </c>
      <c r="AH145" s="292" t="n">
        <v>3</v>
      </c>
      <c r="AI145" s="292" t="n">
        <v>3</v>
      </c>
      <c r="AJ145" s="292" t="n">
        <v>5</v>
      </c>
      <c r="AK145" s="292" t="n">
        <v>2</v>
      </c>
      <c r="AL145" s="292" t="n">
        <v>7</v>
      </c>
      <c r="AM145" s="292" t="n">
        <v>12</v>
      </c>
      <c r="AN145" s="292" t="n">
        <v>6</v>
      </c>
      <c r="AO145" s="292" t="n">
        <v>2</v>
      </c>
      <c r="AP145" s="292" t="n">
        <v>8</v>
      </c>
      <c r="AQ145" s="292" t="n">
        <v>7</v>
      </c>
      <c r="AR145" s="292" t="n">
        <v>8</v>
      </c>
    </row>
    <row r="146" ht="14.25" customHeight="1" s="133">
      <c r="A146" s="307" t="inlineStr">
        <is>
          <t>PK-1177</t>
        </is>
      </c>
      <c r="B146" s="307" t="inlineStr">
        <is>
          <t>Sticky Notes Pad 100</t>
        </is>
      </c>
      <c r="C146" s="307" t="inlineStr">
        <is>
          <t>Stationery &amp; Office Supplies</t>
        </is>
      </c>
      <c r="D146" s="307" t="inlineStr">
        <is>
          <t>Paper &amp; Notebooks</t>
        </is>
      </c>
      <c r="E146" s="307" t="inlineStr">
        <is>
          <t>STKYNTS</t>
        </is>
      </c>
      <c r="F146" s="307" t="inlineStr">
        <is>
          <t>Unit</t>
        </is>
      </c>
      <c r="G146" s="308" t="n">
        <v>36</v>
      </c>
      <c r="H146" s="308" t="n">
        <v>20</v>
      </c>
      <c r="I146" s="308" t="n">
        <v>80</v>
      </c>
      <c r="J146" s="308" t="n">
        <v>4320</v>
      </c>
      <c r="K146" s="309" t="n">
        <v>0</v>
      </c>
      <c r="L146" s="308" t="inlineStr">
        <is>
          <t>185.00</t>
        </is>
      </c>
      <c r="M146" s="310">
        <f>IF(L146=0,0,(L146-K146)/L146)</f>
        <v/>
      </c>
      <c r="N146" s="308" t="inlineStr">
        <is>
          <t>In Stock</t>
        </is>
      </c>
      <c r="O146" s="308" t="n">
        <v>7</v>
      </c>
      <c r="P146" s="308" t="n">
        <v>6</v>
      </c>
      <c r="Q146" s="308" t="n">
        <v>10</v>
      </c>
      <c r="R146" s="308" t="n">
        <v>9</v>
      </c>
      <c r="S146" s="308" t="n">
        <v>23</v>
      </c>
      <c r="T146" s="308" t="n">
        <v>14</v>
      </c>
      <c r="U146" s="308" t="n">
        <v>3</v>
      </c>
      <c r="V146" s="308" t="n">
        <v>4</v>
      </c>
      <c r="W146" s="308" t="n">
        <v>2</v>
      </c>
      <c r="X146" s="308" t="n">
        <v>9</v>
      </c>
      <c r="Y146" s="308" t="n">
        <v>6</v>
      </c>
      <c r="Z146" s="308" t="n">
        <v>10</v>
      </c>
      <c r="AA146" s="308" t="n">
        <v>2</v>
      </c>
      <c r="AB146" s="308" t="n">
        <v>5</v>
      </c>
      <c r="AC146" s="308" t="n">
        <v>9</v>
      </c>
      <c r="AD146" s="308" t="n">
        <v>2</v>
      </c>
      <c r="AE146" s="308" t="n">
        <v>5</v>
      </c>
      <c r="AF146" s="308" t="n">
        <v>5</v>
      </c>
      <c r="AG146" s="308" t="n">
        <v>9</v>
      </c>
      <c r="AH146" s="308" t="n">
        <v>5</v>
      </c>
      <c r="AI146" s="308" t="n">
        <v>12</v>
      </c>
      <c r="AJ146" s="308" t="n">
        <v>4</v>
      </c>
      <c r="AK146" s="308" t="n">
        <v>3</v>
      </c>
      <c r="AL146" s="308" t="n">
        <v>5</v>
      </c>
      <c r="AM146" s="308" t="n">
        <v>8</v>
      </c>
      <c r="AN146" s="308" t="n">
        <v>1</v>
      </c>
      <c r="AO146" s="308" t="n">
        <v>11</v>
      </c>
      <c r="AP146" s="308" t="n">
        <v>5</v>
      </c>
      <c r="AQ146" s="308" t="n">
        <v>15</v>
      </c>
      <c r="AR146" s="308" t="n">
        <v>8</v>
      </c>
    </row>
    <row r="147" ht="14.25" customHeight="1" s="133">
      <c r="A147" s="291" t="inlineStr">
        <is>
          <t>PK-1178</t>
        </is>
      </c>
      <c r="B147" s="291" t="inlineStr">
        <is>
          <t>Envelopes A4 Box 50</t>
        </is>
      </c>
      <c r="C147" s="291" t="inlineStr">
        <is>
          <t>Stationery &amp; Office Supplies</t>
        </is>
      </c>
      <c r="D147" s="291" t="inlineStr">
        <is>
          <t>Paper &amp; Notebooks</t>
        </is>
      </c>
      <c r="E147" s="291" t="inlineStr">
        <is>
          <t>ENVLA4</t>
        </is>
      </c>
      <c r="F147" s="291" t="inlineStr">
        <is>
          <t>Unit</t>
        </is>
      </c>
      <c r="G147" s="292" t="n">
        <v>113</v>
      </c>
      <c r="H147" s="292" t="n">
        <v>10</v>
      </c>
      <c r="I147" s="292" t="n">
        <v>40</v>
      </c>
      <c r="J147" s="292" t="n">
        <v>36160</v>
      </c>
      <c r="K147" s="293" t="n">
        <v>0</v>
      </c>
      <c r="L147" s="292" t="inlineStr">
        <is>
          <t>480.00</t>
        </is>
      </c>
      <c r="M147" s="294">
        <f>IF(L147=0,0,(L147-K147)/L147)</f>
        <v/>
      </c>
      <c r="N147" s="292" t="inlineStr">
        <is>
          <t>In Stock</t>
        </is>
      </c>
      <c r="O147" s="292" t="n">
        <v>13</v>
      </c>
      <c r="P147" s="292" t="n">
        <v>5</v>
      </c>
      <c r="Q147" s="292" t="n">
        <v>9</v>
      </c>
      <c r="R147" s="292" t="n">
        <v>7</v>
      </c>
      <c r="S147" s="292" t="n">
        <v>11</v>
      </c>
      <c r="T147" s="292" t="n">
        <v>11</v>
      </c>
      <c r="U147" s="292" t="n">
        <v>6</v>
      </c>
      <c r="V147" s="292" t="n">
        <v>5</v>
      </c>
      <c r="W147" s="292" t="n">
        <v>13</v>
      </c>
      <c r="X147" s="292" t="n">
        <v>8</v>
      </c>
      <c r="Y147" s="292" t="n">
        <v>7</v>
      </c>
      <c r="Z147" s="292" t="n">
        <v>8</v>
      </c>
      <c r="AA147" s="292" t="n">
        <v>10</v>
      </c>
      <c r="AB147" s="292" t="n">
        <v>7</v>
      </c>
      <c r="AC147" s="292" t="n">
        <v>7</v>
      </c>
      <c r="AD147" s="292" t="n">
        <v>6</v>
      </c>
      <c r="AE147" s="292" t="n">
        <v>10</v>
      </c>
      <c r="AF147" s="292" t="n">
        <v>12</v>
      </c>
      <c r="AG147" s="292" t="n">
        <v>8</v>
      </c>
      <c r="AH147" s="292" t="n">
        <v>3</v>
      </c>
      <c r="AI147" s="292" t="n">
        <v>7</v>
      </c>
      <c r="AJ147" s="292" t="n">
        <v>6</v>
      </c>
      <c r="AK147" s="292" t="n">
        <v>5</v>
      </c>
      <c r="AL147" s="292" t="n">
        <v>5</v>
      </c>
      <c r="AM147" s="292" t="n">
        <v>10</v>
      </c>
      <c r="AN147" s="292" t="n">
        <v>19</v>
      </c>
      <c r="AO147" s="292" t="n">
        <v>4</v>
      </c>
      <c r="AP147" s="292" t="n">
        <v>7</v>
      </c>
      <c r="AQ147" s="292" t="n">
        <v>6</v>
      </c>
      <c r="AR147" s="292" t="n">
        <v>4</v>
      </c>
    </row>
    <row r="148" ht="14.25" customHeight="1" s="133">
      <c r="A148" s="307" t="inlineStr">
        <is>
          <t>PK-1179</t>
        </is>
      </c>
      <c r="B148" s="307" t="inlineStr">
        <is>
          <t>Camlin Ballpen Box 10</t>
        </is>
      </c>
      <c r="C148" s="307" t="inlineStr">
        <is>
          <t>Stationery &amp; Office Supplies</t>
        </is>
      </c>
      <c r="D148" s="307" t="inlineStr">
        <is>
          <t>Writing Instruments</t>
        </is>
      </c>
      <c r="E148" s="307" t="inlineStr">
        <is>
          <t>CMLBP10</t>
        </is>
      </c>
      <c r="F148" s="307" t="inlineStr">
        <is>
          <t>Unit</t>
        </is>
      </c>
      <c r="G148" s="308" t="n">
        <v>31</v>
      </c>
      <c r="H148" s="308" t="n">
        <v>10</v>
      </c>
      <c r="I148" s="308" t="n">
        <v>50</v>
      </c>
      <c r="J148" s="308" t="n">
        <v>3720</v>
      </c>
      <c r="K148" s="309" t="n">
        <v>0</v>
      </c>
      <c r="L148" s="308" t="inlineStr">
        <is>
          <t>185.00</t>
        </is>
      </c>
      <c r="M148" s="310">
        <f>IF(L148=0,0,(L148-K148)/L148)</f>
        <v/>
      </c>
      <c r="N148" s="308" t="inlineStr">
        <is>
          <t>In Stock</t>
        </is>
      </c>
      <c r="O148" s="308" t="n">
        <v>11</v>
      </c>
      <c r="P148" s="308" t="n">
        <v>9</v>
      </c>
      <c r="Q148" s="308" t="n">
        <v>7</v>
      </c>
      <c r="R148" s="308" t="n">
        <v>7</v>
      </c>
      <c r="S148" s="308" t="n">
        <v>8</v>
      </c>
      <c r="T148" s="308" t="n">
        <v>9</v>
      </c>
      <c r="U148" s="308" t="n">
        <v>5</v>
      </c>
      <c r="V148" s="308" t="n">
        <v>6</v>
      </c>
      <c r="W148" s="308" t="n">
        <v>7</v>
      </c>
      <c r="X148" s="308" t="n">
        <v>4</v>
      </c>
      <c r="Y148" s="308" t="n">
        <v>6</v>
      </c>
      <c r="Z148" s="308" t="n">
        <v>5</v>
      </c>
      <c r="AA148" s="308" t="n">
        <v>12</v>
      </c>
      <c r="AB148" s="308" t="n">
        <v>4</v>
      </c>
      <c r="AC148" s="308" t="n">
        <v>7</v>
      </c>
      <c r="AD148" s="308" t="n">
        <v>10</v>
      </c>
      <c r="AE148" s="308" t="n">
        <v>5</v>
      </c>
      <c r="AF148" s="308" t="n">
        <v>12</v>
      </c>
      <c r="AG148" s="308" t="n">
        <v>12</v>
      </c>
      <c r="AH148" s="308" t="n">
        <v>15</v>
      </c>
      <c r="AI148" s="308" t="n">
        <v>4</v>
      </c>
      <c r="AJ148" s="308" t="n">
        <v>7</v>
      </c>
      <c r="AK148" s="308" t="n">
        <v>5</v>
      </c>
      <c r="AL148" s="308" t="n">
        <v>11</v>
      </c>
      <c r="AM148" s="308" t="n">
        <v>9</v>
      </c>
      <c r="AN148" s="308" t="n">
        <v>9</v>
      </c>
      <c r="AO148" s="308" t="n">
        <v>18</v>
      </c>
      <c r="AP148" s="308" t="n">
        <v>14</v>
      </c>
      <c r="AQ148" s="308" t="n">
        <v>6</v>
      </c>
      <c r="AR148" s="308" t="n">
        <v>5</v>
      </c>
    </row>
    <row r="149" ht="14.25" customHeight="1" s="133">
      <c r="A149" s="291" t="inlineStr">
        <is>
          <t>PK-1180</t>
        </is>
      </c>
      <c r="B149" s="291" t="inlineStr">
        <is>
          <t>Pilot Ballpen 0.7mm</t>
        </is>
      </c>
      <c r="C149" s="291" t="inlineStr">
        <is>
          <t>Stationery &amp; Office Supplies</t>
        </is>
      </c>
      <c r="D149" s="291" t="inlineStr">
        <is>
          <t>Writing Instruments</t>
        </is>
      </c>
      <c r="E149" s="291" t="inlineStr">
        <is>
          <t>PLTBP07</t>
        </is>
      </c>
      <c r="F149" s="291" t="inlineStr">
        <is>
          <t>Unit</t>
        </is>
      </c>
      <c r="G149" s="292" t="n">
        <v>56</v>
      </c>
      <c r="H149" s="292" t="n">
        <v>20</v>
      </c>
      <c r="I149" s="292" t="n">
        <v>100</v>
      </c>
      <c r="J149" s="292" t="n">
        <v>2520</v>
      </c>
      <c r="K149" s="293" t="n">
        <v>0</v>
      </c>
      <c r="L149" s="292" t="inlineStr">
        <is>
          <t>72.00</t>
        </is>
      </c>
      <c r="M149" s="294">
        <f>IF(L149=0,0,(L149-K149)/L149)</f>
        <v/>
      </c>
      <c r="N149" s="292" t="inlineStr">
        <is>
          <t>In Stock</t>
        </is>
      </c>
      <c r="O149" s="292" t="n">
        <v>5</v>
      </c>
      <c r="P149" s="292" t="n">
        <v>10</v>
      </c>
      <c r="Q149" s="292" t="n">
        <v>8</v>
      </c>
      <c r="R149" s="292" t="n">
        <v>6</v>
      </c>
      <c r="S149" s="292" t="n">
        <v>11</v>
      </c>
      <c r="T149" s="292" t="n">
        <v>5</v>
      </c>
      <c r="U149" s="292" t="n">
        <v>10</v>
      </c>
      <c r="V149" s="292" t="n">
        <v>12</v>
      </c>
      <c r="W149" s="292" t="n">
        <v>6</v>
      </c>
      <c r="X149" s="292" t="n">
        <v>8</v>
      </c>
      <c r="Y149" s="292" t="n">
        <v>6</v>
      </c>
      <c r="Z149" s="292" t="n">
        <v>9</v>
      </c>
      <c r="AA149" s="292" t="n">
        <v>7</v>
      </c>
      <c r="AB149" s="292" t="n">
        <v>6</v>
      </c>
      <c r="AC149" s="292" t="n">
        <v>11</v>
      </c>
      <c r="AD149" s="292" t="n">
        <v>6</v>
      </c>
      <c r="AE149" s="292" t="n">
        <v>7</v>
      </c>
      <c r="AF149" s="292" t="n">
        <v>9</v>
      </c>
      <c r="AG149" s="292" t="n">
        <v>3</v>
      </c>
      <c r="AH149" s="292" t="n">
        <v>7</v>
      </c>
      <c r="AI149" s="292" t="n">
        <v>6</v>
      </c>
      <c r="AJ149" s="292" t="n">
        <v>8</v>
      </c>
      <c r="AK149" s="292" t="n">
        <v>6</v>
      </c>
      <c r="AL149" s="292" t="n">
        <v>6</v>
      </c>
      <c r="AM149" s="292" t="n">
        <v>8</v>
      </c>
      <c r="AN149" s="292" t="n">
        <v>5</v>
      </c>
      <c r="AO149" s="292" t="n">
        <v>10</v>
      </c>
      <c r="AP149" s="292" t="n">
        <v>8</v>
      </c>
      <c r="AQ149" s="292" t="n">
        <v>3</v>
      </c>
      <c r="AR149" s="292" t="n">
        <v>9</v>
      </c>
    </row>
    <row r="150" ht="14.25" customHeight="1" s="133">
      <c r="A150" s="307" t="inlineStr">
        <is>
          <t>PK-1181</t>
        </is>
      </c>
      <c r="B150" s="307" t="inlineStr">
        <is>
          <t>Parker Pen Set</t>
        </is>
      </c>
      <c r="C150" s="307" t="inlineStr">
        <is>
          <t>Stationery &amp; Office Supplies</t>
        </is>
      </c>
      <c r="D150" s="307" t="inlineStr">
        <is>
          <t>Writing Instruments</t>
        </is>
      </c>
      <c r="E150" s="307" t="inlineStr">
        <is>
          <t>PARKR</t>
        </is>
      </c>
      <c r="F150" s="307" t="inlineStr">
        <is>
          <t>Unit</t>
        </is>
      </c>
      <c r="G150" s="308" t="n">
        <v>82</v>
      </c>
      <c r="H150" s="308" t="n">
        <v>5</v>
      </c>
      <c r="I150" s="308" t="n">
        <v>20</v>
      </c>
      <c r="J150" s="308" t="n">
        <v>123000</v>
      </c>
      <c r="K150" s="309" t="n">
        <v>0</v>
      </c>
      <c r="L150" s="308" t="inlineStr">
        <is>
          <t>2,400.00</t>
        </is>
      </c>
      <c r="M150" s="310">
        <f>IF(L150=0,0,(L150-K150)/L150)</f>
        <v/>
      </c>
      <c r="N150" s="308" t="inlineStr">
        <is>
          <t>In Stock</t>
        </is>
      </c>
      <c r="O150" s="308" t="n">
        <v>10</v>
      </c>
      <c r="P150" s="308" t="n">
        <v>8</v>
      </c>
      <c r="Q150" s="308" t="n">
        <v>8</v>
      </c>
      <c r="R150" s="308" t="n">
        <v>10</v>
      </c>
      <c r="S150" s="308" t="n">
        <v>10</v>
      </c>
      <c r="T150" s="308" t="n">
        <v>9</v>
      </c>
      <c r="U150" s="308" t="n">
        <v>9</v>
      </c>
      <c r="V150" s="308" t="n">
        <v>6</v>
      </c>
      <c r="W150" s="308" t="n">
        <v>10</v>
      </c>
      <c r="X150" s="308" t="n">
        <v>12</v>
      </c>
      <c r="Y150" s="308" t="n">
        <v>5</v>
      </c>
      <c r="Z150" s="308" t="n">
        <v>9</v>
      </c>
      <c r="AA150" s="308" t="n">
        <v>13</v>
      </c>
      <c r="AB150" s="308" t="n">
        <v>7</v>
      </c>
      <c r="AC150" s="308" t="n">
        <v>4</v>
      </c>
      <c r="AD150" s="308" t="n">
        <v>6</v>
      </c>
      <c r="AE150" s="308" t="n">
        <v>11</v>
      </c>
      <c r="AF150" s="308" t="n">
        <v>11</v>
      </c>
      <c r="AG150" s="308" t="n">
        <v>7</v>
      </c>
      <c r="AH150" s="308" t="n">
        <v>7</v>
      </c>
      <c r="AI150" s="308" t="n">
        <v>7</v>
      </c>
      <c r="AJ150" s="308" t="n">
        <v>7</v>
      </c>
      <c r="AK150" s="308" t="n">
        <v>8</v>
      </c>
      <c r="AL150" s="308" t="n">
        <v>1</v>
      </c>
      <c r="AM150" s="308" t="n">
        <v>8</v>
      </c>
      <c r="AN150" s="308" t="n">
        <v>16</v>
      </c>
      <c r="AO150" s="308" t="n">
        <v>7</v>
      </c>
      <c r="AP150" s="308" t="n">
        <v>5</v>
      </c>
      <c r="AQ150" s="308" t="n">
        <v>20</v>
      </c>
      <c r="AR150" s="308" t="n">
        <v>7</v>
      </c>
    </row>
    <row r="151" ht="14.25" customHeight="1" s="133">
      <c r="A151" s="291" t="inlineStr">
        <is>
          <t>PK-1182</t>
        </is>
      </c>
      <c r="B151" s="291" t="inlineStr">
        <is>
          <t>Marker Set 10 colors</t>
        </is>
      </c>
      <c r="C151" s="291" t="inlineStr">
        <is>
          <t>Stationery &amp; Office Supplies</t>
        </is>
      </c>
      <c r="D151" s="291" t="inlineStr">
        <is>
          <t>Writing Instruments</t>
        </is>
      </c>
      <c r="E151" s="291" t="inlineStr">
        <is>
          <t>MRKRST10</t>
        </is>
      </c>
      <c r="F151" s="291" t="inlineStr">
        <is>
          <t>Unit</t>
        </is>
      </c>
      <c r="G151" s="292" t="n">
        <v>128</v>
      </c>
      <c r="H151" s="292" t="n">
        <v>10</v>
      </c>
      <c r="I151" s="292" t="n">
        <v>40</v>
      </c>
      <c r="J151" s="292" t="n">
        <v>44800</v>
      </c>
      <c r="K151" s="293" t="n">
        <v>0</v>
      </c>
      <c r="L151" s="292" t="inlineStr">
        <is>
          <t>540.00</t>
        </is>
      </c>
      <c r="M151" s="294">
        <f>IF(L151=0,0,(L151-K151)/L151)</f>
        <v/>
      </c>
      <c r="N151" s="292" t="inlineStr">
        <is>
          <t>In Stock</t>
        </is>
      </c>
      <c r="O151" s="292" t="n">
        <v>8</v>
      </c>
      <c r="P151" s="292" t="n">
        <v>2</v>
      </c>
      <c r="Q151" s="292" t="n">
        <v>5</v>
      </c>
      <c r="R151" s="292" t="n">
        <v>7</v>
      </c>
      <c r="S151" s="292" t="n">
        <v>9</v>
      </c>
      <c r="T151" s="292" t="n">
        <v>9</v>
      </c>
      <c r="U151" s="292" t="n">
        <v>2</v>
      </c>
      <c r="V151" s="292" t="n">
        <v>6</v>
      </c>
      <c r="W151" s="292" t="n">
        <v>7</v>
      </c>
      <c r="X151" s="292" t="n">
        <v>6</v>
      </c>
      <c r="Y151" s="292" t="n">
        <v>13</v>
      </c>
      <c r="Z151" s="292" t="n">
        <v>7</v>
      </c>
      <c r="AA151" s="292" t="n">
        <v>7</v>
      </c>
      <c r="AB151" s="292" t="n">
        <v>8</v>
      </c>
      <c r="AC151" s="292" t="n">
        <v>3</v>
      </c>
      <c r="AD151" s="292" t="n">
        <v>9</v>
      </c>
      <c r="AE151" s="292" t="n">
        <v>7</v>
      </c>
      <c r="AF151" s="292" t="n">
        <v>13</v>
      </c>
      <c r="AG151" s="292" t="n">
        <v>11</v>
      </c>
      <c r="AH151" s="292" t="n">
        <v>16</v>
      </c>
      <c r="AI151" s="292" t="n">
        <v>9</v>
      </c>
      <c r="AJ151" s="292" t="n">
        <v>7</v>
      </c>
      <c r="AK151" s="292" t="n">
        <v>13</v>
      </c>
      <c r="AL151" s="292" t="n">
        <v>5</v>
      </c>
      <c r="AM151" s="292" t="n">
        <v>4</v>
      </c>
      <c r="AN151" s="292" t="n">
        <v>8</v>
      </c>
      <c r="AO151" s="292" t="n">
        <v>9</v>
      </c>
      <c r="AP151" s="292" t="n">
        <v>11</v>
      </c>
      <c r="AQ151" s="292" t="n">
        <v>9</v>
      </c>
      <c r="AR151" s="292" t="n">
        <v>7</v>
      </c>
    </row>
    <row r="152" ht="14.25" customHeight="1" s="133">
      <c r="A152" s="307" t="inlineStr">
        <is>
          <t>PK-1183</t>
        </is>
      </c>
      <c r="B152" s="307" t="inlineStr">
        <is>
          <t>Highlighter Set 5pcs</t>
        </is>
      </c>
      <c r="C152" s="307" t="inlineStr">
        <is>
          <t>Stationery &amp; Office Supplies</t>
        </is>
      </c>
      <c r="D152" s="307" t="inlineStr">
        <is>
          <t>Writing Instruments</t>
        </is>
      </c>
      <c r="E152" s="307" t="inlineStr">
        <is>
          <t>HLGHTST5</t>
        </is>
      </c>
      <c r="F152" s="307" t="inlineStr">
        <is>
          <t>Unit</t>
        </is>
      </c>
      <c r="G152" s="308" t="n">
        <v>36</v>
      </c>
      <c r="H152" s="308" t="n">
        <v>15</v>
      </c>
      <c r="I152" s="308" t="n">
        <v>60</v>
      </c>
      <c r="J152" s="308" t="n">
        <v>10080</v>
      </c>
      <c r="K152" s="309" t="n">
        <v>0</v>
      </c>
      <c r="L152" s="308" t="inlineStr">
        <is>
          <t>430.00</t>
        </is>
      </c>
      <c r="M152" s="310">
        <f>IF(L152=0,0,(L152-K152)/L152)</f>
        <v/>
      </c>
      <c r="N152" s="308" t="inlineStr">
        <is>
          <t>In Stock</t>
        </is>
      </c>
      <c r="O152" s="308" t="n">
        <v>10</v>
      </c>
      <c r="P152" s="308" t="n">
        <v>6</v>
      </c>
      <c r="Q152" s="308" t="n">
        <v>8</v>
      </c>
      <c r="R152" s="308" t="n">
        <v>7</v>
      </c>
      <c r="S152" s="308" t="n">
        <v>10</v>
      </c>
      <c r="T152" s="308" t="n">
        <v>10</v>
      </c>
      <c r="U152" s="308" t="n">
        <v>12</v>
      </c>
      <c r="V152" s="308" t="n">
        <v>7</v>
      </c>
      <c r="W152" s="308" t="n">
        <v>5</v>
      </c>
      <c r="X152" s="308" t="n">
        <v>7</v>
      </c>
      <c r="Y152" s="308" t="n">
        <v>12</v>
      </c>
      <c r="Z152" s="308" t="n">
        <v>10</v>
      </c>
      <c r="AA152" s="308" t="n">
        <v>8</v>
      </c>
      <c r="AB152" s="308" t="n">
        <v>1</v>
      </c>
      <c r="AC152" s="308" t="n">
        <v>7</v>
      </c>
      <c r="AD152" s="308" t="n">
        <v>4</v>
      </c>
      <c r="AE152" s="308" t="n">
        <v>10</v>
      </c>
      <c r="AF152" s="308" t="n">
        <v>7</v>
      </c>
      <c r="AG152" s="308" t="n">
        <v>15</v>
      </c>
      <c r="AH152" s="308" t="n">
        <v>3</v>
      </c>
      <c r="AI152" s="308" t="n">
        <v>7</v>
      </c>
      <c r="AJ152" s="308" t="n">
        <v>7</v>
      </c>
      <c r="AK152" s="308" t="n">
        <v>8</v>
      </c>
      <c r="AL152" s="308" t="n">
        <v>8</v>
      </c>
      <c r="AM152" s="308" t="n">
        <v>3</v>
      </c>
      <c r="AN152" s="308" t="n">
        <v>11</v>
      </c>
      <c r="AO152" s="308" t="n">
        <v>15</v>
      </c>
      <c r="AP152" s="308" t="n">
        <v>14</v>
      </c>
      <c r="AQ152" s="308" t="n">
        <v>11</v>
      </c>
      <c r="AR152" s="308" t="n">
        <v>14</v>
      </c>
    </row>
    <row r="153" ht="14.25" customHeight="1" s="133">
      <c r="A153" s="291" t="inlineStr">
        <is>
          <t>PK-1184</t>
        </is>
      </c>
      <c r="B153" s="291" t="inlineStr">
        <is>
          <t>Pencil HB Box 12</t>
        </is>
      </c>
      <c r="C153" s="291" t="inlineStr">
        <is>
          <t>Stationery &amp; Office Supplies</t>
        </is>
      </c>
      <c r="D153" s="291" t="inlineStr">
        <is>
          <t>Writing Instruments</t>
        </is>
      </c>
      <c r="E153" s="291" t="inlineStr">
        <is>
          <t>PNCLHB12</t>
        </is>
      </c>
      <c r="F153" s="291" t="inlineStr">
        <is>
          <t>Unit</t>
        </is>
      </c>
      <c r="G153" s="292" t="n">
        <v>48</v>
      </c>
      <c r="H153" s="292" t="n">
        <v>20</v>
      </c>
      <c r="I153" s="292" t="n">
        <v>80</v>
      </c>
      <c r="J153" s="292" t="n">
        <v>8640</v>
      </c>
      <c r="K153" s="293" t="n">
        <v>0</v>
      </c>
      <c r="L153" s="292" t="inlineStr">
        <is>
          <t>280.00</t>
        </is>
      </c>
      <c r="M153" s="294">
        <f>IF(L153=0,0,(L153-K153)/L153)</f>
        <v/>
      </c>
      <c r="N153" s="292" t="inlineStr">
        <is>
          <t>In Stock</t>
        </is>
      </c>
      <c r="O153" s="292" t="n">
        <v>4</v>
      </c>
      <c r="P153" s="292" t="n">
        <v>7</v>
      </c>
      <c r="Q153" s="292" t="n">
        <v>9</v>
      </c>
      <c r="R153" s="292" t="n">
        <v>2</v>
      </c>
      <c r="S153" s="292" t="n">
        <v>10</v>
      </c>
      <c r="T153" s="292" t="n">
        <v>9</v>
      </c>
      <c r="U153" s="292" t="n">
        <v>8</v>
      </c>
      <c r="V153" s="292" t="n">
        <v>10</v>
      </c>
      <c r="W153" s="292" t="n">
        <v>10</v>
      </c>
      <c r="X153" s="292" t="n">
        <v>9</v>
      </c>
      <c r="Y153" s="292" t="n">
        <v>6</v>
      </c>
      <c r="Z153" s="292" t="n">
        <v>12</v>
      </c>
      <c r="AA153" s="292" t="n">
        <v>6</v>
      </c>
      <c r="AB153" s="292" t="n">
        <v>4</v>
      </c>
      <c r="AC153" s="292" t="n">
        <v>12</v>
      </c>
      <c r="AD153" s="292" t="n">
        <v>6</v>
      </c>
      <c r="AE153" s="292" t="n">
        <v>10</v>
      </c>
      <c r="AF153" s="292" t="n">
        <v>9</v>
      </c>
      <c r="AG153" s="292" t="n">
        <v>15</v>
      </c>
      <c r="AH153" s="292" t="n">
        <v>9</v>
      </c>
      <c r="AI153" s="292" t="n">
        <v>10</v>
      </c>
      <c r="AJ153" s="292" t="n">
        <v>12</v>
      </c>
      <c r="AK153" s="292" t="n">
        <v>11</v>
      </c>
      <c r="AL153" s="292" t="n">
        <v>4</v>
      </c>
      <c r="AM153" s="292" t="n">
        <v>10</v>
      </c>
      <c r="AN153" s="292" t="n">
        <v>7</v>
      </c>
      <c r="AO153" s="292" t="n">
        <v>4</v>
      </c>
      <c r="AP153" s="292" t="n">
        <v>11</v>
      </c>
      <c r="AQ153" s="292" t="n">
        <v>6</v>
      </c>
      <c r="AR153" s="292" t="n">
        <v>7</v>
      </c>
    </row>
    <row r="154" ht="14.25" customHeight="1" s="133">
      <c r="A154" s="307" t="inlineStr">
        <is>
          <t>PK-1185</t>
        </is>
      </c>
      <c r="B154" s="307" t="inlineStr">
        <is>
          <t>Eraser Staedtler x2</t>
        </is>
      </c>
      <c r="C154" s="307" t="inlineStr">
        <is>
          <t>Stationery &amp; Office Supplies</t>
        </is>
      </c>
      <c r="D154" s="307" t="inlineStr">
        <is>
          <t>Writing Instruments</t>
        </is>
      </c>
      <c r="E154" s="307" t="inlineStr">
        <is>
          <t>ERSRST</t>
        </is>
      </c>
      <c r="F154" s="307" t="inlineStr">
        <is>
          <t>Unit</t>
        </is>
      </c>
      <c r="G154" s="308" t="n">
        <v>42</v>
      </c>
      <c r="H154" s="308" t="n">
        <v>30</v>
      </c>
      <c r="I154" s="308" t="n">
        <v>100</v>
      </c>
      <c r="J154" s="308" t="n">
        <v>2100</v>
      </c>
      <c r="K154" s="309" t="n">
        <v>0</v>
      </c>
      <c r="L154" s="308" t="inlineStr">
        <is>
          <t>80.00</t>
        </is>
      </c>
      <c r="M154" s="310">
        <f>IF(L154=0,0,(L154-K154)/L154)</f>
        <v/>
      </c>
      <c r="N154" s="308" t="inlineStr">
        <is>
          <t>In Stock</t>
        </is>
      </c>
      <c r="O154" s="308" t="n">
        <v>11</v>
      </c>
      <c r="P154" s="308" t="n">
        <v>10</v>
      </c>
      <c r="Q154" s="308" t="n">
        <v>11</v>
      </c>
      <c r="R154" s="308" t="n">
        <v>8</v>
      </c>
      <c r="S154" s="308" t="n">
        <v>8</v>
      </c>
      <c r="T154" s="308" t="n">
        <v>8</v>
      </c>
      <c r="U154" s="308" t="n">
        <v>9</v>
      </c>
      <c r="V154" s="308" t="n">
        <v>5</v>
      </c>
      <c r="W154" s="308" t="n">
        <v>9</v>
      </c>
      <c r="X154" s="308" t="n">
        <v>14</v>
      </c>
      <c r="Y154" s="308" t="n">
        <v>18</v>
      </c>
      <c r="Z154" s="308" t="n">
        <v>2</v>
      </c>
      <c r="AA154" s="308" t="n">
        <v>13</v>
      </c>
      <c r="AB154" s="308" t="n">
        <v>11</v>
      </c>
      <c r="AC154" s="308" t="n">
        <v>6</v>
      </c>
      <c r="AD154" s="308" t="n">
        <v>9</v>
      </c>
      <c r="AE154" s="308" t="n">
        <v>7</v>
      </c>
      <c r="AF154" s="308" t="n">
        <v>9</v>
      </c>
      <c r="AG154" s="308" t="n">
        <v>7</v>
      </c>
      <c r="AH154" s="308" t="n">
        <v>12</v>
      </c>
      <c r="AI154" s="308" t="n">
        <v>8</v>
      </c>
      <c r="AJ154" s="308" t="n">
        <v>10</v>
      </c>
      <c r="AK154" s="308" t="n">
        <v>11</v>
      </c>
      <c r="AL154" s="308" t="n">
        <v>8</v>
      </c>
      <c r="AM154" s="308" t="n">
        <v>8</v>
      </c>
      <c r="AN154" s="308" t="n">
        <v>8</v>
      </c>
      <c r="AO154" s="308" t="n">
        <v>11</v>
      </c>
      <c r="AP154" s="308" t="n">
        <v>14</v>
      </c>
      <c r="AQ154" s="308" t="n">
        <v>10</v>
      </c>
      <c r="AR154" s="308" t="n">
        <v>8</v>
      </c>
    </row>
    <row r="155" ht="14.25" customHeight="1" s="133">
      <c r="A155" s="291" t="inlineStr">
        <is>
          <t>PK-1186</t>
        </is>
      </c>
      <c r="B155" s="291" t="inlineStr">
        <is>
          <t>Stapler Full Strip</t>
        </is>
      </c>
      <c r="C155" s="291" t="inlineStr">
        <is>
          <t>Stationery &amp; Office Supplies</t>
        </is>
      </c>
      <c r="D155" s="291" t="inlineStr">
        <is>
          <t>Office Equipment</t>
        </is>
      </c>
      <c r="E155" s="291" t="inlineStr">
        <is>
          <t>STPLR</t>
        </is>
      </c>
      <c r="F155" s="291" t="inlineStr">
        <is>
          <t>Unit</t>
        </is>
      </c>
      <c r="G155" s="292" t="n">
        <v>77</v>
      </c>
      <c r="H155" s="292" t="n">
        <v>5</v>
      </c>
      <c r="I155" s="292" t="n">
        <v>20</v>
      </c>
      <c r="J155" s="292" t="n">
        <v>50050</v>
      </c>
      <c r="K155" s="293" t="n">
        <v>0</v>
      </c>
      <c r="L155" s="292" t="inlineStr">
        <is>
          <t>980.00</t>
        </is>
      </c>
      <c r="M155" s="294">
        <f>IF(L155=0,0,(L155-K155)/L155)</f>
        <v/>
      </c>
      <c r="N155" s="292" t="inlineStr">
        <is>
          <t>In Stock</t>
        </is>
      </c>
      <c r="O155" s="292" t="n">
        <v>2</v>
      </c>
      <c r="P155" s="292" t="n">
        <v>7</v>
      </c>
      <c r="Q155" s="292" t="n">
        <v>10</v>
      </c>
      <c r="R155" s="292" t="n">
        <v>4</v>
      </c>
      <c r="S155" s="292" t="n">
        <v>6</v>
      </c>
      <c r="T155" s="292" t="n">
        <v>6</v>
      </c>
      <c r="U155" s="292" t="n">
        <v>4</v>
      </c>
      <c r="V155" s="292" t="n">
        <v>8</v>
      </c>
      <c r="W155" s="292" t="n">
        <v>6</v>
      </c>
      <c r="X155" s="292" t="n">
        <v>6</v>
      </c>
      <c r="Y155" s="292" t="n">
        <v>4</v>
      </c>
      <c r="Z155" s="292" t="n">
        <v>4</v>
      </c>
      <c r="AA155" s="292" t="n">
        <v>11</v>
      </c>
      <c r="AB155" s="292" t="n">
        <v>6</v>
      </c>
      <c r="AC155" s="292" t="n">
        <v>7</v>
      </c>
      <c r="AD155" s="292" t="n">
        <v>5</v>
      </c>
      <c r="AE155" s="292" t="n">
        <v>1</v>
      </c>
      <c r="AF155" s="292" t="n">
        <v>10</v>
      </c>
      <c r="AG155" s="292" t="n">
        <v>18</v>
      </c>
      <c r="AH155" s="292" t="n">
        <v>11</v>
      </c>
      <c r="AI155" s="292" t="n">
        <v>3</v>
      </c>
      <c r="AJ155" s="292" t="n">
        <v>5</v>
      </c>
      <c r="AK155" s="292" t="n">
        <v>11</v>
      </c>
      <c r="AL155" s="292" t="n">
        <v>5</v>
      </c>
      <c r="AM155" s="292" t="n">
        <v>9</v>
      </c>
      <c r="AN155" s="292" t="n">
        <v>1</v>
      </c>
      <c r="AO155" s="292" t="n">
        <v>5</v>
      </c>
      <c r="AP155" s="292" t="n">
        <v>9</v>
      </c>
      <c r="AQ155" s="292" t="n">
        <v>3</v>
      </c>
      <c r="AR155" s="292" t="n">
        <v>11</v>
      </c>
    </row>
    <row r="156" ht="14.25" customHeight="1" s="133">
      <c r="A156" s="307" t="inlineStr">
        <is>
          <t>PK-1187</t>
        </is>
      </c>
      <c r="B156" s="307" t="inlineStr">
        <is>
          <t>Staples Box 1000</t>
        </is>
      </c>
      <c r="C156" s="307" t="inlineStr">
        <is>
          <t>Stationery &amp; Office Supplies</t>
        </is>
      </c>
      <c r="D156" s="307" t="inlineStr">
        <is>
          <t>Office Equipment</t>
        </is>
      </c>
      <c r="E156" s="307" t="inlineStr">
        <is>
          <t>STPLS1K</t>
        </is>
      </c>
      <c r="F156" s="307" t="inlineStr">
        <is>
          <t>Unit</t>
        </is>
      </c>
      <c r="G156" s="308" t="n">
        <v>106</v>
      </c>
      <c r="H156" s="308" t="n">
        <v>10</v>
      </c>
      <c r="I156" s="308" t="n">
        <v>50</v>
      </c>
      <c r="J156" s="308" t="n">
        <v>12720</v>
      </c>
      <c r="K156" s="309" t="n">
        <v>0</v>
      </c>
      <c r="L156" s="308" t="inlineStr">
        <is>
          <t>190.00</t>
        </is>
      </c>
      <c r="M156" s="310">
        <f>IF(L156=0,0,(L156-K156)/L156)</f>
        <v/>
      </c>
      <c r="N156" s="308" t="inlineStr">
        <is>
          <t>In Stock</t>
        </is>
      </c>
      <c r="O156" s="308" t="n">
        <v>6</v>
      </c>
      <c r="P156" s="308" t="n">
        <v>2</v>
      </c>
      <c r="Q156" s="308" t="n">
        <v>6</v>
      </c>
      <c r="R156" s="308" t="n">
        <v>3</v>
      </c>
      <c r="S156" s="308" t="n">
        <v>8</v>
      </c>
      <c r="T156" s="308" t="n">
        <v>9</v>
      </c>
      <c r="U156" s="308" t="n">
        <v>5</v>
      </c>
      <c r="V156" s="308" t="n">
        <v>4</v>
      </c>
      <c r="W156" s="308" t="n">
        <v>6</v>
      </c>
      <c r="X156" s="308" t="n">
        <v>5</v>
      </c>
      <c r="Y156" s="308" t="n">
        <v>5</v>
      </c>
      <c r="Z156" s="308" t="n">
        <v>6</v>
      </c>
      <c r="AA156" s="308" t="n">
        <v>4</v>
      </c>
      <c r="AB156" s="308" t="n">
        <v>4</v>
      </c>
      <c r="AC156" s="308" t="n">
        <v>1</v>
      </c>
      <c r="AD156" s="308" t="n">
        <v>7</v>
      </c>
      <c r="AE156" s="308" t="n">
        <v>5</v>
      </c>
      <c r="AF156" s="308" t="n">
        <v>6</v>
      </c>
      <c r="AG156" s="308" t="n">
        <v>3</v>
      </c>
      <c r="AH156" s="308" t="n">
        <v>9</v>
      </c>
      <c r="AI156" s="308" t="n">
        <v>6</v>
      </c>
      <c r="AJ156" s="308" t="n">
        <v>2</v>
      </c>
      <c r="AK156" s="308" t="n">
        <v>7</v>
      </c>
      <c r="AL156" s="308" t="n">
        <v>7</v>
      </c>
      <c r="AM156" s="308" t="n">
        <v>7</v>
      </c>
      <c r="AN156" s="308" t="n">
        <v>4</v>
      </c>
      <c r="AO156" s="308" t="n">
        <v>8</v>
      </c>
      <c r="AP156" s="308" t="n">
        <v>10</v>
      </c>
      <c r="AQ156" s="308" t="n">
        <v>10</v>
      </c>
      <c r="AR156" s="308" t="n">
        <v>5</v>
      </c>
    </row>
    <row r="157" ht="14.25" customHeight="1" s="133">
      <c r="A157" s="291" t="inlineStr">
        <is>
          <t>PK-1188</t>
        </is>
      </c>
      <c r="B157" s="291" t="inlineStr">
        <is>
          <t>Hole Punch 2-Hole</t>
        </is>
      </c>
      <c r="C157" s="291" t="inlineStr">
        <is>
          <t>Stationery &amp; Office Supplies</t>
        </is>
      </c>
      <c r="D157" s="291" t="inlineStr">
        <is>
          <t>Office Equipment</t>
        </is>
      </c>
      <c r="E157" s="291" t="inlineStr">
        <is>
          <t>HLPNCH</t>
        </is>
      </c>
      <c r="F157" s="291" t="inlineStr">
        <is>
          <t>Unit</t>
        </is>
      </c>
      <c r="G157" s="292" t="n">
        <v>51</v>
      </c>
      <c r="H157" s="292" t="n">
        <v>5</v>
      </c>
      <c r="I157" s="292" t="n">
        <v>20</v>
      </c>
      <c r="J157" s="292" t="n">
        <v>28050</v>
      </c>
      <c r="K157" s="293" t="n">
        <v>0</v>
      </c>
      <c r="L157" s="292" t="inlineStr">
        <is>
          <t>830.00</t>
        </is>
      </c>
      <c r="M157" s="294">
        <f>IF(L157=0,0,(L157-K157)/L157)</f>
        <v/>
      </c>
      <c r="N157" s="292" t="inlineStr">
        <is>
          <t>In Stock</t>
        </is>
      </c>
      <c r="O157" s="292" t="n">
        <v>6</v>
      </c>
      <c r="P157" s="292" t="n">
        <v>6</v>
      </c>
      <c r="Q157" s="292" t="n">
        <v>3</v>
      </c>
      <c r="R157" s="292" t="n">
        <v>6</v>
      </c>
      <c r="S157" s="292" t="n">
        <v>6</v>
      </c>
      <c r="T157" s="292" t="n">
        <v>9</v>
      </c>
      <c r="U157" s="292" t="n">
        <v>2</v>
      </c>
      <c r="V157" s="292" t="n">
        <v>6</v>
      </c>
      <c r="W157" s="292" t="n">
        <v>4</v>
      </c>
      <c r="X157" s="292" t="n">
        <v>5</v>
      </c>
      <c r="Y157" s="292" t="n">
        <v>5</v>
      </c>
      <c r="Z157" s="292" t="n">
        <v>2</v>
      </c>
      <c r="AA157" s="292" t="n">
        <v>10</v>
      </c>
      <c r="AB157" s="292" t="n">
        <v>1</v>
      </c>
      <c r="AC157" s="292" t="n">
        <v>5</v>
      </c>
      <c r="AD157" s="292" t="n">
        <v>8</v>
      </c>
      <c r="AE157" s="292" t="n">
        <v>7</v>
      </c>
      <c r="AF157" s="292" t="n">
        <v>5</v>
      </c>
      <c r="AG157" s="292" t="n">
        <v>11</v>
      </c>
      <c r="AH157" s="292" t="n">
        <v>9</v>
      </c>
      <c r="AI157" s="292" t="n">
        <v>5</v>
      </c>
      <c r="AJ157" s="292" t="n">
        <v>6</v>
      </c>
      <c r="AK157" s="292" t="n">
        <v>7</v>
      </c>
      <c r="AL157" s="292" t="n">
        <v>4</v>
      </c>
      <c r="AM157" s="292" t="n">
        <v>5</v>
      </c>
      <c r="AN157" s="292" t="n">
        <v>9</v>
      </c>
      <c r="AO157" s="292" t="n">
        <v>6</v>
      </c>
      <c r="AP157" s="292" t="n">
        <v>7</v>
      </c>
      <c r="AQ157" s="292" t="n">
        <v>6</v>
      </c>
      <c r="AR157" s="292" t="n">
        <v>5</v>
      </c>
    </row>
    <row r="158" ht="14.25" customHeight="1" s="133">
      <c r="A158" s="307" t="inlineStr">
        <is>
          <t>PK-1189</t>
        </is>
      </c>
      <c r="B158" s="307" t="inlineStr">
        <is>
          <t>Scissors Large</t>
        </is>
      </c>
      <c r="C158" s="307" t="inlineStr">
        <is>
          <t>Stationery &amp; Office Supplies</t>
        </is>
      </c>
      <c r="D158" s="307" t="inlineStr">
        <is>
          <t>Office Equipment</t>
        </is>
      </c>
      <c r="E158" s="307" t="inlineStr">
        <is>
          <t>SCSSRL</t>
        </is>
      </c>
      <c r="F158" s="307" t="inlineStr">
        <is>
          <t>Unit</t>
        </is>
      </c>
      <c r="G158" s="308" t="n">
        <v>73</v>
      </c>
      <c r="H158" s="308" t="n">
        <v>10</v>
      </c>
      <c r="I158" s="308" t="n">
        <v>40</v>
      </c>
      <c r="J158" s="308" t="n">
        <v>20440</v>
      </c>
      <c r="K158" s="309" t="n">
        <v>0</v>
      </c>
      <c r="L158" s="308" t="inlineStr">
        <is>
          <t>430.00</t>
        </is>
      </c>
      <c r="M158" s="310">
        <f>IF(L158=0,0,(L158-K158)/L158)</f>
        <v/>
      </c>
      <c r="N158" s="308" t="inlineStr">
        <is>
          <t>In Stock</t>
        </is>
      </c>
      <c r="O158" s="308" t="n">
        <v>3</v>
      </c>
      <c r="P158" s="308" t="n">
        <v>8</v>
      </c>
      <c r="Q158" s="308" t="n">
        <v>6</v>
      </c>
      <c r="R158" s="308" t="n">
        <v>6</v>
      </c>
      <c r="S158" s="308" t="n">
        <v>6</v>
      </c>
      <c r="T158" s="308" t="n">
        <v>4</v>
      </c>
      <c r="U158" s="308" t="n">
        <v>8</v>
      </c>
      <c r="V158" s="308" t="n">
        <v>14</v>
      </c>
      <c r="W158" s="308" t="n">
        <v>9</v>
      </c>
      <c r="X158" s="308" t="n">
        <v>9</v>
      </c>
      <c r="Y158" s="308" t="n">
        <v>4</v>
      </c>
      <c r="Z158" s="308" t="n">
        <v>6</v>
      </c>
      <c r="AA158" s="308" t="n">
        <v>12</v>
      </c>
      <c r="AB158" s="308" t="n">
        <v>5</v>
      </c>
      <c r="AC158" s="308" t="n">
        <v>5</v>
      </c>
      <c r="AD158" s="308" t="n">
        <v>4</v>
      </c>
      <c r="AE158" s="308" t="n">
        <v>7</v>
      </c>
      <c r="AF158" s="308" t="n">
        <v>3</v>
      </c>
      <c r="AG158" s="308" t="n">
        <v>10</v>
      </c>
      <c r="AH158" s="308" t="n">
        <v>4</v>
      </c>
      <c r="AI158" s="308" t="n">
        <v>5</v>
      </c>
      <c r="AJ158" s="308" t="n">
        <v>5</v>
      </c>
      <c r="AK158" s="308" t="n">
        <v>7</v>
      </c>
      <c r="AL158" s="308" t="n">
        <v>4</v>
      </c>
      <c r="AM158" s="308" t="n">
        <v>9</v>
      </c>
      <c r="AN158" s="308" t="n">
        <v>10</v>
      </c>
      <c r="AO158" s="308" t="n">
        <v>1</v>
      </c>
      <c r="AP158" s="308" t="n">
        <v>8</v>
      </c>
      <c r="AQ158" s="308" t="n">
        <v>6</v>
      </c>
      <c r="AR158" s="308" t="n">
        <v>5</v>
      </c>
    </row>
    <row r="159" ht="14.25" customHeight="1" s="133">
      <c r="A159" s="291" t="inlineStr">
        <is>
          <t>PK-1190</t>
        </is>
      </c>
      <c r="B159" s="291" t="inlineStr">
        <is>
          <t>Tape Dispenser</t>
        </is>
      </c>
      <c r="C159" s="291" t="inlineStr">
        <is>
          <t>Stationery &amp; Office Supplies</t>
        </is>
      </c>
      <c r="D159" s="291" t="inlineStr">
        <is>
          <t>Office Equipment</t>
        </is>
      </c>
      <c r="E159" s="291" t="inlineStr">
        <is>
          <t>TPDSPS</t>
        </is>
      </c>
      <c r="F159" s="291" t="inlineStr">
        <is>
          <t>Unit</t>
        </is>
      </c>
      <c r="G159" s="292" t="n">
        <v>6</v>
      </c>
      <c r="H159" s="292" t="n">
        <v>10</v>
      </c>
      <c r="I159" s="292" t="n">
        <v>40</v>
      </c>
      <c r="J159" s="292" t="n">
        <v>2280</v>
      </c>
      <c r="K159" s="293" t="n">
        <v>0</v>
      </c>
      <c r="L159" s="292" t="inlineStr">
        <is>
          <t>580.00</t>
        </is>
      </c>
      <c r="M159" s="294">
        <f>IF(L159=0,0,(L159-K159)/L159)</f>
        <v/>
      </c>
      <c r="N159" s="292" t="inlineStr">
        <is>
          <t>Low Stock</t>
        </is>
      </c>
      <c r="O159" s="292" t="n">
        <v>4</v>
      </c>
      <c r="P159" s="292" t="n">
        <v>1</v>
      </c>
      <c r="Q159" s="292" t="n">
        <v>5</v>
      </c>
      <c r="R159" s="292" t="n">
        <v>4</v>
      </c>
      <c r="S159" s="292" t="n">
        <v>8</v>
      </c>
      <c r="T159" s="292" t="n">
        <v>12</v>
      </c>
      <c r="U159" s="292" t="n">
        <v>6</v>
      </c>
      <c r="V159" s="292" t="n">
        <v>5</v>
      </c>
      <c r="W159" s="292" t="n">
        <v>9</v>
      </c>
      <c r="X159" s="292" t="n">
        <v>6</v>
      </c>
      <c r="Y159" s="292" t="n">
        <v>11</v>
      </c>
      <c r="Z159" s="292" t="n">
        <v>5</v>
      </c>
      <c r="AA159" s="292" t="n">
        <v>10</v>
      </c>
      <c r="AB159" s="292" t="n">
        <v>9</v>
      </c>
      <c r="AC159" s="292" t="n">
        <v>4</v>
      </c>
      <c r="AD159" s="292" t="n">
        <v>3</v>
      </c>
      <c r="AE159" s="292" t="n">
        <v>5</v>
      </c>
      <c r="AF159" s="292" t="n">
        <v>6</v>
      </c>
      <c r="AG159" s="292" t="n">
        <v>8</v>
      </c>
      <c r="AH159" s="292" t="n">
        <v>11</v>
      </c>
      <c r="AI159" s="292" t="n">
        <v>8</v>
      </c>
      <c r="AJ159" s="292" t="n">
        <v>7</v>
      </c>
      <c r="AK159" s="292" t="n">
        <v>3</v>
      </c>
      <c r="AL159" s="292" t="n">
        <v>6</v>
      </c>
      <c r="AM159" s="292" t="n">
        <v>8</v>
      </c>
      <c r="AN159" s="292" t="n">
        <v>7</v>
      </c>
      <c r="AO159" s="292" t="n">
        <v>13</v>
      </c>
      <c r="AP159" s="292" t="n">
        <v>8</v>
      </c>
      <c r="AQ159" s="292" t="n">
        <v>5</v>
      </c>
      <c r="AR159" s="292" t="n">
        <v>5</v>
      </c>
    </row>
    <row r="160" ht="14.25" customHeight="1" s="133">
      <c r="A160" s="307" t="inlineStr">
        <is>
          <t>PK-1191</t>
        </is>
      </c>
      <c r="B160" s="307" t="inlineStr">
        <is>
          <t>File Folder A4</t>
        </is>
      </c>
      <c r="C160" s="307" t="inlineStr">
        <is>
          <t>Stationery &amp; Office Supplies</t>
        </is>
      </c>
      <c r="D160" s="307" t="inlineStr">
        <is>
          <t>Office Equipment</t>
        </is>
      </c>
      <c r="E160" s="307" t="inlineStr">
        <is>
          <t>FLFDR</t>
        </is>
      </c>
      <c r="F160" s="307" t="inlineStr">
        <is>
          <t>Unit</t>
        </is>
      </c>
      <c r="G160" s="308" t="n">
        <v>106</v>
      </c>
      <c r="H160" s="308" t="n">
        <v>20</v>
      </c>
      <c r="I160" s="308" t="n">
        <v>100</v>
      </c>
      <c r="J160" s="308" t="n">
        <v>9010</v>
      </c>
      <c r="K160" s="309" t="n">
        <v>0</v>
      </c>
      <c r="L160" s="308" t="inlineStr">
        <is>
          <t>135.00</t>
        </is>
      </c>
      <c r="M160" s="310">
        <f>IF(L160=0,0,(L160-K160)/L160)</f>
        <v/>
      </c>
      <c r="N160" s="308" t="inlineStr">
        <is>
          <t>In Stock</t>
        </is>
      </c>
      <c r="O160" s="308" t="n">
        <v>5</v>
      </c>
      <c r="P160" s="308" t="n">
        <v>7</v>
      </c>
      <c r="Q160" s="308" t="n">
        <v>6</v>
      </c>
      <c r="R160" s="308" t="n">
        <v>10</v>
      </c>
      <c r="S160" s="308" t="n">
        <v>5</v>
      </c>
      <c r="T160" s="308" t="n">
        <v>8</v>
      </c>
      <c r="U160" s="308" t="n">
        <v>8</v>
      </c>
      <c r="V160" s="308" t="n">
        <v>5</v>
      </c>
      <c r="W160" s="308" t="n">
        <v>6</v>
      </c>
      <c r="X160" s="308" t="n">
        <v>6</v>
      </c>
      <c r="Y160" s="308" t="n">
        <v>9</v>
      </c>
      <c r="Z160" s="308" t="n">
        <v>6</v>
      </c>
      <c r="AA160" s="308" t="n">
        <v>10</v>
      </c>
      <c r="AB160" s="308" t="n">
        <v>7</v>
      </c>
      <c r="AC160" s="308" t="n">
        <v>5</v>
      </c>
      <c r="AD160" s="308" t="n">
        <v>7</v>
      </c>
      <c r="AE160" s="308" t="n">
        <v>4</v>
      </c>
      <c r="AF160" s="308" t="n">
        <v>2</v>
      </c>
      <c r="AG160" s="308" t="n">
        <v>3</v>
      </c>
      <c r="AH160" s="308" t="n">
        <v>6</v>
      </c>
      <c r="AI160" s="308" t="n">
        <v>11</v>
      </c>
      <c r="AJ160" s="308" t="n">
        <v>8</v>
      </c>
      <c r="AK160" s="308" t="n">
        <v>4</v>
      </c>
      <c r="AL160" s="308" t="n">
        <v>4</v>
      </c>
      <c r="AM160" s="308" t="n">
        <v>6</v>
      </c>
      <c r="AN160" s="308" t="n">
        <v>9</v>
      </c>
      <c r="AO160" s="308" t="n">
        <v>6</v>
      </c>
      <c r="AP160" s="308" t="n">
        <v>4</v>
      </c>
      <c r="AQ160" s="308" t="n">
        <v>5</v>
      </c>
      <c r="AR160" s="308" t="n">
        <v>7</v>
      </c>
    </row>
    <row r="161" ht="14.25" customHeight="1" s="133">
      <c r="A161" s="291" t="inlineStr">
        <is>
          <t>PK-1192</t>
        </is>
      </c>
      <c r="B161" s="291" t="inlineStr">
        <is>
          <t>Binder Clip 25mm Box</t>
        </is>
      </c>
      <c r="C161" s="291" t="inlineStr">
        <is>
          <t>Stationery &amp; Office Supplies</t>
        </is>
      </c>
      <c r="D161" s="291" t="inlineStr">
        <is>
          <t>Office Equipment</t>
        </is>
      </c>
      <c r="E161" s="291" t="inlineStr">
        <is>
          <t>BNDCLP25</t>
        </is>
      </c>
      <c r="F161" s="291" t="inlineStr">
        <is>
          <t>Unit</t>
        </is>
      </c>
      <c r="G161" s="292" t="n">
        <v>74</v>
      </c>
      <c r="H161" s="292" t="n">
        <v>10</v>
      </c>
      <c r="I161" s="292" t="n">
        <v>50</v>
      </c>
      <c r="J161" s="292" t="n">
        <v>8880</v>
      </c>
      <c r="K161" s="293" t="n">
        <v>0</v>
      </c>
      <c r="L161" s="292" t="inlineStr">
        <is>
          <t>185.00</t>
        </is>
      </c>
      <c r="M161" s="294">
        <f>IF(L161=0,0,(L161-K161)/L161)</f>
        <v/>
      </c>
      <c r="N161" s="292" t="inlineStr">
        <is>
          <t>In Stock</t>
        </is>
      </c>
      <c r="O161" s="292" t="n">
        <v>6</v>
      </c>
      <c r="P161" s="292" t="n">
        <v>1</v>
      </c>
      <c r="Q161" s="292" t="n">
        <v>14</v>
      </c>
      <c r="R161" s="292" t="n">
        <v>2</v>
      </c>
      <c r="S161" s="292" t="n">
        <v>4</v>
      </c>
      <c r="T161" s="292" t="n">
        <v>10</v>
      </c>
      <c r="U161" s="292" t="n">
        <v>8</v>
      </c>
      <c r="V161" s="292" t="n">
        <v>6</v>
      </c>
      <c r="W161" s="292" t="n">
        <v>6</v>
      </c>
      <c r="X161" s="292" t="n">
        <v>7</v>
      </c>
      <c r="Y161" s="292" t="n">
        <v>15</v>
      </c>
      <c r="Z161" s="292" t="n">
        <v>5</v>
      </c>
      <c r="AA161" s="292" t="n">
        <v>12</v>
      </c>
      <c r="AB161" s="292" t="n">
        <v>5</v>
      </c>
      <c r="AC161" s="292" t="n">
        <v>5</v>
      </c>
      <c r="AD161" s="292" t="n">
        <v>3</v>
      </c>
      <c r="AE161" s="292" t="n">
        <v>8</v>
      </c>
      <c r="AF161" s="292" t="n">
        <v>4</v>
      </c>
      <c r="AG161" s="292" t="n">
        <v>9</v>
      </c>
      <c r="AH161" s="292" t="n">
        <v>8</v>
      </c>
      <c r="AI161" s="292" t="n">
        <v>10</v>
      </c>
      <c r="AJ161" s="292" t="n">
        <v>9</v>
      </c>
      <c r="AK161" s="292" t="n">
        <v>6</v>
      </c>
      <c r="AL161" s="292" t="n">
        <v>3</v>
      </c>
      <c r="AM161" s="292" t="n">
        <v>6</v>
      </c>
      <c r="AN161" s="292" t="n">
        <v>10</v>
      </c>
      <c r="AO161" s="292" t="n">
        <v>12</v>
      </c>
      <c r="AP161" s="292" t="n">
        <v>6</v>
      </c>
      <c r="AQ161" s="292" t="n">
        <v>9</v>
      </c>
      <c r="AR161" s="292" t="n">
        <v>4</v>
      </c>
    </row>
    <row r="162" ht="14.25" customHeight="1" s="133">
      <c r="A162" s="307" t="inlineStr">
        <is>
          <t>PK-1193</t>
        </is>
      </c>
      <c r="B162" s="307" t="inlineStr">
        <is>
          <t>Whiteboard Marker Set 4</t>
        </is>
      </c>
      <c r="C162" s="307" t="inlineStr">
        <is>
          <t>Stationery &amp; Office Supplies</t>
        </is>
      </c>
      <c r="D162" s="307" t="inlineStr">
        <is>
          <t>Office Equipment</t>
        </is>
      </c>
      <c r="E162" s="307" t="inlineStr">
        <is>
          <t>WBMKR4</t>
        </is>
      </c>
      <c r="F162" s="307" t="inlineStr">
        <is>
          <t>Unit</t>
        </is>
      </c>
      <c r="G162" s="308" t="n">
        <v>1</v>
      </c>
      <c r="H162" s="308" t="n">
        <v>15</v>
      </c>
      <c r="I162" s="308" t="n">
        <v>60</v>
      </c>
      <c r="J162" s="308" t="n">
        <v>250</v>
      </c>
      <c r="K162" s="309" t="n">
        <v>0</v>
      </c>
      <c r="L162" s="308" t="inlineStr">
        <is>
          <t>390.00</t>
        </is>
      </c>
      <c r="M162" s="310">
        <f>IF(L162=0,0,(L162-K162)/L162)</f>
        <v/>
      </c>
      <c r="N162" s="308" t="inlineStr">
        <is>
          <t>Low Stock</t>
        </is>
      </c>
      <c r="O162" s="308" t="n">
        <v>5</v>
      </c>
      <c r="P162" s="308" t="n">
        <v>8</v>
      </c>
      <c r="Q162" s="308" t="n">
        <v>3</v>
      </c>
      <c r="R162" s="308" t="n">
        <v>7</v>
      </c>
      <c r="S162" s="308" t="n">
        <v>7</v>
      </c>
      <c r="T162" s="308" t="n">
        <v>4</v>
      </c>
      <c r="U162" s="308" t="n">
        <v>7</v>
      </c>
      <c r="V162" s="308" t="n">
        <v>2</v>
      </c>
      <c r="W162" s="308" t="n">
        <v>4</v>
      </c>
      <c r="X162" s="308" t="n">
        <v>4</v>
      </c>
      <c r="Y162" s="308" t="n">
        <v>4</v>
      </c>
      <c r="Z162" s="308" t="n">
        <v>5</v>
      </c>
      <c r="AA162" s="308" t="n">
        <v>5</v>
      </c>
      <c r="AB162" s="308" t="n">
        <v>6</v>
      </c>
      <c r="AC162" s="308" t="n">
        <v>6</v>
      </c>
      <c r="AD162" s="308" t="n">
        <v>10</v>
      </c>
      <c r="AE162" s="308" t="n">
        <v>4</v>
      </c>
      <c r="AF162" s="308" t="n">
        <v>6</v>
      </c>
      <c r="AG162" s="308" t="n">
        <v>11</v>
      </c>
      <c r="AH162" s="308" t="n">
        <v>10</v>
      </c>
      <c r="AI162" s="308" t="n">
        <v>7</v>
      </c>
      <c r="AJ162" s="308" t="n">
        <v>3</v>
      </c>
      <c r="AK162" s="308" t="n">
        <v>11</v>
      </c>
      <c r="AL162" s="308" t="n">
        <v>3</v>
      </c>
      <c r="AM162" s="308" t="n">
        <v>10</v>
      </c>
      <c r="AN162" s="308" t="n">
        <v>4</v>
      </c>
      <c r="AO162" s="308" t="n">
        <v>7</v>
      </c>
      <c r="AP162" s="308" t="n">
        <v>7</v>
      </c>
      <c r="AQ162" s="308" t="n">
        <v>11</v>
      </c>
      <c r="AR162" s="308" t="n">
        <v>7</v>
      </c>
    </row>
    <row r="163" ht="14.25" customHeight="1" s="133">
      <c r="A163" s="291" t="inlineStr">
        <is>
          <t>PK-1194</t>
        </is>
      </c>
      <c r="B163" s="291" t="inlineStr">
        <is>
          <t>Calculator Scientific</t>
        </is>
      </c>
      <c r="C163" s="291" t="inlineStr">
        <is>
          <t>Stationery &amp; Office Supplies</t>
        </is>
      </c>
      <c r="D163" s="291" t="inlineStr">
        <is>
          <t>Office Equipment</t>
        </is>
      </c>
      <c r="E163" s="291" t="inlineStr">
        <is>
          <t>CALCSC</t>
        </is>
      </c>
      <c r="F163" s="291" t="inlineStr">
        <is>
          <t>Unit</t>
        </is>
      </c>
      <c r="G163" s="292" t="n">
        <v>102</v>
      </c>
      <c r="H163" s="292" t="n">
        <v>5</v>
      </c>
      <c r="I163" s="292" t="n">
        <v>20</v>
      </c>
      <c r="J163" s="292" t="n">
        <v>183600</v>
      </c>
      <c r="K163" s="293" t="n">
        <v>0</v>
      </c>
      <c r="L163" s="292" t="inlineStr">
        <is>
          <t>2,700.00</t>
        </is>
      </c>
      <c r="M163" s="294">
        <f>IF(L163=0,0,(L163-K163)/L163)</f>
        <v/>
      </c>
      <c r="N163" s="292" t="inlineStr">
        <is>
          <t>In Stock</t>
        </is>
      </c>
      <c r="O163" s="292" t="n">
        <v>2</v>
      </c>
      <c r="P163" s="292" t="n">
        <v>4</v>
      </c>
      <c r="Q163" s="292" t="n">
        <v>6</v>
      </c>
      <c r="R163" s="292" t="n">
        <v>10</v>
      </c>
      <c r="S163" s="292" t="n">
        <v>4</v>
      </c>
      <c r="T163" s="292" t="n">
        <v>6</v>
      </c>
      <c r="U163" s="292" t="n">
        <v>1</v>
      </c>
      <c r="V163" s="292" t="n">
        <v>8</v>
      </c>
      <c r="W163" s="292" t="n">
        <v>5</v>
      </c>
      <c r="X163" s="292" t="n">
        <v>7</v>
      </c>
      <c r="Y163" s="292" t="n">
        <v>8</v>
      </c>
      <c r="Z163" s="292" t="n">
        <v>5</v>
      </c>
      <c r="AA163" s="292" t="n">
        <v>8</v>
      </c>
      <c r="AB163" s="292" t="n">
        <v>5</v>
      </c>
      <c r="AC163" s="292" t="n">
        <v>6</v>
      </c>
      <c r="AD163" s="292" t="n">
        <v>5</v>
      </c>
      <c r="AE163" s="292" t="n">
        <v>2</v>
      </c>
      <c r="AF163" s="292" t="n">
        <v>5</v>
      </c>
      <c r="AG163" s="292" t="n">
        <v>8</v>
      </c>
      <c r="AH163" s="292" t="n">
        <v>4</v>
      </c>
      <c r="AI163" s="292" t="n">
        <v>2</v>
      </c>
      <c r="AJ163" s="292" t="n">
        <v>5</v>
      </c>
      <c r="AK163" s="292" t="n">
        <v>3</v>
      </c>
      <c r="AL163" s="292" t="n">
        <v>7</v>
      </c>
      <c r="AM163" s="292" t="n">
        <v>6</v>
      </c>
      <c r="AN163" s="292" t="n">
        <v>13</v>
      </c>
      <c r="AO163" s="292" t="n">
        <v>8</v>
      </c>
      <c r="AP163" s="292" t="n">
        <v>6</v>
      </c>
      <c r="AQ163" s="292" t="n">
        <v>4</v>
      </c>
      <c r="AR163" s="292" t="n">
        <v>4</v>
      </c>
    </row>
    <row r="164" ht="14.25" customHeight="1" s="133"/>
    <row r="165" ht="14.25" customHeight="1" s="133"/>
    <row r="166" ht="14.25" customHeight="1" s="133"/>
    <row r="167" ht="14.25" customHeight="1" s="133"/>
    <row r="168" ht="14.25" customHeight="1" s="133"/>
    <row r="169" ht="14.25" customHeight="1" s="133"/>
    <row r="170" ht="14.25" customHeight="1" s="133"/>
    <row r="171" ht="14.25" customHeight="1" s="133"/>
    <row r="172" ht="14.25" customHeight="1" s="133"/>
    <row r="173" ht="14.25" customHeight="1" s="133"/>
    <row r="174" ht="14.25" customHeight="1" s="133"/>
    <row r="175" ht="14.25" customHeight="1" s="133"/>
    <row r="176" ht="14.25" customHeight="1" s="133"/>
    <row r="177" ht="14.25" customHeight="1" s="133"/>
    <row r="178" ht="14.25" customHeight="1" s="133"/>
    <row r="179" ht="14.25" customHeight="1" s="133"/>
    <row r="180" ht="14.25" customHeight="1" s="133"/>
    <row r="181" ht="14.25" customHeight="1" s="133"/>
    <row r="182" ht="14.25" customHeight="1" s="133"/>
    <row r="183" ht="14.25" customHeight="1" s="133"/>
    <row r="184" ht="14.25" customHeight="1" s="133"/>
    <row r="185" ht="14.25" customHeight="1" s="133"/>
    <row r="186" ht="14.25" customHeight="1" s="133"/>
    <row r="187" ht="14.25" customHeight="1" s="133"/>
    <row r="188" ht="14.25" customHeight="1" s="133"/>
    <row r="189" ht="14.25" customHeight="1" s="133"/>
    <row r="190" ht="14.25" customHeight="1" s="133"/>
    <row r="191" ht="14.25" customHeight="1" s="133"/>
    <row r="192" ht="14.25" customHeight="1" s="133"/>
    <row r="193" ht="14.25" customHeight="1" s="133"/>
    <row r="194" ht="14.25" customHeight="1" s="133"/>
    <row r="195" ht="14.25" customHeight="1" s="133"/>
    <row r="196" ht="14.25" customHeight="1" s="133"/>
    <row r="197" ht="14.25" customHeight="1" s="133"/>
    <row r="198" ht="14.25" customHeight="1" s="133"/>
    <row r="199" ht="14.25" customHeight="1" s="133"/>
    <row r="200" ht="14.25" customHeight="1" s="133"/>
    <row r="201" ht="14.25" customHeight="1" s="133"/>
    <row r="202" ht="14.25" customHeight="1" s="133"/>
    <row r="203" ht="14.25" customHeight="1" s="133"/>
    <row r="204" ht="14.25" customHeight="1" s="133"/>
    <row r="205" ht="14.25" customHeight="1" s="133"/>
    <row r="206" ht="14.25" customHeight="1" s="133"/>
    <row r="207" ht="14.25" customHeight="1" s="133"/>
    <row r="208" ht="14.25" customHeight="1" s="133"/>
    <row r="209" ht="14.25" customHeight="1" s="133"/>
    <row r="210" ht="14.25" customHeight="1" s="133"/>
    <row r="211" ht="14.25" customHeight="1" s="133"/>
    <row r="212" ht="14.25" customHeight="1" s="133"/>
    <row r="213" ht="14.25" customHeight="1" s="133"/>
    <row r="214" ht="14.25" customHeight="1" s="133"/>
    <row r="215" ht="14.25" customHeight="1" s="133"/>
    <row r="216" ht="14.25" customHeight="1" s="133"/>
  </sheetData>
  <mergeCells count="1">
    <mergeCell ref="A1:A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132" min="1" max="1"/>
    <col width="22" customWidth="1" style="132" min="2" max="2"/>
    <col width="58" customWidth="1" style="132" min="3" max="3"/>
    <col width="2" customWidth="1" style="132" min="4" max="4"/>
  </cols>
  <sheetData>
    <row r="1" ht="31.5" customHeight="1" s="133">
      <c r="A1" s="240" t="inlineStr">
        <is>
          <t>Al-Noor Trading — Monthly Financial Summary (June 2026)</t>
        </is>
      </c>
    </row>
    <row r="2" ht="15" customHeight="1" s="133">
      <c r="A2" s="241" t="inlineStr">
        <is>
          <t>Reporting Period: 01 June 2026 – 30 June 2026  |  Currency: PKR  |  Products: 161 Active SKUs</t>
        </is>
      </c>
    </row>
    <row r="4" ht="15" customHeight="1" s="133">
      <c r="A4" s="242" t="inlineStr">
        <is>
          <t>PROFIT &amp; LOSS</t>
        </is>
      </c>
    </row>
    <row r="5" ht="15" customHeight="1" s="133">
      <c r="A5" s="243" t="inlineStr">
        <is>
          <t>Metric</t>
        </is>
      </c>
      <c r="B5" s="244" t="inlineStr">
        <is>
          <t>Amount (PKR)</t>
        </is>
      </c>
      <c r="C5" s="243" t="inlineStr">
        <is>
          <t>Notes</t>
        </is>
      </c>
      <c r="D5" s="243" t="n"/>
    </row>
    <row r="6" ht="15" customHeight="1" s="133">
      <c r="A6" s="245" t="inlineStr">
        <is>
          <t>Total Revenue (PKR)</t>
        </is>
      </c>
      <c r="B6" s="246">
        <f>'Revenue Analysis'!F164</f>
        <v/>
      </c>
      <c r="C6" s="247" t="inlineStr">
        <is>
          <t>Sum of (Qty × Sale Price) for all 161 products over 30 days</t>
        </is>
      </c>
    </row>
    <row r="7" ht="15" customHeight="1" s="133">
      <c r="A7" s="174" t="inlineStr">
        <is>
          <t>Total COGS (PKR)</t>
        </is>
      </c>
      <c r="B7" s="248">
        <f>'Revenue Analysis'!G164</f>
        <v/>
      </c>
      <c r="C7" s="247" t="inlineStr">
        <is>
          <t>Sum of (Qty × Cost Price) for all 161 products over 30 days</t>
        </is>
      </c>
    </row>
    <row r="8" ht="15" customHeight="1" s="133">
      <c r="A8" s="245" t="inlineStr">
        <is>
          <t>Gross Profit (PKR)</t>
        </is>
      </c>
      <c r="B8" s="249">
        <f>B6-B7</f>
        <v/>
      </c>
      <c r="C8" s="247" t="inlineStr">
        <is>
          <t>Total Revenue − Total COGS</t>
        </is>
      </c>
    </row>
    <row r="9" ht="15" customHeight="1" s="133">
      <c r="A9" s="174" t="inlineStr">
        <is>
          <t>Gross Profit Margin (%)</t>
        </is>
      </c>
      <c r="B9" s="250">
        <f>IF(B6=0,0,B8/B6)</f>
        <v/>
      </c>
      <c r="C9" s="247" t="inlineStr">
        <is>
          <t>Gross Profit ÷ Revenue × 100</t>
        </is>
      </c>
    </row>
    <row r="10" ht="15" customHeight="1" s="133">
      <c r="A10" s="245" t="inlineStr">
        <is>
          <t>Total Operating Expenses (PKR)</t>
        </is>
      </c>
      <c r="B10" s="248">
        <f>'Expense Tracker'!G16</f>
        <v/>
      </c>
      <c r="C10" s="247" t="inlineStr">
        <is>
          <t>SUPPLIES category only; 12 active records; 1 voided excluded; tax = PKR 0.00</t>
        </is>
      </c>
    </row>
    <row r="11" ht="15" customHeight="1" s="133">
      <c r="A11" s="174" t="inlineStr">
        <is>
          <t>Net Profit (PKR)</t>
        </is>
      </c>
      <c r="B11" s="249">
        <f>B8-B10</f>
        <v/>
      </c>
      <c r="C11" s="247" t="inlineStr">
        <is>
          <t>Gross Profit − Total Operating Expenses</t>
        </is>
      </c>
    </row>
    <row r="12" ht="15" customHeight="1" s="133">
      <c r="A12" s="245" t="inlineStr">
        <is>
          <t>Net Profit Margin (%)</t>
        </is>
      </c>
      <c r="B12" s="250">
        <f>IF(B6=0,0,B11/B6)</f>
        <v/>
      </c>
      <c r="C12" s="247" t="inlineStr">
        <is>
          <t>Net Profit ÷ Revenue × 100</t>
        </is>
      </c>
    </row>
    <row r="14" ht="15" customHeight="1" s="133">
      <c r="A14" s="242" t="inlineStr">
        <is>
          <t>CASH FLOW</t>
        </is>
      </c>
    </row>
    <row r="15" ht="15" customHeight="1" s="133">
      <c r="A15" s="243" t="inlineStr">
        <is>
          <t>Cash Flow Item</t>
        </is>
      </c>
      <c r="B15" s="244" t="inlineStr">
        <is>
          <t>Amount (PKR)</t>
        </is>
      </c>
      <c r="C15" s="243" t="inlineStr">
        <is>
          <t>Notes</t>
        </is>
      </c>
      <c r="D15" s="244" t="n"/>
    </row>
    <row r="16" ht="15" customHeight="1" s="133">
      <c r="A16" s="174" t="inlineStr">
        <is>
          <t>Total Cash Inflows (PKR)</t>
        </is>
      </c>
      <c r="B16" s="249">
        <f>SUMIF('Cash Flow Statement'!C:C,"INFLOW",'Cash Flow Statement'!F:F)</f>
        <v/>
      </c>
      <c r="C16" s="247" t="inlineStr">
        <is>
          <t>Sales receipts from all 30 days</t>
        </is>
      </c>
    </row>
    <row r="17" ht="15" customHeight="1" s="133">
      <c r="A17" s="174" t="inlineStr">
        <is>
          <t>Total Cash Outflows (PKR)</t>
        </is>
      </c>
      <c r="B17" s="251">
        <f>SUMIF('Cash Flow Statement'!C:C,"OUTFLOW",'Cash Flow Statement'!F:F)</f>
        <v/>
      </c>
      <c r="C17" s="247" t="inlineStr">
        <is>
          <t>COGS payments + Operating expenses</t>
        </is>
      </c>
    </row>
    <row r="18" ht="15" customHeight="1" s="133">
      <c r="A18" s="174" t="inlineStr">
        <is>
          <t>Net Cash Flow (PKR)</t>
        </is>
      </c>
      <c r="B18" s="252">
        <f>B16-B17</f>
        <v/>
      </c>
      <c r="C18" s="247" t="inlineStr">
        <is>
          <t>Total Cash Inflows minus Total Cash Outflows</t>
        </is>
      </c>
    </row>
    <row r="20" ht="15" customHeight="1" s="133">
      <c r="A20" s="242" t="inlineStr">
        <is>
          <t>INVENTORY POSITION</t>
        </is>
      </c>
    </row>
    <row r="21" ht="15" customHeight="1" s="133">
      <c r="A21" s="243" t="inlineStr">
        <is>
          <t>Inventory Metric</t>
        </is>
      </c>
      <c r="B21" s="244" t="inlineStr">
        <is>
          <t>Value</t>
        </is>
      </c>
      <c r="C21" s="243" t="inlineStr">
        <is>
          <t>Notes</t>
        </is>
      </c>
      <c r="D21" s="244" t="n"/>
    </row>
    <row r="22" ht="15" customHeight="1" s="133">
      <c r="A22" s="253" t="inlineStr">
        <is>
          <t>Closing Stock Value (PKR)</t>
        </is>
      </c>
      <c r="B22" s="254">
        <f>SUMPRODUCT('Sales Data'!G3:G163,'Sales Data'!K3:K163)</f>
        <v/>
      </c>
      <c r="C22" s="247" t="inlineStr">
        <is>
          <t>Current Qty in Hand × Cost Price — all products</t>
        </is>
      </c>
    </row>
    <row r="23" ht="15" customHeight="1" s="133">
      <c r="A23" s="255" t="inlineStr">
        <is>
          <t>Total Active SKUs</t>
        </is>
      </c>
      <c r="B23" s="256">
        <f>COUNTA('Sales Data'!A3:A163)</f>
        <v/>
      </c>
      <c r="C23" s="247" t="inlineStr">
        <is>
          <t>161 SKUs across 5 major categories</t>
        </is>
      </c>
    </row>
    <row r="24" ht="15" customHeight="1" s="133">
      <c r="A24" s="253" t="inlineStr">
        <is>
          <t>Low / Out-of-Stock Products</t>
        </is>
      </c>
      <c r="B24" s="256">
        <f>COUNTIF('Sales Data'!N3:N163,"Low Stock")</f>
        <v/>
      </c>
      <c r="C24" s="247" t="inlineStr">
        <is>
          <t>Products where Qty in Hand ≤ Reorder Level</t>
        </is>
      </c>
    </row>
    <row r="25" ht="15" customHeight="1" s="133">
      <c r="A25" s="255" t="inlineStr">
        <is>
          <t>Average Daily Sales Volume</t>
        </is>
      </c>
      <c r="B25" s="257">
        <f>'Revenue Analysis'!E164/30</f>
        <v/>
      </c>
      <c r="C25" s="247" t="inlineStr">
        <is>
          <t>Total units sold over 30 days ÷ 30</t>
        </is>
      </c>
    </row>
  </sheetData>
  <mergeCells count="5">
    <mergeCell ref="A1:D1"/>
    <mergeCell ref="A4:D4"/>
    <mergeCell ref="A20:D20"/>
    <mergeCell ref="A2:D2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2026-06-01T15:16:12Z</dcterms:created>
  <dcterms:modified xsi:type="dcterms:W3CDTF">2026-06-20T08:36:46Z</dcterms:modified>
  <cp:lastModifiedBy>ALI ASHAR SHAFIQUE</cp:lastModifiedBy>
  <cp:revision>0</cp:revision>
</cp:coreProperties>
</file>